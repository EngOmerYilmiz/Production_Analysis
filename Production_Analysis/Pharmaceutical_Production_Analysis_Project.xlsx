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Data" sheetId="1" state="visible" r:id="rId1"/>
    <sheet xmlns:r="http://schemas.openxmlformats.org/officeDocument/2006/relationships" name="Deviation_Log" sheetId="2" state="visible" r:id="rId2"/>
    <sheet xmlns:r="http://schemas.openxmlformats.org/officeDocument/2006/relationships" name="Maintenance_Log" sheetId="3" state="visible" r:id="rId3"/>
    <sheet xmlns:r="http://schemas.openxmlformats.org/officeDocument/2006/relationships" name="Project_Instructions" sheetId="4" state="visible" r:id="rId4"/>
    <sheet xmlns:r="http://schemas.openxmlformats.org/officeDocument/2006/relationships" name="KPI_Calculations" sheetId="5" state="visible" r:id="rId5"/>
    <sheet xmlns:r="http://schemas.openxmlformats.org/officeDocument/2006/relationships" name="Line_Analysis" sheetId="6" state="visible" r:id="rId6"/>
    <sheet xmlns:r="http://schemas.openxmlformats.org/officeDocument/2006/relationships" name="Shift_Analysis" sheetId="7" state="visible" r:id="rId7"/>
    <sheet xmlns:r="http://schemas.openxmlformats.org/officeDocument/2006/relationships" name="Product_Analysis" sheetId="8" state="visible" r:id="rId8"/>
    <sheet xmlns:r="http://schemas.openxmlformats.org/officeDocument/2006/relationships" name="Deviation_Analysis" sheetId="9" state="visible" r:id="rId9"/>
    <sheet xmlns:r="http://schemas.openxmlformats.org/officeDocument/2006/relationships" name="Deviation_Severity" sheetId="10" state="visible" r:id="rId10"/>
    <sheet xmlns:r="http://schemas.openxmlformats.org/officeDocument/2006/relationships" name="Maintenance_Analysis" sheetId="11" state="visible" r:id="rId11"/>
    <sheet xmlns:r="http://schemas.openxmlformats.org/officeDocument/2006/relationships" name="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0.0"/>
    <numFmt numFmtId="167" formatCode="0.000"/>
  </numFmts>
  <fonts count="7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20"/>
    </font>
    <font>
      <b val="1"/>
      <sz val="11"/>
    </font>
    <font>
      <b val="1"/>
      <sz val="16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OEE by Production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'Line_Analysis'!D1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'Line_Analysis'!$A$2:$A$3</f>
            </numRef>
          </cat>
          <val>
            <numRef>
              <f>'Line_Analysis'!$D$2:$D$3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OEE by Shift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'Shift_Analysis'!D1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'Shift_Analysis'!$A$2:$A$4</f>
            </numRef>
          </cat>
          <val>
            <numRef>
              <f>'Shift_Analysis'!$D$2:$D$4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Maintenance Downtime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'Maintenance_Analysis'!C1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'Maintenance_Analysis'!$A$2:$A$4</f>
            </numRef>
          </cat>
          <val>
            <numRef>
              <f>'Maintenance_Analysis'!$C$2:$C$4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Deviation Events by Type</a:t>
            </a:r>
          </a:p>
        </rich>
      </tx>
    </title>
    <plotArea>
      <pieChart>
        <varyColors val="1"/>
        <ser>
          <idx val="0"/>
          <order val="0"/>
          <tx>
            <strRef>
              <f>'Deviation_Analysis'!B1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'Deviation_Analysis'!$A$2:$A$6</f>
            </numRef>
          </cat>
          <val>
            <numRef>
              <f>'Deviation_Analysis'!$B$2:$B$6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22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6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harmaProduction" displayName="PharmaProduction" ref="A4:AB244" headerRowCount="1">
  <autoFilter ref="A4:AB244"/>
  <tableColumns count="28">
    <tableColumn id="1" name="Batch_ID"/>
    <tableColumn id="2" name="Date"/>
    <tableColumn id="3" name="Production_Line"/>
    <tableColumn id="4" name="Product"/>
    <tableColumn id="5" name="Shift"/>
    <tableColumn id="6" name="Planned_Units"/>
    <tableColumn id="7" name="Actual_Units"/>
    <tableColumn id="8" name="Good_Units"/>
    <tableColumn id="9" name="Rejected_Units"/>
    <tableColumn id="10" name="Material_Input_kg"/>
    <tableColumn id="11" name="Downtime_hr"/>
    <tableColumn id="12" name="Deviation_Type"/>
    <tableColumn id="13" name="Batch_Status"/>
    <tableColumn id="14" name="Maintenance_Type"/>
    <tableColumn id="15" name="Maintenance_Cost_USD"/>
    <tableColumn id="16" name="Labor_Hours"/>
    <tableColumn id="17" name="Energy_kWh"/>
    <tableColumn id="18" name="Run_Hours"/>
    <tableColumn id="19" name="Achievement_%"/>
    <tableColumn id="20" name="Availability_%"/>
    <tableColumn id="21" name="Performance_%"/>
    <tableColumn id="22" name="Quality_%"/>
    <tableColumn id="23" name="OEE_%"/>
    <tableColumn id="24" name="Yield_%"/>
    <tableColumn id="25" name="Reject_Rate_%"/>
    <tableColumn id="26" name="Units_per_Labor_Hour"/>
    <tableColumn id="27" name="Energy_per_Unit"/>
    <tableColumn id="28" name="Batch_Cycle_hr"/>
  </tableColumns>
  <tableStyleInfo name="TableStyleMedium2" showRowStripes="1"/>
</table>
</file>

<file path=xl/tables/table2.xml><?xml version="1.0" encoding="utf-8"?>
<table xmlns="http://schemas.openxmlformats.org/spreadsheetml/2006/main" id="2" name="DeviationLog" displayName="DeviationLog" ref="A3:I62" headerRowCount="1">
  <autoFilter ref="A3:I62"/>
  <tableColumns count="9">
    <tableColumn id="1" name="Deviation_ID"/>
    <tableColumn id="2" name="Date"/>
    <tableColumn id="3" name="Batch_ID"/>
    <tableColumn id="4" name="Production_Line"/>
    <tableColumn id="5" name="Product"/>
    <tableColumn id="6" name="Deviation_Type"/>
    <tableColumn id="7" name="Severity"/>
    <tableColumn id="8" name="Disposition"/>
    <tableColumn id="9" name="Investigation_Hours"/>
  </tableColumns>
  <tableStyleInfo name="TableStyleMedium4" showRowStripes="1"/>
</table>
</file>

<file path=xl/tables/table3.xml><?xml version="1.0" encoding="utf-8"?>
<table xmlns="http://schemas.openxmlformats.org/spreadsheetml/2006/main" id="3" name="PharmaMaintenance" displayName="PharmaMaintenance" ref="A3:J78" headerRowCount="1">
  <autoFilter ref="A3:J78"/>
  <tableColumns count="10">
    <tableColumn id="1" name="Maintenance_ID"/>
    <tableColumn id="2" name="Date"/>
    <tableColumn id="3" name="Batch_ID"/>
    <tableColumn id="4" name="Production_Line"/>
    <tableColumn id="5" name="Product"/>
    <tableColumn id="6" name="Maintenance_Type"/>
    <tableColumn id="7" name="Downtime_hr"/>
    <tableColumn id="8" name="Technician_Hours"/>
    <tableColumn id="9" name="Maintenance_Cost_USD"/>
    <tableColumn id="10" name="Statu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8" max="28"/>
  </cols>
  <sheetData>
    <row r="1">
      <c r="A1" s="1" t="inlineStr">
        <is>
          <t>PHARMACEUTICAL MANUFACTURING — PRODUCTION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>
      <c r="A2" s="2" t="inlineStr">
        <is>
          <t>Training dataset | 120 days | 240 production batches | Synthetic data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3" t="inlineStr">
        <is>
          <t>Batch_ID</t>
        </is>
      </c>
      <c r="B4" s="3" t="inlineStr">
        <is>
          <t>Date</t>
        </is>
      </c>
      <c r="C4" s="3" t="inlineStr">
        <is>
          <t>Production_Line</t>
        </is>
      </c>
      <c r="D4" s="3" t="inlineStr">
        <is>
          <t>Product</t>
        </is>
      </c>
      <c r="E4" s="3" t="inlineStr">
        <is>
          <t>Shift</t>
        </is>
      </c>
      <c r="F4" s="3" t="inlineStr">
        <is>
          <t>Planned_Units</t>
        </is>
      </c>
      <c r="G4" s="3" t="inlineStr">
        <is>
          <t>Actual_Units</t>
        </is>
      </c>
      <c r="H4" s="3" t="inlineStr">
        <is>
          <t>Good_Units</t>
        </is>
      </c>
      <c r="I4" s="3" t="inlineStr">
        <is>
          <t>Rejected_Units</t>
        </is>
      </c>
      <c r="J4" s="3" t="inlineStr">
        <is>
          <t>Material_Input_kg</t>
        </is>
      </c>
      <c r="K4" s="3" t="inlineStr">
        <is>
          <t>Downtime_hr</t>
        </is>
      </c>
      <c r="L4" s="3" t="inlineStr">
        <is>
          <t>Deviation_Type</t>
        </is>
      </c>
      <c r="M4" s="3" t="inlineStr">
        <is>
          <t>Batch_Status</t>
        </is>
      </c>
      <c r="N4" s="3" t="inlineStr">
        <is>
          <t>Maintenance_Type</t>
        </is>
      </c>
      <c r="O4" s="3" t="inlineStr">
        <is>
          <t>Maintenance_Cost_USD</t>
        </is>
      </c>
      <c r="P4" s="3" t="inlineStr">
        <is>
          <t>Labor_Hours</t>
        </is>
      </c>
      <c r="Q4" s="3" t="inlineStr">
        <is>
          <t>Energy_kWh</t>
        </is>
      </c>
      <c r="R4" s="3" t="inlineStr">
        <is>
          <t>Run_Hours</t>
        </is>
      </c>
      <c r="S4" s="3" t="inlineStr">
        <is>
          <t>Achievement_%</t>
        </is>
      </c>
      <c r="T4" s="3" t="inlineStr">
        <is>
          <t>Availability_%</t>
        </is>
      </c>
      <c r="U4" s="3" t="inlineStr">
        <is>
          <t>Performance_%</t>
        </is>
      </c>
      <c r="V4" s="3" t="inlineStr">
        <is>
          <t>Quality_%</t>
        </is>
      </c>
      <c r="W4" s="3" t="inlineStr">
        <is>
          <t>OEE_%</t>
        </is>
      </c>
      <c r="X4" s="3" t="inlineStr">
        <is>
          <t>Yield_%</t>
        </is>
      </c>
      <c r="Y4" s="3" t="inlineStr">
        <is>
          <t>Reject_Rate_%</t>
        </is>
      </c>
      <c r="Z4" s="3" t="inlineStr">
        <is>
          <t>Units_per_Labor_Hour</t>
        </is>
      </c>
      <c r="AA4" s="3" t="inlineStr">
        <is>
          <t>Energy_per_Unit</t>
        </is>
      </c>
      <c r="AB4" s="3" t="inlineStr">
        <is>
          <t>Batch_Cycle_hr</t>
        </is>
      </c>
    </row>
    <row r="5">
      <c r="A5" s="2" t="n">
        <v>1</v>
      </c>
      <c r="B5" s="4" t="n">
        <v>46023</v>
      </c>
      <c r="C5" s="2" t="inlineStr">
        <is>
          <t>Solid Dose Line 1</t>
        </is>
      </c>
      <c r="D5" s="2" t="inlineStr">
        <is>
          <t>Product C</t>
        </is>
      </c>
      <c r="E5" s="2" t="inlineStr">
        <is>
          <t>Day</t>
        </is>
      </c>
      <c r="F5" s="2" t="n">
        <v>9808</v>
      </c>
      <c r="G5" s="2" t="n">
        <v>8219.4</v>
      </c>
      <c r="H5" s="2" t="n">
        <v>8130.4</v>
      </c>
      <c r="I5" s="2" t="n">
        <v>89</v>
      </c>
      <c r="J5" s="2" t="n">
        <v>8379.9</v>
      </c>
      <c r="K5" s="2" t="n">
        <v>1.12</v>
      </c>
      <c r="L5" s="2" t="inlineStr">
        <is>
          <t>None</t>
        </is>
      </c>
      <c r="M5" s="2" t="inlineStr">
        <is>
          <t>Released</t>
        </is>
      </c>
      <c r="N5" s="2" t="inlineStr">
        <is>
          <t>None</t>
        </is>
      </c>
      <c r="O5" s="2" t="n">
        <v>0</v>
      </c>
      <c r="P5" s="2" t="n">
        <v>46.7</v>
      </c>
      <c r="Q5" s="2" t="n">
        <v>4473.5</v>
      </c>
      <c r="R5" s="2" t="n">
        <v>7.59</v>
      </c>
      <c r="S5" s="5">
        <f>G5/F5</f>
        <v/>
      </c>
      <c r="T5" s="5">
        <f>MAX(0,1/K5/8)</f>
        <v/>
      </c>
      <c r="U5" s="5">
        <f>IFERROR(G5/(F5*T5),0)</f>
        <v/>
      </c>
      <c r="V5" s="5">
        <f>IFERROR(H5/G5,0)</f>
        <v/>
      </c>
      <c r="W5" s="5">
        <f>T5*U5*V5</f>
        <v/>
      </c>
      <c r="X5" s="5">
        <f>IFERROR(G5/J5,0)</f>
        <v/>
      </c>
      <c r="Y5" s="5">
        <f>IFERROR(I5/G5,0)</f>
        <v/>
      </c>
      <c r="Z5" s="6">
        <f>IFERROR(G5/P5,0)</f>
        <v/>
      </c>
      <c r="AA5" s="7">
        <f>IFERROR(Q5/G5,0)</f>
        <v/>
      </c>
      <c r="AB5" s="8">
        <f>R5+K5</f>
        <v/>
      </c>
    </row>
    <row r="6">
      <c r="A6" s="2" t="n">
        <v>2</v>
      </c>
      <c r="B6" s="4" t="n">
        <v>46023</v>
      </c>
      <c r="C6" s="2" t="inlineStr">
        <is>
          <t>Solid Dose Line 2</t>
        </is>
      </c>
      <c r="D6" s="2" t="inlineStr">
        <is>
          <t>Product B</t>
        </is>
      </c>
      <c r="E6" s="2" t="inlineStr">
        <is>
          <t>Day</t>
        </is>
      </c>
      <c r="F6" s="2" t="n">
        <v>11976</v>
      </c>
      <c r="G6" s="2" t="n">
        <v>10820.7</v>
      </c>
      <c r="H6" s="2" t="n">
        <v>10607.5</v>
      </c>
      <c r="I6" s="2" t="n">
        <v>213.3</v>
      </c>
      <c r="J6" s="2" t="n">
        <v>10966.1</v>
      </c>
      <c r="K6" s="2" t="n">
        <v>0.45</v>
      </c>
      <c r="L6" s="2" t="inlineStr">
        <is>
          <t>None</t>
        </is>
      </c>
      <c r="M6" s="2" t="inlineStr">
        <is>
          <t>Released</t>
        </is>
      </c>
      <c r="N6" s="2" t="inlineStr">
        <is>
          <t>Preventive</t>
        </is>
      </c>
      <c r="O6" s="2" t="n">
        <v>267.41</v>
      </c>
      <c r="P6" s="2" t="n">
        <v>47.5</v>
      </c>
      <c r="Q6" s="2" t="n">
        <v>5083.3</v>
      </c>
      <c r="R6" s="2" t="n">
        <v>7.99</v>
      </c>
      <c r="S6" s="5">
        <f>G6/F6</f>
        <v/>
      </c>
      <c r="T6" s="5">
        <f>MAX(0,1/K6/8)</f>
        <v/>
      </c>
      <c r="U6" s="5">
        <f>IFERROR(G6/(F6*T6),0)</f>
        <v/>
      </c>
      <c r="V6" s="5">
        <f>IFERROR(H6/G6,0)</f>
        <v/>
      </c>
      <c r="W6" s="5">
        <f>T6*U6*V6</f>
        <v/>
      </c>
      <c r="X6" s="5">
        <f>IFERROR(G6/J6,0)</f>
        <v/>
      </c>
      <c r="Y6" s="5">
        <f>IFERROR(I6/G6,0)</f>
        <v/>
      </c>
      <c r="Z6" s="6">
        <f>IFERROR(G6/P6,0)</f>
        <v/>
      </c>
      <c r="AA6" s="7">
        <f>IFERROR(Q6/G6,0)</f>
        <v/>
      </c>
      <c r="AB6" s="8">
        <f>R6+K6</f>
        <v/>
      </c>
    </row>
    <row r="7">
      <c r="A7" s="2" t="n">
        <v>3</v>
      </c>
      <c r="B7" s="4" t="n">
        <v>46024</v>
      </c>
      <c r="C7" s="2" t="inlineStr">
        <is>
          <t>Solid Dose Line 1</t>
        </is>
      </c>
      <c r="D7" s="2" t="inlineStr">
        <is>
          <t>Product A</t>
        </is>
      </c>
      <c r="E7" s="2" t="inlineStr">
        <is>
          <t>Evening</t>
        </is>
      </c>
      <c r="F7" s="2" t="n">
        <v>9891</v>
      </c>
      <c r="G7" s="2" t="n">
        <v>8314.299999999999</v>
      </c>
      <c r="H7" s="2" t="n">
        <v>8253.799999999999</v>
      </c>
      <c r="I7" s="2" t="n">
        <v>60.5</v>
      </c>
      <c r="J7" s="2" t="n">
        <v>8475</v>
      </c>
      <c r="K7" s="2" t="n">
        <v>0.95</v>
      </c>
      <c r="L7" s="2" t="inlineStr">
        <is>
          <t>None</t>
        </is>
      </c>
      <c r="M7" s="2" t="inlineStr">
        <is>
          <t>Released</t>
        </is>
      </c>
      <c r="N7" s="2" t="inlineStr">
        <is>
          <t>None</t>
        </is>
      </c>
      <c r="O7" s="2" t="n">
        <v>0</v>
      </c>
      <c r="P7" s="2" t="n">
        <v>45.8</v>
      </c>
      <c r="Q7" s="2" t="n">
        <v>4358.5</v>
      </c>
      <c r="R7" s="2" t="n">
        <v>6.59</v>
      </c>
      <c r="S7" s="5">
        <f>G7/F7</f>
        <v/>
      </c>
      <c r="T7" s="5">
        <f>MAX(0,1/K7/8)</f>
        <v/>
      </c>
      <c r="U7" s="5">
        <f>IFERROR(G7/(F7*T7),0)</f>
        <v/>
      </c>
      <c r="V7" s="5">
        <f>IFERROR(H7/G7,0)</f>
        <v/>
      </c>
      <c r="W7" s="5">
        <f>T7*U7*V7</f>
        <v/>
      </c>
      <c r="X7" s="5">
        <f>IFERROR(G7/J7,0)</f>
        <v/>
      </c>
      <c r="Y7" s="5">
        <f>IFERROR(I7/G7,0)</f>
        <v/>
      </c>
      <c r="Z7" s="6">
        <f>IFERROR(G7/P7,0)</f>
        <v/>
      </c>
      <c r="AA7" s="7">
        <f>IFERROR(Q7/G7,0)</f>
        <v/>
      </c>
      <c r="AB7" s="8">
        <f>R7+K7</f>
        <v/>
      </c>
    </row>
    <row r="8">
      <c r="A8" s="2" t="n">
        <v>4</v>
      </c>
      <c r="B8" s="4" t="n">
        <v>46024</v>
      </c>
      <c r="C8" s="2" t="inlineStr">
        <is>
          <t>Solid Dose Line 2</t>
        </is>
      </c>
      <c r="D8" s="2" t="inlineStr">
        <is>
          <t>Product C</t>
        </is>
      </c>
      <c r="E8" s="2" t="inlineStr">
        <is>
          <t>Evening</t>
        </is>
      </c>
      <c r="F8" s="2" t="n">
        <v>9523</v>
      </c>
      <c r="G8" s="2" t="n">
        <v>6660.6</v>
      </c>
      <c r="H8" s="2" t="n">
        <v>6048.2</v>
      </c>
      <c r="I8" s="2" t="n">
        <v>612.4</v>
      </c>
      <c r="J8" s="2" t="n">
        <v>6834.2</v>
      </c>
      <c r="K8" s="2" t="n">
        <v>2.05</v>
      </c>
      <c r="L8" s="2" t="inlineStr">
        <is>
          <t>Documentation</t>
        </is>
      </c>
      <c r="M8" s="2" t="inlineStr">
        <is>
          <t>Rejected</t>
        </is>
      </c>
      <c r="N8" s="2" t="inlineStr">
        <is>
          <t>None</t>
        </is>
      </c>
      <c r="O8" s="2" t="n">
        <v>0</v>
      </c>
      <c r="P8" s="2" t="n">
        <v>46.9</v>
      </c>
      <c r="Q8" s="2" t="n">
        <v>3211.1</v>
      </c>
      <c r="R8" s="2" t="n">
        <v>6.74</v>
      </c>
      <c r="S8" s="5">
        <f>G8/F8</f>
        <v/>
      </c>
      <c r="T8" s="5">
        <f>MAX(0,1/K8/8)</f>
        <v/>
      </c>
      <c r="U8" s="5">
        <f>IFERROR(G8/(F8*T8),0)</f>
        <v/>
      </c>
      <c r="V8" s="5">
        <f>IFERROR(H8/G8,0)</f>
        <v/>
      </c>
      <c r="W8" s="5">
        <f>T8*U8*V8</f>
        <v/>
      </c>
      <c r="X8" s="5">
        <f>IFERROR(G8/J8,0)</f>
        <v/>
      </c>
      <c r="Y8" s="5">
        <f>IFERROR(I8/G8,0)</f>
        <v/>
      </c>
      <c r="Z8" s="6">
        <f>IFERROR(G8/P8,0)</f>
        <v/>
      </c>
      <c r="AA8" s="7">
        <f>IFERROR(Q8/G8,0)</f>
        <v/>
      </c>
      <c r="AB8" s="8">
        <f>R8+K8</f>
        <v/>
      </c>
    </row>
    <row r="9">
      <c r="A9" s="2" t="n">
        <v>5</v>
      </c>
      <c r="B9" s="4" t="n">
        <v>46025</v>
      </c>
      <c r="C9" s="2" t="inlineStr">
        <is>
          <t>Solid Dose Line 1</t>
        </is>
      </c>
      <c r="D9" s="2" t="inlineStr">
        <is>
          <t>Product B</t>
        </is>
      </c>
      <c r="E9" s="2" t="inlineStr">
        <is>
          <t>Evening</t>
        </is>
      </c>
      <c r="F9" s="2" t="n">
        <v>10977</v>
      </c>
      <c r="G9" s="2" t="n">
        <v>7777.8</v>
      </c>
      <c r="H9" s="2" t="n">
        <v>7656.7</v>
      </c>
      <c r="I9" s="2" t="n">
        <v>121.1</v>
      </c>
      <c r="J9" s="2" t="n">
        <v>7888.4</v>
      </c>
      <c r="K9" s="2" t="n">
        <v>2.2</v>
      </c>
      <c r="L9" s="2" t="inlineStr">
        <is>
          <t>None</t>
        </is>
      </c>
      <c r="M9" s="2" t="inlineStr">
        <is>
          <t>Released</t>
        </is>
      </c>
      <c r="N9" s="2" t="inlineStr">
        <is>
          <t>None</t>
        </is>
      </c>
      <c r="O9" s="2" t="n">
        <v>0</v>
      </c>
      <c r="P9" s="2" t="n">
        <v>43.5</v>
      </c>
      <c r="Q9" s="2" t="n">
        <v>4271.9</v>
      </c>
      <c r="R9" s="2" t="n">
        <v>7.34</v>
      </c>
      <c r="S9" s="5">
        <f>G9/F9</f>
        <v/>
      </c>
      <c r="T9" s="5">
        <f>MAX(0,1/K9/8)</f>
        <v/>
      </c>
      <c r="U9" s="5">
        <f>IFERROR(G9/(F9*T9),0)</f>
        <v/>
      </c>
      <c r="V9" s="5">
        <f>IFERROR(H9/G9,0)</f>
        <v/>
      </c>
      <c r="W9" s="5">
        <f>T9*U9*V9</f>
        <v/>
      </c>
      <c r="X9" s="5">
        <f>IFERROR(G9/J9,0)</f>
        <v/>
      </c>
      <c r="Y9" s="5">
        <f>IFERROR(I9/G9,0)</f>
        <v/>
      </c>
      <c r="Z9" s="6">
        <f>IFERROR(G9/P9,0)</f>
        <v/>
      </c>
      <c r="AA9" s="7">
        <f>IFERROR(Q9/G9,0)</f>
        <v/>
      </c>
      <c r="AB9" s="8">
        <f>R9+K9</f>
        <v/>
      </c>
    </row>
    <row r="10">
      <c r="A10" s="2" t="n">
        <v>6</v>
      </c>
      <c r="B10" s="4" t="n">
        <v>46025</v>
      </c>
      <c r="C10" s="2" t="inlineStr">
        <is>
          <t>Solid Dose Line 2</t>
        </is>
      </c>
      <c r="D10" s="2" t="inlineStr">
        <is>
          <t>Product C</t>
        </is>
      </c>
      <c r="E10" s="2" t="inlineStr">
        <is>
          <t>Night</t>
        </is>
      </c>
      <c r="F10" s="2" t="n">
        <v>10595</v>
      </c>
      <c r="G10" s="2" t="n">
        <v>6699</v>
      </c>
      <c r="H10" s="2" t="n">
        <v>6201.9</v>
      </c>
      <c r="I10" s="2" t="n">
        <v>497.1</v>
      </c>
      <c r="J10" s="2" t="n">
        <v>6799.1</v>
      </c>
      <c r="K10" s="2" t="n">
        <v>2.6</v>
      </c>
      <c r="L10" s="2" t="inlineStr">
        <is>
          <t>None</t>
        </is>
      </c>
      <c r="M10" s="2" t="inlineStr">
        <is>
          <t>Rejected</t>
        </is>
      </c>
      <c r="N10" s="2" t="inlineStr">
        <is>
          <t>None</t>
        </is>
      </c>
      <c r="O10" s="2" t="n">
        <v>0</v>
      </c>
      <c r="P10" s="2" t="n">
        <v>39.3</v>
      </c>
      <c r="Q10" s="2" t="n">
        <v>3682</v>
      </c>
      <c r="R10" s="2" t="n">
        <v>7.31</v>
      </c>
      <c r="S10" s="5">
        <f>G10/F10</f>
        <v/>
      </c>
      <c r="T10" s="5">
        <f>MAX(0,1/K10/8)</f>
        <v/>
      </c>
      <c r="U10" s="5">
        <f>IFERROR(G10/(F10*T10),0)</f>
        <v/>
      </c>
      <c r="V10" s="5">
        <f>IFERROR(H10/G10,0)</f>
        <v/>
      </c>
      <c r="W10" s="5">
        <f>T10*U10*V10</f>
        <v/>
      </c>
      <c r="X10" s="5">
        <f>IFERROR(G10/J10,0)</f>
        <v/>
      </c>
      <c r="Y10" s="5">
        <f>IFERROR(I10/G10,0)</f>
        <v/>
      </c>
      <c r="Z10" s="6">
        <f>IFERROR(G10/P10,0)</f>
        <v/>
      </c>
      <c r="AA10" s="7">
        <f>IFERROR(Q10/G10,0)</f>
        <v/>
      </c>
      <c r="AB10" s="8">
        <f>R10+K10</f>
        <v/>
      </c>
    </row>
    <row r="11">
      <c r="A11" s="2" t="n">
        <v>7</v>
      </c>
      <c r="B11" s="4" t="n">
        <v>46026</v>
      </c>
      <c r="C11" s="2" t="inlineStr">
        <is>
          <t>Solid Dose Line 1</t>
        </is>
      </c>
      <c r="D11" s="2" t="inlineStr">
        <is>
          <t>Product C</t>
        </is>
      </c>
      <c r="E11" s="2" t="inlineStr">
        <is>
          <t>Evening</t>
        </is>
      </c>
      <c r="F11" s="2" t="n">
        <v>10507</v>
      </c>
      <c r="G11" s="2" t="n">
        <v>7714.1</v>
      </c>
      <c r="H11" s="2" t="n">
        <v>7563.9</v>
      </c>
      <c r="I11" s="2" t="n">
        <v>150.3</v>
      </c>
      <c r="J11" s="2" t="n">
        <v>7821.4</v>
      </c>
      <c r="K11" s="2" t="n">
        <v>1.62</v>
      </c>
      <c r="L11" s="2" t="inlineStr">
        <is>
          <t>None</t>
        </is>
      </c>
      <c r="M11" s="2" t="inlineStr">
        <is>
          <t>Released</t>
        </is>
      </c>
      <c r="N11" s="2" t="inlineStr">
        <is>
          <t>None</t>
        </is>
      </c>
      <c r="O11" s="2" t="n">
        <v>0</v>
      </c>
      <c r="P11" s="2" t="n">
        <v>41.7</v>
      </c>
      <c r="Q11" s="2" t="n">
        <v>3644</v>
      </c>
      <c r="R11" s="2" t="n">
        <v>7.76</v>
      </c>
      <c r="S11" s="5">
        <f>G11/F11</f>
        <v/>
      </c>
      <c r="T11" s="5">
        <f>MAX(0,1/K11/8)</f>
        <v/>
      </c>
      <c r="U11" s="5">
        <f>IFERROR(G11/(F11*T11),0)</f>
        <v/>
      </c>
      <c r="V11" s="5">
        <f>IFERROR(H11/G11,0)</f>
        <v/>
      </c>
      <c r="W11" s="5">
        <f>T11*U11*V11</f>
        <v/>
      </c>
      <c r="X11" s="5">
        <f>IFERROR(G11/J11,0)</f>
        <v/>
      </c>
      <c r="Y11" s="5">
        <f>IFERROR(I11/G11,0)</f>
        <v/>
      </c>
      <c r="Z11" s="6">
        <f>IFERROR(G11/P11,0)</f>
        <v/>
      </c>
      <c r="AA11" s="7">
        <f>IFERROR(Q11/G11,0)</f>
        <v/>
      </c>
      <c r="AB11" s="8">
        <f>R11+K11</f>
        <v/>
      </c>
    </row>
    <row r="12">
      <c r="A12" s="2" t="n">
        <v>8</v>
      </c>
      <c r="B12" s="4" t="n">
        <v>46026</v>
      </c>
      <c r="C12" s="2" t="inlineStr">
        <is>
          <t>Solid Dose Line 2</t>
        </is>
      </c>
      <c r="D12" s="2" t="inlineStr">
        <is>
          <t>Product B</t>
        </is>
      </c>
      <c r="E12" s="2" t="inlineStr">
        <is>
          <t>Day</t>
        </is>
      </c>
      <c r="F12" s="2" t="n">
        <v>11813</v>
      </c>
      <c r="G12" s="2" t="n">
        <v>10964.6</v>
      </c>
      <c r="H12" s="2" t="n">
        <v>10762.7</v>
      </c>
      <c r="I12" s="2" t="n">
        <v>201.9</v>
      </c>
      <c r="J12" s="2" t="n">
        <v>11150.5</v>
      </c>
      <c r="K12" s="2" t="n">
        <v>0</v>
      </c>
      <c r="L12" s="2" t="inlineStr">
        <is>
          <t>None</t>
        </is>
      </c>
      <c r="M12" s="2" t="inlineStr">
        <is>
          <t>Released</t>
        </is>
      </c>
      <c r="N12" s="2" t="inlineStr">
        <is>
          <t>None</t>
        </is>
      </c>
      <c r="O12" s="2" t="n">
        <v>0</v>
      </c>
      <c r="P12" s="2" t="n">
        <v>45.1</v>
      </c>
      <c r="Q12" s="2" t="n">
        <v>5921.5</v>
      </c>
      <c r="R12" s="2" t="n">
        <v>7.07</v>
      </c>
      <c r="S12" s="5">
        <f>G12/F12</f>
        <v/>
      </c>
      <c r="T12" s="5">
        <f>MAX(0,1/K12/8)</f>
        <v/>
      </c>
      <c r="U12" s="5">
        <f>IFERROR(G12/(F12*T12),0)</f>
        <v/>
      </c>
      <c r="V12" s="5">
        <f>IFERROR(H12/G12,0)</f>
        <v/>
      </c>
      <c r="W12" s="5">
        <f>T12*U12*V12</f>
        <v/>
      </c>
      <c r="X12" s="5">
        <f>IFERROR(G12/J12,0)</f>
        <v/>
      </c>
      <c r="Y12" s="5">
        <f>IFERROR(I12/G12,0)</f>
        <v/>
      </c>
      <c r="Z12" s="6">
        <f>IFERROR(G12/P12,0)</f>
        <v/>
      </c>
      <c r="AA12" s="7">
        <f>IFERROR(Q12/G12,0)</f>
        <v/>
      </c>
      <c r="AB12" s="8">
        <f>R12+K12</f>
        <v/>
      </c>
    </row>
    <row r="13">
      <c r="A13" s="2" t="n">
        <v>9</v>
      </c>
      <c r="B13" s="4" t="n">
        <v>46027</v>
      </c>
      <c r="C13" s="2" t="inlineStr">
        <is>
          <t>Solid Dose Line 1</t>
        </is>
      </c>
      <c r="D13" s="2" t="inlineStr">
        <is>
          <t>Product B</t>
        </is>
      </c>
      <c r="E13" s="2" t="inlineStr">
        <is>
          <t>Day</t>
        </is>
      </c>
      <c r="F13" s="2" t="n">
        <v>10017</v>
      </c>
      <c r="G13" s="2" t="n">
        <v>8309.299999999999</v>
      </c>
      <c r="H13" s="2" t="n">
        <v>8279.4</v>
      </c>
      <c r="I13" s="2" t="n">
        <v>29.9</v>
      </c>
      <c r="J13" s="2" t="n">
        <v>8373.4</v>
      </c>
      <c r="K13" s="2" t="n">
        <v>0.84</v>
      </c>
      <c r="L13" s="2" t="inlineStr">
        <is>
          <t>None</t>
        </is>
      </c>
      <c r="M13" s="2" t="inlineStr">
        <is>
          <t>Released</t>
        </is>
      </c>
      <c r="N13" s="2" t="inlineStr">
        <is>
          <t>None</t>
        </is>
      </c>
      <c r="O13" s="2" t="n">
        <v>0</v>
      </c>
      <c r="P13" s="2" t="n">
        <v>43.5</v>
      </c>
      <c r="Q13" s="2" t="n">
        <v>4453.2</v>
      </c>
      <c r="R13" s="2" t="n">
        <v>7.6</v>
      </c>
      <c r="S13" s="5">
        <f>G13/F13</f>
        <v/>
      </c>
      <c r="T13" s="5">
        <f>MAX(0,1/K13/8)</f>
        <v/>
      </c>
      <c r="U13" s="5">
        <f>IFERROR(G13/(F13*T13),0)</f>
        <v/>
      </c>
      <c r="V13" s="5">
        <f>IFERROR(H13/G13,0)</f>
        <v/>
      </c>
      <c r="W13" s="5">
        <f>T13*U13*V13</f>
        <v/>
      </c>
      <c r="X13" s="5">
        <f>IFERROR(G13/J13,0)</f>
        <v/>
      </c>
      <c r="Y13" s="5">
        <f>IFERROR(I13/G13,0)</f>
        <v/>
      </c>
      <c r="Z13" s="6">
        <f>IFERROR(G13/P13,0)</f>
        <v/>
      </c>
      <c r="AA13" s="7">
        <f>IFERROR(Q13/G13,0)</f>
        <v/>
      </c>
      <c r="AB13" s="8">
        <f>R13+K13</f>
        <v/>
      </c>
    </row>
    <row r="14">
      <c r="A14" s="2" t="n">
        <v>10</v>
      </c>
      <c r="B14" s="4" t="n">
        <v>46027</v>
      </c>
      <c r="C14" s="2" t="inlineStr">
        <is>
          <t>Solid Dose Line 2</t>
        </is>
      </c>
      <c r="D14" s="2" t="inlineStr">
        <is>
          <t>Product A</t>
        </is>
      </c>
      <c r="E14" s="2" t="inlineStr">
        <is>
          <t>Evening</t>
        </is>
      </c>
      <c r="F14" s="2" t="n">
        <v>10586</v>
      </c>
      <c r="G14" s="2" t="n">
        <v>8446.4</v>
      </c>
      <c r="H14" s="2" t="n">
        <v>8348.5</v>
      </c>
      <c r="I14" s="2" t="n">
        <v>97.90000000000001</v>
      </c>
      <c r="J14" s="2" t="n">
        <v>8680.1</v>
      </c>
      <c r="K14" s="2" t="n">
        <v>1.09</v>
      </c>
      <c r="L14" s="2" t="inlineStr">
        <is>
          <t>None</t>
        </is>
      </c>
      <c r="M14" s="2" t="inlineStr">
        <is>
          <t>Released</t>
        </is>
      </c>
      <c r="N14" s="2" t="inlineStr">
        <is>
          <t>None</t>
        </is>
      </c>
      <c r="O14" s="2" t="n">
        <v>0</v>
      </c>
      <c r="P14" s="2" t="n">
        <v>44.2</v>
      </c>
      <c r="Q14" s="2" t="n">
        <v>4188.3</v>
      </c>
      <c r="R14" s="2" t="n">
        <v>7.65</v>
      </c>
      <c r="S14" s="5">
        <f>G14/F14</f>
        <v/>
      </c>
      <c r="T14" s="5">
        <f>MAX(0,1/K14/8)</f>
        <v/>
      </c>
      <c r="U14" s="5">
        <f>IFERROR(G14/(F14*T14),0)</f>
        <v/>
      </c>
      <c r="V14" s="5">
        <f>IFERROR(H14/G14,0)</f>
        <v/>
      </c>
      <c r="W14" s="5">
        <f>T14*U14*V14</f>
        <v/>
      </c>
      <c r="X14" s="5">
        <f>IFERROR(G14/J14,0)</f>
        <v/>
      </c>
      <c r="Y14" s="5">
        <f>IFERROR(I14/G14,0)</f>
        <v/>
      </c>
      <c r="Z14" s="6">
        <f>IFERROR(G14/P14,0)</f>
        <v/>
      </c>
      <c r="AA14" s="7">
        <f>IFERROR(Q14/G14,0)</f>
        <v/>
      </c>
      <c r="AB14" s="8">
        <f>R14+K14</f>
        <v/>
      </c>
    </row>
    <row r="15">
      <c r="A15" s="2" t="n">
        <v>11</v>
      </c>
      <c r="B15" s="4" t="n">
        <v>46028</v>
      </c>
      <c r="C15" s="2" t="inlineStr">
        <is>
          <t>Solid Dose Line 1</t>
        </is>
      </c>
      <c r="D15" s="2" t="inlineStr">
        <is>
          <t>Product A</t>
        </is>
      </c>
      <c r="E15" s="2" t="inlineStr">
        <is>
          <t>Night</t>
        </is>
      </c>
      <c r="F15" s="2" t="n">
        <v>11476</v>
      </c>
      <c r="G15" s="2" t="n">
        <v>8447.5</v>
      </c>
      <c r="H15" s="2" t="n">
        <v>8330.1</v>
      </c>
      <c r="I15" s="2" t="n">
        <v>117.5</v>
      </c>
      <c r="J15" s="2" t="n">
        <v>8546.200000000001</v>
      </c>
      <c r="K15" s="2" t="n">
        <v>1.63</v>
      </c>
      <c r="L15" s="2" t="inlineStr">
        <is>
          <t>None</t>
        </is>
      </c>
      <c r="M15" s="2" t="inlineStr">
        <is>
          <t>Released</t>
        </is>
      </c>
      <c r="N15" s="2" t="inlineStr">
        <is>
          <t>None</t>
        </is>
      </c>
      <c r="O15" s="2" t="n">
        <v>0</v>
      </c>
      <c r="P15" s="2" t="n">
        <v>32.6</v>
      </c>
      <c r="Q15" s="2" t="n">
        <v>4209.3</v>
      </c>
      <c r="R15" s="2" t="n">
        <v>6.59</v>
      </c>
      <c r="S15" s="5">
        <f>G15/F15</f>
        <v/>
      </c>
      <c r="T15" s="5">
        <f>MAX(0,1/K15/8)</f>
        <v/>
      </c>
      <c r="U15" s="5">
        <f>IFERROR(G15/(F15*T15),0)</f>
        <v/>
      </c>
      <c r="V15" s="5">
        <f>IFERROR(H15/G15,0)</f>
        <v/>
      </c>
      <c r="W15" s="5">
        <f>T15*U15*V15</f>
        <v/>
      </c>
      <c r="X15" s="5">
        <f>IFERROR(G15/J15,0)</f>
        <v/>
      </c>
      <c r="Y15" s="5">
        <f>IFERROR(I15/G15,0)</f>
        <v/>
      </c>
      <c r="Z15" s="6">
        <f>IFERROR(G15/P15,0)</f>
        <v/>
      </c>
      <c r="AA15" s="7">
        <f>IFERROR(Q15/G15,0)</f>
        <v/>
      </c>
      <c r="AB15" s="8">
        <f>R15+K15</f>
        <v/>
      </c>
    </row>
    <row r="16">
      <c r="A16" s="2" t="n">
        <v>12</v>
      </c>
      <c r="B16" s="4" t="n">
        <v>46028</v>
      </c>
      <c r="C16" s="2" t="inlineStr">
        <is>
          <t>Solid Dose Line 2</t>
        </is>
      </c>
      <c r="D16" s="2" t="inlineStr">
        <is>
          <t>Product C</t>
        </is>
      </c>
      <c r="E16" s="2" t="inlineStr">
        <is>
          <t>Day</t>
        </is>
      </c>
      <c r="F16" s="2" t="n">
        <v>11919</v>
      </c>
      <c r="G16" s="2" t="n">
        <v>8582.9</v>
      </c>
      <c r="H16" s="2" t="n">
        <v>8561</v>
      </c>
      <c r="I16" s="2" t="n">
        <v>21.9</v>
      </c>
      <c r="J16" s="2" t="n">
        <v>8688.200000000001</v>
      </c>
      <c r="K16" s="2" t="n">
        <v>1.63</v>
      </c>
      <c r="L16" s="2" t="inlineStr">
        <is>
          <t>None</t>
        </is>
      </c>
      <c r="M16" s="2" t="inlineStr">
        <is>
          <t>Released</t>
        </is>
      </c>
      <c r="N16" s="2" t="inlineStr">
        <is>
          <t>Preventive</t>
        </is>
      </c>
      <c r="O16" s="2" t="n">
        <v>415.95</v>
      </c>
      <c r="P16" s="2" t="n">
        <v>48</v>
      </c>
      <c r="Q16" s="2" t="n">
        <v>4749.4</v>
      </c>
      <c r="R16" s="2" t="n">
        <v>7.74</v>
      </c>
      <c r="S16" s="5">
        <f>G16/F16</f>
        <v/>
      </c>
      <c r="T16" s="5">
        <f>MAX(0,1/K16/8)</f>
        <v/>
      </c>
      <c r="U16" s="5">
        <f>IFERROR(G16/(F16*T16),0)</f>
        <v/>
      </c>
      <c r="V16" s="5">
        <f>IFERROR(H16/G16,0)</f>
        <v/>
      </c>
      <c r="W16" s="5">
        <f>T16*U16*V16</f>
        <v/>
      </c>
      <c r="X16" s="5">
        <f>IFERROR(G16/J16,0)</f>
        <v/>
      </c>
      <c r="Y16" s="5">
        <f>IFERROR(I16/G16,0)</f>
        <v/>
      </c>
      <c r="Z16" s="6">
        <f>IFERROR(G16/P16,0)</f>
        <v/>
      </c>
      <c r="AA16" s="7">
        <f>IFERROR(Q16/G16,0)</f>
        <v/>
      </c>
      <c r="AB16" s="8">
        <f>R16+K16</f>
        <v/>
      </c>
    </row>
    <row r="17">
      <c r="A17" s="2" t="n">
        <v>13</v>
      </c>
      <c r="B17" s="4" t="n">
        <v>46029</v>
      </c>
      <c r="C17" s="2" t="inlineStr">
        <is>
          <t>Solid Dose Line 1</t>
        </is>
      </c>
      <c r="D17" s="2" t="inlineStr">
        <is>
          <t>Product B</t>
        </is>
      </c>
      <c r="E17" s="2" t="inlineStr">
        <is>
          <t>Night</t>
        </is>
      </c>
      <c r="F17" s="2" t="n">
        <v>10361</v>
      </c>
      <c r="G17" s="2" t="n">
        <v>8844.4</v>
      </c>
      <c r="H17" s="2" t="n">
        <v>8721.9</v>
      </c>
      <c r="I17" s="2" t="n">
        <v>122.4</v>
      </c>
      <c r="J17" s="2" t="n">
        <v>8946.200000000001</v>
      </c>
      <c r="K17" s="2" t="n">
        <v>0.84</v>
      </c>
      <c r="L17" s="2" t="inlineStr">
        <is>
          <t>None</t>
        </is>
      </c>
      <c r="M17" s="2" t="inlineStr">
        <is>
          <t>Released</t>
        </is>
      </c>
      <c r="N17" s="2" t="inlineStr">
        <is>
          <t>None</t>
        </is>
      </c>
      <c r="O17" s="2" t="n">
        <v>0</v>
      </c>
      <c r="P17" s="2" t="n">
        <v>33.5</v>
      </c>
      <c r="Q17" s="2" t="n">
        <v>4446.7</v>
      </c>
      <c r="R17" s="2" t="n">
        <v>7.07</v>
      </c>
      <c r="S17" s="5">
        <f>G17/F17</f>
        <v/>
      </c>
      <c r="T17" s="5">
        <f>MAX(0,1/K17/8)</f>
        <v/>
      </c>
      <c r="U17" s="5">
        <f>IFERROR(G17/(F17*T17),0)</f>
        <v/>
      </c>
      <c r="V17" s="5">
        <f>IFERROR(H17/G17,0)</f>
        <v/>
      </c>
      <c r="W17" s="5">
        <f>T17*U17*V17</f>
        <v/>
      </c>
      <c r="X17" s="5">
        <f>IFERROR(G17/J17,0)</f>
        <v/>
      </c>
      <c r="Y17" s="5">
        <f>IFERROR(I17/G17,0)</f>
        <v/>
      </c>
      <c r="Z17" s="6">
        <f>IFERROR(G17/P17,0)</f>
        <v/>
      </c>
      <c r="AA17" s="7">
        <f>IFERROR(Q17/G17,0)</f>
        <v/>
      </c>
      <c r="AB17" s="8">
        <f>R17+K17</f>
        <v/>
      </c>
    </row>
    <row r="18">
      <c r="A18" s="2" t="n">
        <v>14</v>
      </c>
      <c r="B18" s="4" t="n">
        <v>46029</v>
      </c>
      <c r="C18" s="2" t="inlineStr">
        <is>
          <t>Solid Dose Line 2</t>
        </is>
      </c>
      <c r="D18" s="2" t="inlineStr">
        <is>
          <t>Product A</t>
        </is>
      </c>
      <c r="E18" s="2" t="inlineStr">
        <is>
          <t>Night</t>
        </is>
      </c>
      <c r="F18" s="2" t="n">
        <v>11207</v>
      </c>
      <c r="G18" s="2" t="n">
        <v>9897.700000000001</v>
      </c>
      <c r="H18" s="2" t="n">
        <v>9762.799999999999</v>
      </c>
      <c r="I18" s="2" t="n">
        <v>134.9</v>
      </c>
      <c r="J18" s="2" t="n">
        <v>10069.3</v>
      </c>
      <c r="K18" s="2" t="n">
        <v>0.61</v>
      </c>
      <c r="L18" s="2" t="inlineStr">
        <is>
          <t>None</t>
        </is>
      </c>
      <c r="M18" s="2" t="inlineStr">
        <is>
          <t>Released</t>
        </is>
      </c>
      <c r="N18" s="2" t="inlineStr">
        <is>
          <t>Preventive</t>
        </is>
      </c>
      <c r="O18" s="2" t="n">
        <v>341.27</v>
      </c>
      <c r="P18" s="2" t="n">
        <v>32.7</v>
      </c>
      <c r="Q18" s="2" t="n">
        <v>5309</v>
      </c>
      <c r="R18" s="2" t="n">
        <v>7.49</v>
      </c>
      <c r="S18" s="5">
        <f>G18/F18</f>
        <v/>
      </c>
      <c r="T18" s="5">
        <f>MAX(0,1/K18/8)</f>
        <v/>
      </c>
      <c r="U18" s="5">
        <f>IFERROR(G18/(F18*T18),0)</f>
        <v/>
      </c>
      <c r="V18" s="5">
        <f>IFERROR(H18/G18,0)</f>
        <v/>
      </c>
      <c r="W18" s="5">
        <f>T18*U18*V18</f>
        <v/>
      </c>
      <c r="X18" s="5">
        <f>IFERROR(G18/J18,0)</f>
        <v/>
      </c>
      <c r="Y18" s="5">
        <f>IFERROR(I18/G18,0)</f>
        <v/>
      </c>
      <c r="Z18" s="6">
        <f>IFERROR(G18/P18,0)</f>
        <v/>
      </c>
      <c r="AA18" s="7">
        <f>IFERROR(Q18/G18,0)</f>
        <v/>
      </c>
      <c r="AB18" s="8">
        <f>R18+K18</f>
        <v/>
      </c>
    </row>
    <row r="19">
      <c r="A19" s="2" t="n">
        <v>15</v>
      </c>
      <c r="B19" s="4" t="n">
        <v>46030</v>
      </c>
      <c r="C19" s="2" t="inlineStr">
        <is>
          <t>Solid Dose Line 1</t>
        </is>
      </c>
      <c r="D19" s="2" t="inlineStr">
        <is>
          <t>Product C</t>
        </is>
      </c>
      <c r="E19" s="2" t="inlineStr">
        <is>
          <t>Day</t>
        </is>
      </c>
      <c r="F19" s="2" t="n">
        <v>9249</v>
      </c>
      <c r="G19" s="2" t="n">
        <v>5916</v>
      </c>
      <c r="H19" s="2" t="n">
        <v>5825</v>
      </c>
      <c r="I19" s="2" t="n">
        <v>91.09999999999999</v>
      </c>
      <c r="J19" s="2" t="n">
        <v>6009.6</v>
      </c>
      <c r="K19" s="2" t="n">
        <v>2.43</v>
      </c>
      <c r="L19" s="2" t="inlineStr">
        <is>
          <t>None</t>
        </is>
      </c>
      <c r="M19" s="2" t="inlineStr">
        <is>
          <t>Released</t>
        </is>
      </c>
      <c r="N19" s="2" t="inlineStr">
        <is>
          <t>Preventive</t>
        </is>
      </c>
      <c r="O19" s="2" t="n">
        <v>193.89</v>
      </c>
      <c r="P19" s="2" t="n">
        <v>47.2</v>
      </c>
      <c r="Q19" s="2" t="n">
        <v>3089</v>
      </c>
      <c r="R19" s="2" t="n">
        <v>7.64</v>
      </c>
      <c r="S19" s="5">
        <f>G19/F19</f>
        <v/>
      </c>
      <c r="T19" s="5">
        <f>MAX(0,1/K19/8)</f>
        <v/>
      </c>
      <c r="U19" s="5">
        <f>IFERROR(G19/(F19*T19),0)</f>
        <v/>
      </c>
      <c r="V19" s="5">
        <f>IFERROR(H19/G19,0)</f>
        <v/>
      </c>
      <c r="W19" s="5">
        <f>T19*U19*V19</f>
        <v/>
      </c>
      <c r="X19" s="5">
        <f>IFERROR(G19/J19,0)</f>
        <v/>
      </c>
      <c r="Y19" s="5">
        <f>IFERROR(I19/G19,0)</f>
        <v/>
      </c>
      <c r="Z19" s="6">
        <f>IFERROR(G19/P19,0)</f>
        <v/>
      </c>
      <c r="AA19" s="7">
        <f>IFERROR(Q19/G19,0)</f>
        <v/>
      </c>
      <c r="AB19" s="8">
        <f>R19+K19</f>
        <v/>
      </c>
    </row>
    <row r="20">
      <c r="A20" s="2" t="n">
        <v>16</v>
      </c>
      <c r="B20" s="4" t="n">
        <v>46030</v>
      </c>
      <c r="C20" s="2" t="inlineStr">
        <is>
          <t>Solid Dose Line 2</t>
        </is>
      </c>
      <c r="D20" s="2" t="inlineStr">
        <is>
          <t>Product B</t>
        </is>
      </c>
      <c r="E20" s="2" t="inlineStr">
        <is>
          <t>Day</t>
        </is>
      </c>
      <c r="F20" s="2" t="n">
        <v>11924</v>
      </c>
      <c r="G20" s="2" t="n">
        <v>7626.2</v>
      </c>
      <c r="H20" s="2" t="n">
        <v>7553.4</v>
      </c>
      <c r="I20" s="2" t="n">
        <v>72.8</v>
      </c>
      <c r="J20" s="2" t="n">
        <v>7760.7</v>
      </c>
      <c r="K20" s="2" t="n">
        <v>3.13</v>
      </c>
      <c r="L20" s="2" t="inlineStr">
        <is>
          <t>Material</t>
        </is>
      </c>
      <c r="M20" s="2" t="inlineStr">
        <is>
          <t>Released</t>
        </is>
      </c>
      <c r="N20" s="2" t="inlineStr">
        <is>
          <t>None</t>
        </is>
      </c>
      <c r="O20" s="2" t="n">
        <v>0</v>
      </c>
      <c r="P20" s="2" t="n">
        <v>40.4</v>
      </c>
      <c r="Q20" s="2" t="n">
        <v>3969.3</v>
      </c>
      <c r="R20" s="2" t="n">
        <v>7.27</v>
      </c>
      <c r="S20" s="5">
        <f>G20/F20</f>
        <v/>
      </c>
      <c r="T20" s="5">
        <f>MAX(0,1/K20/8)</f>
        <v/>
      </c>
      <c r="U20" s="5">
        <f>IFERROR(G20/(F20*T20),0)</f>
        <v/>
      </c>
      <c r="V20" s="5">
        <f>IFERROR(H20/G20,0)</f>
        <v/>
      </c>
      <c r="W20" s="5">
        <f>T20*U20*V20</f>
        <v/>
      </c>
      <c r="X20" s="5">
        <f>IFERROR(G20/J20,0)</f>
        <v/>
      </c>
      <c r="Y20" s="5">
        <f>IFERROR(I20/G20,0)</f>
        <v/>
      </c>
      <c r="Z20" s="6">
        <f>IFERROR(G20/P20,0)</f>
        <v/>
      </c>
      <c r="AA20" s="7">
        <f>IFERROR(Q20/G20,0)</f>
        <v/>
      </c>
      <c r="AB20" s="8">
        <f>R20+K20</f>
        <v/>
      </c>
    </row>
    <row r="21">
      <c r="A21" s="2" t="n">
        <v>17</v>
      </c>
      <c r="B21" s="4" t="n">
        <v>46031</v>
      </c>
      <c r="C21" s="2" t="inlineStr">
        <is>
          <t>Solid Dose Line 1</t>
        </is>
      </c>
      <c r="D21" s="2" t="inlineStr">
        <is>
          <t>Product B</t>
        </is>
      </c>
      <c r="E21" s="2" t="inlineStr">
        <is>
          <t>Evening</t>
        </is>
      </c>
      <c r="F21" s="2" t="n">
        <v>9470</v>
      </c>
      <c r="G21" s="2" t="n">
        <v>7024.4</v>
      </c>
      <c r="H21" s="2" t="n">
        <v>6942.6</v>
      </c>
      <c r="I21" s="2" t="n">
        <v>81.7</v>
      </c>
      <c r="J21" s="2" t="n">
        <v>7185.1</v>
      </c>
      <c r="K21" s="2" t="n">
        <v>2</v>
      </c>
      <c r="L21" s="2" t="inlineStr">
        <is>
          <t>None</t>
        </is>
      </c>
      <c r="M21" s="2" t="inlineStr">
        <is>
          <t>Released</t>
        </is>
      </c>
      <c r="N21" s="2" t="inlineStr">
        <is>
          <t>None</t>
        </is>
      </c>
      <c r="O21" s="2" t="n">
        <v>0</v>
      </c>
      <c r="P21" s="2" t="n">
        <v>44.2</v>
      </c>
      <c r="Q21" s="2" t="n">
        <v>3619.5</v>
      </c>
      <c r="R21" s="2" t="n">
        <v>7.91</v>
      </c>
      <c r="S21" s="5">
        <f>G21/F21</f>
        <v/>
      </c>
      <c r="T21" s="5">
        <f>MAX(0,1/K21/8)</f>
        <v/>
      </c>
      <c r="U21" s="5">
        <f>IFERROR(G21/(F21*T21),0)</f>
        <v/>
      </c>
      <c r="V21" s="5">
        <f>IFERROR(H21/G21,0)</f>
        <v/>
      </c>
      <c r="W21" s="5">
        <f>T21*U21*V21</f>
        <v/>
      </c>
      <c r="X21" s="5">
        <f>IFERROR(G21/J21,0)</f>
        <v/>
      </c>
      <c r="Y21" s="5">
        <f>IFERROR(I21/G21,0)</f>
        <v/>
      </c>
      <c r="Z21" s="6">
        <f>IFERROR(G21/P21,0)</f>
        <v/>
      </c>
      <c r="AA21" s="7">
        <f>IFERROR(Q21/G21,0)</f>
        <v/>
      </c>
      <c r="AB21" s="8">
        <f>R21+K21</f>
        <v/>
      </c>
    </row>
    <row r="22">
      <c r="A22" s="2" t="n">
        <v>18</v>
      </c>
      <c r="B22" s="4" t="n">
        <v>46031</v>
      </c>
      <c r="C22" s="2" t="inlineStr">
        <is>
          <t>Solid Dose Line 2</t>
        </is>
      </c>
      <c r="D22" s="2" t="inlineStr">
        <is>
          <t>Product A</t>
        </is>
      </c>
      <c r="E22" s="2" t="inlineStr">
        <is>
          <t>Evening</t>
        </is>
      </c>
      <c r="F22" s="2" t="n">
        <v>9633</v>
      </c>
      <c r="G22" s="2" t="n">
        <v>6310.7</v>
      </c>
      <c r="H22" s="2" t="n">
        <v>6232.3</v>
      </c>
      <c r="I22" s="2" t="n">
        <v>78.40000000000001</v>
      </c>
      <c r="J22" s="2" t="n">
        <v>6462.3</v>
      </c>
      <c r="K22" s="2" t="n">
        <v>4.03</v>
      </c>
      <c r="L22" s="2" t="inlineStr">
        <is>
          <t>Documentation</t>
        </is>
      </c>
      <c r="M22" s="2" t="inlineStr">
        <is>
          <t>Released</t>
        </is>
      </c>
      <c r="N22" s="2" t="inlineStr">
        <is>
          <t>None</t>
        </is>
      </c>
      <c r="O22" s="2" t="n">
        <v>0</v>
      </c>
      <c r="P22" s="2" t="n">
        <v>48.2</v>
      </c>
      <c r="Q22" s="2" t="n">
        <v>2985</v>
      </c>
      <c r="R22" s="2" t="n">
        <v>7.61</v>
      </c>
      <c r="S22" s="5">
        <f>G22/F22</f>
        <v/>
      </c>
      <c r="T22" s="5">
        <f>MAX(0,1/K22/8)</f>
        <v/>
      </c>
      <c r="U22" s="5">
        <f>IFERROR(G22/(F22*T22),0)</f>
        <v/>
      </c>
      <c r="V22" s="5">
        <f>IFERROR(H22/G22,0)</f>
        <v/>
      </c>
      <c r="W22" s="5">
        <f>T22*U22*V22</f>
        <v/>
      </c>
      <c r="X22" s="5">
        <f>IFERROR(G22/J22,0)</f>
        <v/>
      </c>
      <c r="Y22" s="5">
        <f>IFERROR(I22/G22,0)</f>
        <v/>
      </c>
      <c r="Z22" s="6">
        <f>IFERROR(G22/P22,0)</f>
        <v/>
      </c>
      <c r="AA22" s="7">
        <f>IFERROR(Q22/G22,0)</f>
        <v/>
      </c>
      <c r="AB22" s="8">
        <f>R22+K22</f>
        <v/>
      </c>
    </row>
    <row r="23">
      <c r="A23" s="2" t="n">
        <v>19</v>
      </c>
      <c r="B23" s="4" t="n">
        <v>46032</v>
      </c>
      <c r="C23" s="2" t="inlineStr">
        <is>
          <t>Solid Dose Line 1</t>
        </is>
      </c>
      <c r="D23" s="2" t="inlineStr">
        <is>
          <t>Product A</t>
        </is>
      </c>
      <c r="E23" s="2" t="inlineStr">
        <is>
          <t>Evening</t>
        </is>
      </c>
      <c r="F23" s="2" t="n">
        <v>11020</v>
      </c>
      <c r="G23" s="2" t="n">
        <v>10068.4</v>
      </c>
      <c r="H23" s="2" t="n">
        <v>9913.200000000001</v>
      </c>
      <c r="I23" s="2" t="n">
        <v>155.2</v>
      </c>
      <c r="J23" s="2" t="n">
        <v>10271.6</v>
      </c>
      <c r="K23" s="2" t="n">
        <v>0</v>
      </c>
      <c r="L23" s="2" t="inlineStr">
        <is>
          <t>None</t>
        </is>
      </c>
      <c r="M23" s="2" t="inlineStr">
        <is>
          <t>Released</t>
        </is>
      </c>
      <c r="N23" s="2" t="inlineStr">
        <is>
          <t>None</t>
        </is>
      </c>
      <c r="O23" s="2" t="n">
        <v>0</v>
      </c>
      <c r="P23" s="2" t="n">
        <v>44.6</v>
      </c>
      <c r="Q23" s="2" t="n">
        <v>5211.7</v>
      </c>
      <c r="R23" s="2" t="n">
        <v>6.51</v>
      </c>
      <c r="S23" s="5">
        <f>G23/F23</f>
        <v/>
      </c>
      <c r="T23" s="5">
        <f>MAX(0,1/K23/8)</f>
        <v/>
      </c>
      <c r="U23" s="5">
        <f>IFERROR(G23/(F23*T23),0)</f>
        <v/>
      </c>
      <c r="V23" s="5">
        <f>IFERROR(H23/G23,0)</f>
        <v/>
      </c>
      <c r="W23" s="5">
        <f>T23*U23*V23</f>
        <v/>
      </c>
      <c r="X23" s="5">
        <f>IFERROR(G23/J23,0)</f>
        <v/>
      </c>
      <c r="Y23" s="5">
        <f>IFERROR(I23/G23,0)</f>
        <v/>
      </c>
      <c r="Z23" s="6">
        <f>IFERROR(G23/P23,0)</f>
        <v/>
      </c>
      <c r="AA23" s="7">
        <f>IFERROR(Q23/G23,0)</f>
        <v/>
      </c>
      <c r="AB23" s="8">
        <f>R23+K23</f>
        <v/>
      </c>
    </row>
    <row r="24">
      <c r="A24" s="2" t="n">
        <v>20</v>
      </c>
      <c r="B24" s="4" t="n">
        <v>46032</v>
      </c>
      <c r="C24" s="2" t="inlineStr">
        <is>
          <t>Solid Dose Line 2</t>
        </is>
      </c>
      <c r="D24" s="2" t="inlineStr">
        <is>
          <t>Product C</t>
        </is>
      </c>
      <c r="E24" s="2" t="inlineStr">
        <is>
          <t>Evening</t>
        </is>
      </c>
      <c r="F24" s="2" t="n">
        <v>9510</v>
      </c>
      <c r="G24" s="2" t="n">
        <v>7408.7</v>
      </c>
      <c r="H24" s="2" t="n">
        <v>7321.3</v>
      </c>
      <c r="I24" s="2" t="n">
        <v>87.3</v>
      </c>
      <c r="J24" s="2" t="n">
        <v>7464.2</v>
      </c>
      <c r="K24" s="2" t="n">
        <v>1.52</v>
      </c>
      <c r="L24" s="2" t="inlineStr">
        <is>
          <t>None</t>
        </is>
      </c>
      <c r="M24" s="2" t="inlineStr">
        <is>
          <t>Released</t>
        </is>
      </c>
      <c r="N24" s="2" t="inlineStr">
        <is>
          <t>None</t>
        </is>
      </c>
      <c r="O24" s="2" t="n">
        <v>0</v>
      </c>
      <c r="P24" s="2" t="n">
        <v>38.3</v>
      </c>
      <c r="Q24" s="2" t="n">
        <v>3950.9</v>
      </c>
      <c r="R24" s="2" t="n">
        <v>7.48</v>
      </c>
      <c r="S24" s="5">
        <f>G24/F24</f>
        <v/>
      </c>
      <c r="T24" s="5">
        <f>MAX(0,1/K24/8)</f>
        <v/>
      </c>
      <c r="U24" s="5">
        <f>IFERROR(G24/(F24*T24),0)</f>
        <v/>
      </c>
      <c r="V24" s="5">
        <f>IFERROR(H24/G24,0)</f>
        <v/>
      </c>
      <c r="W24" s="5">
        <f>T24*U24*V24</f>
        <v/>
      </c>
      <c r="X24" s="5">
        <f>IFERROR(G24/J24,0)</f>
        <v/>
      </c>
      <c r="Y24" s="5">
        <f>IFERROR(I24/G24,0)</f>
        <v/>
      </c>
      <c r="Z24" s="6">
        <f>IFERROR(G24/P24,0)</f>
        <v/>
      </c>
      <c r="AA24" s="7">
        <f>IFERROR(Q24/G24,0)</f>
        <v/>
      </c>
      <c r="AB24" s="8">
        <f>R24+K24</f>
        <v/>
      </c>
    </row>
    <row r="25">
      <c r="A25" s="2" t="n">
        <v>21</v>
      </c>
      <c r="B25" s="4" t="n">
        <v>46033</v>
      </c>
      <c r="C25" s="2" t="inlineStr">
        <is>
          <t>Solid Dose Line 1</t>
        </is>
      </c>
      <c r="D25" s="2" t="inlineStr">
        <is>
          <t>Product A</t>
        </is>
      </c>
      <c r="E25" s="2" t="inlineStr">
        <is>
          <t>Day</t>
        </is>
      </c>
      <c r="F25" s="2" t="n">
        <v>9096</v>
      </c>
      <c r="G25" s="2" t="n">
        <v>5808.7</v>
      </c>
      <c r="H25" s="2" t="n">
        <v>5775.8</v>
      </c>
      <c r="I25" s="2" t="n">
        <v>32.9</v>
      </c>
      <c r="J25" s="2" t="n">
        <v>5810.1</v>
      </c>
      <c r="K25" s="2" t="n">
        <v>2.4</v>
      </c>
      <c r="L25" s="2" t="inlineStr">
        <is>
          <t>None</t>
        </is>
      </c>
      <c r="M25" s="2" t="inlineStr">
        <is>
          <t>Released</t>
        </is>
      </c>
      <c r="N25" s="2" t="inlineStr">
        <is>
          <t>Preventive</t>
        </is>
      </c>
      <c r="O25" s="2" t="n">
        <v>428.9</v>
      </c>
      <c r="P25" s="2" t="n">
        <v>43.6</v>
      </c>
      <c r="Q25" s="2" t="n">
        <v>3043.8</v>
      </c>
      <c r="R25" s="2" t="n">
        <v>6.72</v>
      </c>
      <c r="S25" s="5">
        <f>G25/F25</f>
        <v/>
      </c>
      <c r="T25" s="5">
        <f>MAX(0,1/K25/8)</f>
        <v/>
      </c>
      <c r="U25" s="5">
        <f>IFERROR(G25/(F25*T25),0)</f>
        <v/>
      </c>
      <c r="V25" s="5">
        <f>IFERROR(H25/G25,0)</f>
        <v/>
      </c>
      <c r="W25" s="5">
        <f>T25*U25*V25</f>
        <v/>
      </c>
      <c r="X25" s="5">
        <f>IFERROR(G25/J25,0)</f>
        <v/>
      </c>
      <c r="Y25" s="5">
        <f>IFERROR(I25/G25,0)</f>
        <v/>
      </c>
      <c r="Z25" s="6">
        <f>IFERROR(G25/P25,0)</f>
        <v/>
      </c>
      <c r="AA25" s="7">
        <f>IFERROR(Q25/G25,0)</f>
        <v/>
      </c>
      <c r="AB25" s="8">
        <f>R25+K25</f>
        <v/>
      </c>
    </row>
    <row r="26">
      <c r="A26" s="2" t="n">
        <v>22</v>
      </c>
      <c r="B26" s="4" t="n">
        <v>46033</v>
      </c>
      <c r="C26" s="2" t="inlineStr">
        <is>
          <t>Solid Dose Line 2</t>
        </is>
      </c>
      <c r="D26" s="2" t="inlineStr">
        <is>
          <t>Product A</t>
        </is>
      </c>
      <c r="E26" s="2" t="inlineStr">
        <is>
          <t>Day</t>
        </is>
      </c>
      <c r="F26" s="2" t="n">
        <v>10640</v>
      </c>
      <c r="G26" s="2" t="n">
        <v>8999.9</v>
      </c>
      <c r="H26" s="2" t="n">
        <v>8834.9</v>
      </c>
      <c r="I26" s="2" t="n">
        <v>165</v>
      </c>
      <c r="J26" s="2" t="n">
        <v>9007.799999999999</v>
      </c>
      <c r="K26" s="2" t="n">
        <v>0</v>
      </c>
      <c r="L26" s="2" t="inlineStr">
        <is>
          <t>None</t>
        </is>
      </c>
      <c r="M26" s="2" t="inlineStr">
        <is>
          <t>Released</t>
        </is>
      </c>
      <c r="N26" s="2" t="inlineStr">
        <is>
          <t>None</t>
        </is>
      </c>
      <c r="O26" s="2" t="n">
        <v>0</v>
      </c>
      <c r="P26" s="2" t="n">
        <v>39.3</v>
      </c>
      <c r="Q26" s="2" t="n">
        <v>4685.6</v>
      </c>
      <c r="R26" s="2" t="n">
        <v>6.73</v>
      </c>
      <c r="S26" s="5">
        <f>G26/F26</f>
        <v/>
      </c>
      <c r="T26" s="5">
        <f>MAX(0,1/K26/8)</f>
        <v/>
      </c>
      <c r="U26" s="5">
        <f>IFERROR(G26/(F26*T26),0)</f>
        <v/>
      </c>
      <c r="V26" s="5">
        <f>IFERROR(H26/G26,0)</f>
        <v/>
      </c>
      <c r="W26" s="5">
        <f>T26*U26*V26</f>
        <v/>
      </c>
      <c r="X26" s="5">
        <f>IFERROR(G26/J26,0)</f>
        <v/>
      </c>
      <c r="Y26" s="5">
        <f>IFERROR(I26/G26,0)</f>
        <v/>
      </c>
      <c r="Z26" s="6">
        <f>IFERROR(G26/P26,0)</f>
        <v/>
      </c>
      <c r="AA26" s="7">
        <f>IFERROR(Q26/G26,0)</f>
        <v/>
      </c>
      <c r="AB26" s="8">
        <f>R26+K26</f>
        <v/>
      </c>
    </row>
    <row r="27">
      <c r="A27" s="2" t="n">
        <v>23</v>
      </c>
      <c r="B27" s="4" t="n">
        <v>46034</v>
      </c>
      <c r="C27" s="2" t="inlineStr">
        <is>
          <t>Solid Dose Line 1</t>
        </is>
      </c>
      <c r="D27" s="2" t="inlineStr">
        <is>
          <t>Product B</t>
        </is>
      </c>
      <c r="E27" s="2" t="inlineStr">
        <is>
          <t>Night</t>
        </is>
      </c>
      <c r="F27" s="2" t="n">
        <v>10652</v>
      </c>
      <c r="G27" s="2" t="n">
        <v>9304</v>
      </c>
      <c r="H27" s="2" t="n">
        <v>9140.5</v>
      </c>
      <c r="I27" s="2" t="n">
        <v>163.5</v>
      </c>
      <c r="J27" s="2" t="n">
        <v>9373</v>
      </c>
      <c r="K27" s="2" t="n">
        <v>0.31</v>
      </c>
      <c r="L27" s="2" t="inlineStr">
        <is>
          <t>None</t>
        </is>
      </c>
      <c r="M27" s="2" t="inlineStr">
        <is>
          <t>Released</t>
        </is>
      </c>
      <c r="N27" s="2" t="inlineStr">
        <is>
          <t>None</t>
        </is>
      </c>
      <c r="O27" s="2" t="n">
        <v>0</v>
      </c>
      <c r="P27" s="2" t="n">
        <v>41.3</v>
      </c>
      <c r="Q27" s="2" t="n">
        <v>4648.9</v>
      </c>
      <c r="R27" s="2" t="n">
        <v>7.45</v>
      </c>
      <c r="S27" s="5">
        <f>G27/F27</f>
        <v/>
      </c>
      <c r="T27" s="5">
        <f>MAX(0,1/K27/8)</f>
        <v/>
      </c>
      <c r="U27" s="5">
        <f>IFERROR(G27/(F27*T27),0)</f>
        <v/>
      </c>
      <c r="V27" s="5">
        <f>IFERROR(H27/G27,0)</f>
        <v/>
      </c>
      <c r="W27" s="5">
        <f>T27*U27*V27</f>
        <v/>
      </c>
      <c r="X27" s="5">
        <f>IFERROR(G27/J27,0)</f>
        <v/>
      </c>
      <c r="Y27" s="5">
        <f>IFERROR(I27/G27,0)</f>
        <v/>
      </c>
      <c r="Z27" s="6">
        <f>IFERROR(G27/P27,0)</f>
        <v/>
      </c>
      <c r="AA27" s="7">
        <f>IFERROR(Q27/G27,0)</f>
        <v/>
      </c>
      <c r="AB27" s="8">
        <f>R27+K27</f>
        <v/>
      </c>
    </row>
    <row r="28">
      <c r="A28" s="2" t="n">
        <v>24</v>
      </c>
      <c r="B28" s="4" t="n">
        <v>46034</v>
      </c>
      <c r="C28" s="2" t="inlineStr">
        <is>
          <t>Solid Dose Line 2</t>
        </is>
      </c>
      <c r="D28" s="2" t="inlineStr">
        <is>
          <t>Product B</t>
        </is>
      </c>
      <c r="E28" s="2" t="inlineStr">
        <is>
          <t>Night</t>
        </is>
      </c>
      <c r="F28" s="2" t="n">
        <v>11471</v>
      </c>
      <c r="G28" s="2" t="n">
        <v>10365.3</v>
      </c>
      <c r="H28" s="2" t="n">
        <v>10195.8</v>
      </c>
      <c r="I28" s="2" t="n">
        <v>169.5</v>
      </c>
      <c r="J28" s="2" t="n">
        <v>10649</v>
      </c>
      <c r="K28" s="2" t="n">
        <v>0</v>
      </c>
      <c r="L28" s="2" t="inlineStr">
        <is>
          <t>None</t>
        </is>
      </c>
      <c r="M28" s="2" t="inlineStr">
        <is>
          <t>Released</t>
        </is>
      </c>
      <c r="N28" s="2" t="inlineStr">
        <is>
          <t>None</t>
        </is>
      </c>
      <c r="O28" s="2" t="n">
        <v>0</v>
      </c>
      <c r="P28" s="2" t="n">
        <v>35.4</v>
      </c>
      <c r="Q28" s="2" t="n">
        <v>5692.8</v>
      </c>
      <c r="R28" s="2" t="n">
        <v>7.15</v>
      </c>
      <c r="S28" s="5">
        <f>G28/F28</f>
        <v/>
      </c>
      <c r="T28" s="5">
        <f>MAX(0,1/K28/8)</f>
        <v/>
      </c>
      <c r="U28" s="5">
        <f>IFERROR(G28/(F28*T28),0)</f>
        <v/>
      </c>
      <c r="V28" s="5">
        <f>IFERROR(H28/G28,0)</f>
        <v/>
      </c>
      <c r="W28" s="5">
        <f>T28*U28*V28</f>
        <v/>
      </c>
      <c r="X28" s="5">
        <f>IFERROR(G28/J28,0)</f>
        <v/>
      </c>
      <c r="Y28" s="5">
        <f>IFERROR(I28/G28,0)</f>
        <v/>
      </c>
      <c r="Z28" s="6">
        <f>IFERROR(G28/P28,0)</f>
        <v/>
      </c>
      <c r="AA28" s="7">
        <f>IFERROR(Q28/G28,0)</f>
        <v/>
      </c>
      <c r="AB28" s="8">
        <f>R28+K28</f>
        <v/>
      </c>
    </row>
    <row r="29">
      <c r="A29" s="2" t="n">
        <v>25</v>
      </c>
      <c r="B29" s="4" t="n">
        <v>46035</v>
      </c>
      <c r="C29" s="2" t="inlineStr">
        <is>
          <t>Solid Dose Line 1</t>
        </is>
      </c>
      <c r="D29" s="2" t="inlineStr">
        <is>
          <t>Product B</t>
        </is>
      </c>
      <c r="E29" s="2" t="inlineStr">
        <is>
          <t>Day</t>
        </is>
      </c>
      <c r="F29" s="2" t="n">
        <v>9911</v>
      </c>
      <c r="G29" s="2" t="n">
        <v>8283.9</v>
      </c>
      <c r="H29" s="2" t="n">
        <v>8141.1</v>
      </c>
      <c r="I29" s="2" t="n">
        <v>142.7</v>
      </c>
      <c r="J29" s="2" t="n">
        <v>8419.9</v>
      </c>
      <c r="K29" s="2" t="n">
        <v>0.96</v>
      </c>
      <c r="L29" s="2" t="inlineStr">
        <is>
          <t>None</t>
        </is>
      </c>
      <c r="M29" s="2" t="inlineStr">
        <is>
          <t>Released</t>
        </is>
      </c>
      <c r="N29" s="2" t="inlineStr">
        <is>
          <t>Preventive</t>
        </is>
      </c>
      <c r="O29" s="2" t="n">
        <v>444.21</v>
      </c>
      <c r="P29" s="2" t="n">
        <v>47.2</v>
      </c>
      <c r="Q29" s="2" t="n">
        <v>4462</v>
      </c>
      <c r="R29" s="2" t="n">
        <v>7.52</v>
      </c>
      <c r="S29" s="5">
        <f>G29/F29</f>
        <v/>
      </c>
      <c r="T29" s="5">
        <f>MAX(0,1/K29/8)</f>
        <v/>
      </c>
      <c r="U29" s="5">
        <f>IFERROR(G29/(F29*T29),0)</f>
        <v/>
      </c>
      <c r="V29" s="5">
        <f>IFERROR(H29/G29,0)</f>
        <v/>
      </c>
      <c r="W29" s="5">
        <f>T29*U29*V29</f>
        <v/>
      </c>
      <c r="X29" s="5">
        <f>IFERROR(G29/J29,0)</f>
        <v/>
      </c>
      <c r="Y29" s="5">
        <f>IFERROR(I29/G29,0)</f>
        <v/>
      </c>
      <c r="Z29" s="6">
        <f>IFERROR(G29/P29,0)</f>
        <v/>
      </c>
      <c r="AA29" s="7">
        <f>IFERROR(Q29/G29,0)</f>
        <v/>
      </c>
      <c r="AB29" s="8">
        <f>R29+K29</f>
        <v/>
      </c>
    </row>
    <row r="30">
      <c r="A30" s="2" t="n">
        <v>26</v>
      </c>
      <c r="B30" s="4" t="n">
        <v>46035</v>
      </c>
      <c r="C30" s="2" t="inlineStr">
        <is>
          <t>Solid Dose Line 2</t>
        </is>
      </c>
      <c r="D30" s="2" t="inlineStr">
        <is>
          <t>Product B</t>
        </is>
      </c>
      <c r="E30" s="2" t="inlineStr">
        <is>
          <t>Night</t>
        </is>
      </c>
      <c r="F30" s="2" t="n">
        <v>10676</v>
      </c>
      <c r="G30" s="2" t="n">
        <v>6726.3</v>
      </c>
      <c r="H30" s="2" t="n">
        <v>6625.8</v>
      </c>
      <c r="I30" s="2" t="n">
        <v>100.5</v>
      </c>
      <c r="J30" s="2" t="n">
        <v>6698.2</v>
      </c>
      <c r="K30" s="2" t="n">
        <v>2.87</v>
      </c>
      <c r="L30" s="2" t="inlineStr">
        <is>
          <t>None</t>
        </is>
      </c>
      <c r="M30" s="2" t="inlineStr">
        <is>
          <t>Released</t>
        </is>
      </c>
      <c r="N30" s="2" t="inlineStr">
        <is>
          <t>None</t>
        </is>
      </c>
      <c r="O30" s="2" t="n">
        <v>0</v>
      </c>
      <c r="P30" s="2" t="n">
        <v>37.5</v>
      </c>
      <c r="Q30" s="2" t="n">
        <v>3453.1</v>
      </c>
      <c r="R30" s="2" t="n">
        <v>6.82</v>
      </c>
      <c r="S30" s="5">
        <f>G30/F30</f>
        <v/>
      </c>
      <c r="T30" s="5">
        <f>MAX(0,1/K30/8)</f>
        <v/>
      </c>
      <c r="U30" s="5">
        <f>IFERROR(G30/(F30*T30),0)</f>
        <v/>
      </c>
      <c r="V30" s="5">
        <f>IFERROR(H30/G30,0)</f>
        <v/>
      </c>
      <c r="W30" s="5">
        <f>T30*U30*V30</f>
        <v/>
      </c>
      <c r="X30" s="5">
        <f>IFERROR(G30/J30,0)</f>
        <v/>
      </c>
      <c r="Y30" s="5">
        <f>IFERROR(I30/G30,0)</f>
        <v/>
      </c>
      <c r="Z30" s="6">
        <f>IFERROR(G30/P30,0)</f>
        <v/>
      </c>
      <c r="AA30" s="7">
        <f>IFERROR(Q30/G30,0)</f>
        <v/>
      </c>
      <c r="AB30" s="8">
        <f>R30+K30</f>
        <v/>
      </c>
    </row>
    <row r="31">
      <c r="A31" s="2" t="n">
        <v>27</v>
      </c>
      <c r="B31" s="4" t="n">
        <v>46036</v>
      </c>
      <c r="C31" s="2" t="inlineStr">
        <is>
          <t>Solid Dose Line 1</t>
        </is>
      </c>
      <c r="D31" s="2" t="inlineStr">
        <is>
          <t>Product C</t>
        </is>
      </c>
      <c r="E31" s="2" t="inlineStr">
        <is>
          <t>Night</t>
        </is>
      </c>
      <c r="F31" s="2" t="n">
        <v>11342</v>
      </c>
      <c r="G31" s="2" t="n">
        <v>8080</v>
      </c>
      <c r="H31" s="2" t="n">
        <v>7980.1</v>
      </c>
      <c r="I31" s="2" t="n">
        <v>99.90000000000001</v>
      </c>
      <c r="J31" s="2" t="n">
        <v>8185.3</v>
      </c>
      <c r="K31" s="2" t="n">
        <v>1.58</v>
      </c>
      <c r="L31" s="2" t="inlineStr">
        <is>
          <t>None</t>
        </is>
      </c>
      <c r="M31" s="2" t="inlineStr">
        <is>
          <t>Released</t>
        </is>
      </c>
      <c r="N31" s="2" t="inlineStr">
        <is>
          <t>None</t>
        </is>
      </c>
      <c r="O31" s="2" t="n">
        <v>0</v>
      </c>
      <c r="P31" s="2" t="n">
        <v>49.7</v>
      </c>
      <c r="Q31" s="2" t="n">
        <v>4364.6</v>
      </c>
      <c r="R31" s="2" t="n">
        <v>6.71</v>
      </c>
      <c r="S31" s="5">
        <f>G31/F31</f>
        <v/>
      </c>
      <c r="T31" s="5">
        <f>MAX(0,1/K31/8)</f>
        <v/>
      </c>
      <c r="U31" s="5">
        <f>IFERROR(G31/(F31*T31),0)</f>
        <v/>
      </c>
      <c r="V31" s="5">
        <f>IFERROR(H31/G31,0)</f>
        <v/>
      </c>
      <c r="W31" s="5">
        <f>T31*U31*V31</f>
        <v/>
      </c>
      <c r="X31" s="5">
        <f>IFERROR(G31/J31,0)</f>
        <v/>
      </c>
      <c r="Y31" s="5">
        <f>IFERROR(I31/G31,0)</f>
        <v/>
      </c>
      <c r="Z31" s="6">
        <f>IFERROR(G31/P31,0)</f>
        <v/>
      </c>
      <c r="AA31" s="7">
        <f>IFERROR(Q31/G31,0)</f>
        <v/>
      </c>
      <c r="AB31" s="8">
        <f>R31+K31</f>
        <v/>
      </c>
    </row>
    <row r="32">
      <c r="A32" s="2" t="n">
        <v>28</v>
      </c>
      <c r="B32" s="4" t="n">
        <v>46036</v>
      </c>
      <c r="C32" s="2" t="inlineStr">
        <is>
          <t>Solid Dose Line 2</t>
        </is>
      </c>
      <c r="D32" s="2" t="inlineStr">
        <is>
          <t>Product C</t>
        </is>
      </c>
      <c r="E32" s="2" t="inlineStr">
        <is>
          <t>Evening</t>
        </is>
      </c>
      <c r="F32" s="2" t="n">
        <v>10502</v>
      </c>
      <c r="G32" s="2" t="n">
        <v>7829.5</v>
      </c>
      <c r="H32" s="2" t="n">
        <v>7785.3</v>
      </c>
      <c r="I32" s="2" t="n">
        <v>44.3</v>
      </c>
      <c r="J32" s="2" t="n">
        <v>8018.7</v>
      </c>
      <c r="K32" s="2" t="n">
        <v>1.34</v>
      </c>
      <c r="L32" s="2" t="inlineStr">
        <is>
          <t>None</t>
        </is>
      </c>
      <c r="M32" s="2" t="inlineStr">
        <is>
          <t>Released</t>
        </is>
      </c>
      <c r="N32" s="2" t="inlineStr">
        <is>
          <t>None</t>
        </is>
      </c>
      <c r="O32" s="2" t="n">
        <v>0</v>
      </c>
      <c r="P32" s="2" t="n">
        <v>47.7</v>
      </c>
      <c r="Q32" s="2" t="n">
        <v>3969.5</v>
      </c>
      <c r="R32" s="2" t="n">
        <v>6.83</v>
      </c>
      <c r="S32" s="5">
        <f>G32/F32</f>
        <v/>
      </c>
      <c r="T32" s="5">
        <f>MAX(0,1/K32/8)</f>
        <v/>
      </c>
      <c r="U32" s="5">
        <f>IFERROR(G32/(F32*T32),0)</f>
        <v/>
      </c>
      <c r="V32" s="5">
        <f>IFERROR(H32/G32,0)</f>
        <v/>
      </c>
      <c r="W32" s="5">
        <f>T32*U32*V32</f>
        <v/>
      </c>
      <c r="X32" s="5">
        <f>IFERROR(G32/J32,0)</f>
        <v/>
      </c>
      <c r="Y32" s="5">
        <f>IFERROR(I32/G32,0)</f>
        <v/>
      </c>
      <c r="Z32" s="6">
        <f>IFERROR(G32/P32,0)</f>
        <v/>
      </c>
      <c r="AA32" s="7">
        <f>IFERROR(Q32/G32,0)</f>
        <v/>
      </c>
      <c r="AB32" s="8">
        <f>R32+K32</f>
        <v/>
      </c>
    </row>
    <row r="33">
      <c r="A33" s="2" t="n">
        <v>29</v>
      </c>
      <c r="B33" s="4" t="n">
        <v>46037</v>
      </c>
      <c r="C33" s="2" t="inlineStr">
        <is>
          <t>Solid Dose Line 1</t>
        </is>
      </c>
      <c r="D33" s="2" t="inlineStr">
        <is>
          <t>Product C</t>
        </is>
      </c>
      <c r="E33" s="2" t="inlineStr">
        <is>
          <t>Day</t>
        </is>
      </c>
      <c r="F33" s="2" t="n">
        <v>9792</v>
      </c>
      <c r="G33" s="2" t="n">
        <v>8159.3</v>
      </c>
      <c r="H33" s="2" t="n">
        <v>8051.1</v>
      </c>
      <c r="I33" s="2" t="n">
        <v>108.2</v>
      </c>
      <c r="J33" s="2" t="n">
        <v>8278.5</v>
      </c>
      <c r="K33" s="2" t="n">
        <v>0.78</v>
      </c>
      <c r="L33" s="2" t="inlineStr">
        <is>
          <t>None</t>
        </is>
      </c>
      <c r="M33" s="2" t="inlineStr">
        <is>
          <t>Released</t>
        </is>
      </c>
      <c r="N33" s="2" t="inlineStr">
        <is>
          <t>Corrective</t>
        </is>
      </c>
      <c r="O33" s="2" t="n">
        <v>547.34</v>
      </c>
      <c r="P33" s="2" t="n">
        <v>44.4</v>
      </c>
      <c r="Q33" s="2" t="n">
        <v>4294.5</v>
      </c>
      <c r="R33" s="2" t="n">
        <v>7.31</v>
      </c>
      <c r="S33" s="5">
        <f>G33/F33</f>
        <v/>
      </c>
      <c r="T33" s="5">
        <f>MAX(0,1/K33/8)</f>
        <v/>
      </c>
      <c r="U33" s="5">
        <f>IFERROR(G33/(F33*T33),0)</f>
        <v/>
      </c>
      <c r="V33" s="5">
        <f>IFERROR(H33/G33,0)</f>
        <v/>
      </c>
      <c r="W33" s="5">
        <f>T33*U33*V33</f>
        <v/>
      </c>
      <c r="X33" s="5">
        <f>IFERROR(G33/J33,0)</f>
        <v/>
      </c>
      <c r="Y33" s="5">
        <f>IFERROR(I33/G33,0)</f>
        <v/>
      </c>
      <c r="Z33" s="6">
        <f>IFERROR(G33/P33,0)</f>
        <v/>
      </c>
      <c r="AA33" s="7">
        <f>IFERROR(Q33/G33,0)</f>
        <v/>
      </c>
      <c r="AB33" s="8">
        <f>R33+K33</f>
        <v/>
      </c>
    </row>
    <row r="34">
      <c r="A34" s="2" t="n">
        <v>30</v>
      </c>
      <c r="B34" s="4" t="n">
        <v>46037</v>
      </c>
      <c r="C34" s="2" t="inlineStr">
        <is>
          <t>Solid Dose Line 2</t>
        </is>
      </c>
      <c r="D34" s="2" t="inlineStr">
        <is>
          <t>Product A</t>
        </is>
      </c>
      <c r="E34" s="2" t="inlineStr">
        <is>
          <t>Evening</t>
        </is>
      </c>
      <c r="F34" s="2" t="n">
        <v>10761</v>
      </c>
      <c r="G34" s="2" t="n">
        <v>6895.3</v>
      </c>
      <c r="H34" s="2" t="n">
        <v>6785.2</v>
      </c>
      <c r="I34" s="2" t="n">
        <v>110.1</v>
      </c>
      <c r="J34" s="2" t="n">
        <v>7008.9</v>
      </c>
      <c r="K34" s="2" t="n">
        <v>2.15</v>
      </c>
      <c r="L34" s="2" t="inlineStr">
        <is>
          <t>Process</t>
        </is>
      </c>
      <c r="M34" s="2" t="inlineStr">
        <is>
          <t>Released</t>
        </is>
      </c>
      <c r="N34" s="2" t="inlineStr">
        <is>
          <t>None</t>
        </is>
      </c>
      <c r="O34" s="2" t="n">
        <v>0</v>
      </c>
      <c r="P34" s="2" t="n">
        <v>50.1</v>
      </c>
      <c r="Q34" s="2" t="n">
        <v>3557</v>
      </c>
      <c r="R34" s="2" t="n">
        <v>7.64</v>
      </c>
      <c r="S34" s="5">
        <f>G34/F34</f>
        <v/>
      </c>
      <c r="T34" s="5">
        <f>MAX(0,1/K34/8)</f>
        <v/>
      </c>
      <c r="U34" s="5">
        <f>IFERROR(G34/(F34*T34),0)</f>
        <v/>
      </c>
      <c r="V34" s="5">
        <f>IFERROR(H34/G34,0)</f>
        <v/>
      </c>
      <c r="W34" s="5">
        <f>T34*U34*V34</f>
        <v/>
      </c>
      <c r="X34" s="5">
        <f>IFERROR(G34/J34,0)</f>
        <v/>
      </c>
      <c r="Y34" s="5">
        <f>IFERROR(I34/G34,0)</f>
        <v/>
      </c>
      <c r="Z34" s="6">
        <f>IFERROR(G34/P34,0)</f>
        <v/>
      </c>
      <c r="AA34" s="7">
        <f>IFERROR(Q34/G34,0)</f>
        <v/>
      </c>
      <c r="AB34" s="8">
        <f>R34+K34</f>
        <v/>
      </c>
    </row>
    <row r="35">
      <c r="A35" s="2" t="n">
        <v>31</v>
      </c>
      <c r="B35" s="4" t="n">
        <v>46038</v>
      </c>
      <c r="C35" s="2" t="inlineStr">
        <is>
          <t>Solid Dose Line 1</t>
        </is>
      </c>
      <c r="D35" s="2" t="inlineStr">
        <is>
          <t>Product B</t>
        </is>
      </c>
      <c r="E35" s="2" t="inlineStr">
        <is>
          <t>Evening</t>
        </is>
      </c>
      <c r="F35" s="2" t="n">
        <v>10353</v>
      </c>
      <c r="G35" s="2" t="n">
        <v>7070.6</v>
      </c>
      <c r="H35" s="2" t="n">
        <v>6974.5</v>
      </c>
      <c r="I35" s="2" t="n">
        <v>96.09999999999999</v>
      </c>
      <c r="J35" s="2" t="n">
        <v>7186.9</v>
      </c>
      <c r="K35" s="2" t="n">
        <v>1.71</v>
      </c>
      <c r="L35" s="2" t="inlineStr">
        <is>
          <t>None</t>
        </is>
      </c>
      <c r="M35" s="2" t="inlineStr">
        <is>
          <t>Released</t>
        </is>
      </c>
      <c r="N35" s="2" t="inlineStr">
        <is>
          <t>None</t>
        </is>
      </c>
      <c r="O35" s="2" t="n">
        <v>0</v>
      </c>
      <c r="P35" s="2" t="n">
        <v>44.7</v>
      </c>
      <c r="Q35" s="2" t="n">
        <v>3901.4</v>
      </c>
      <c r="R35" s="2" t="n">
        <v>7.81</v>
      </c>
      <c r="S35" s="5">
        <f>G35/F35</f>
        <v/>
      </c>
      <c r="T35" s="5">
        <f>MAX(0,1/K35/8)</f>
        <v/>
      </c>
      <c r="U35" s="5">
        <f>IFERROR(G35/(F35*T35),0)</f>
        <v/>
      </c>
      <c r="V35" s="5">
        <f>IFERROR(H35/G35,0)</f>
        <v/>
      </c>
      <c r="W35" s="5">
        <f>T35*U35*V35</f>
        <v/>
      </c>
      <c r="X35" s="5">
        <f>IFERROR(G35/J35,0)</f>
        <v/>
      </c>
      <c r="Y35" s="5">
        <f>IFERROR(I35/G35,0)</f>
        <v/>
      </c>
      <c r="Z35" s="6">
        <f>IFERROR(G35/P35,0)</f>
        <v/>
      </c>
      <c r="AA35" s="7">
        <f>IFERROR(Q35/G35,0)</f>
        <v/>
      </c>
      <c r="AB35" s="8">
        <f>R35+K35</f>
        <v/>
      </c>
    </row>
    <row r="36">
      <c r="A36" s="2" t="n">
        <v>32</v>
      </c>
      <c r="B36" s="4" t="n">
        <v>46038</v>
      </c>
      <c r="C36" s="2" t="inlineStr">
        <is>
          <t>Solid Dose Line 2</t>
        </is>
      </c>
      <c r="D36" s="2" t="inlineStr">
        <is>
          <t>Product B</t>
        </is>
      </c>
      <c r="E36" s="2" t="inlineStr">
        <is>
          <t>Day</t>
        </is>
      </c>
      <c r="F36" s="2" t="n">
        <v>11737</v>
      </c>
      <c r="G36" s="2" t="n">
        <v>7688</v>
      </c>
      <c r="H36" s="2" t="n">
        <v>7580.4</v>
      </c>
      <c r="I36" s="2" t="n">
        <v>107.7</v>
      </c>
      <c r="J36" s="2" t="n">
        <v>7722.1</v>
      </c>
      <c r="K36" s="2" t="n">
        <v>3.87</v>
      </c>
      <c r="L36" s="2" t="inlineStr">
        <is>
          <t>Material</t>
        </is>
      </c>
      <c r="M36" s="2" t="inlineStr">
        <is>
          <t>Released</t>
        </is>
      </c>
      <c r="N36" s="2" t="inlineStr">
        <is>
          <t>Corrective</t>
        </is>
      </c>
      <c r="O36" s="2" t="n">
        <v>1040.28</v>
      </c>
      <c r="P36" s="2" t="n">
        <v>49.3</v>
      </c>
      <c r="Q36" s="2" t="n">
        <v>4211.4</v>
      </c>
      <c r="R36" s="2" t="n">
        <v>7.01</v>
      </c>
      <c r="S36" s="5">
        <f>G36/F36</f>
        <v/>
      </c>
      <c r="T36" s="5">
        <f>MAX(0,1/K36/8)</f>
        <v/>
      </c>
      <c r="U36" s="5">
        <f>IFERROR(G36/(F36*T36),0)</f>
        <v/>
      </c>
      <c r="V36" s="5">
        <f>IFERROR(H36/G36,0)</f>
        <v/>
      </c>
      <c r="W36" s="5">
        <f>T36*U36*V36</f>
        <v/>
      </c>
      <c r="X36" s="5">
        <f>IFERROR(G36/J36,0)</f>
        <v/>
      </c>
      <c r="Y36" s="5">
        <f>IFERROR(I36/G36,0)</f>
        <v/>
      </c>
      <c r="Z36" s="6">
        <f>IFERROR(G36/P36,0)</f>
        <v/>
      </c>
      <c r="AA36" s="7">
        <f>IFERROR(Q36/G36,0)</f>
        <v/>
      </c>
      <c r="AB36" s="8">
        <f>R36+K36</f>
        <v/>
      </c>
    </row>
    <row r="37">
      <c r="A37" s="2" t="n">
        <v>33</v>
      </c>
      <c r="B37" s="4" t="n">
        <v>46039</v>
      </c>
      <c r="C37" s="2" t="inlineStr">
        <is>
          <t>Solid Dose Line 1</t>
        </is>
      </c>
      <c r="D37" s="2" t="inlineStr">
        <is>
          <t>Product C</t>
        </is>
      </c>
      <c r="E37" s="2" t="inlineStr">
        <is>
          <t>Day</t>
        </is>
      </c>
      <c r="F37" s="2" t="n">
        <v>9891</v>
      </c>
      <c r="G37" s="2" t="n">
        <v>6301.4</v>
      </c>
      <c r="H37" s="2" t="n">
        <v>6212</v>
      </c>
      <c r="I37" s="2" t="n">
        <v>89.5</v>
      </c>
      <c r="J37" s="2" t="n">
        <v>6332.9</v>
      </c>
      <c r="K37" s="2" t="n">
        <v>2.42</v>
      </c>
      <c r="L37" s="2" t="inlineStr">
        <is>
          <t>None</t>
        </is>
      </c>
      <c r="M37" s="2" t="inlineStr">
        <is>
          <t>Released</t>
        </is>
      </c>
      <c r="N37" s="2" t="inlineStr">
        <is>
          <t>None</t>
        </is>
      </c>
      <c r="O37" s="2" t="n">
        <v>0</v>
      </c>
      <c r="P37" s="2" t="n">
        <v>45.5</v>
      </c>
      <c r="Q37" s="2" t="n">
        <v>3170.2</v>
      </c>
      <c r="R37" s="2" t="n">
        <v>6.94</v>
      </c>
      <c r="S37" s="5">
        <f>G37/F37</f>
        <v/>
      </c>
      <c r="T37" s="5">
        <f>MAX(0,1/K37/8)</f>
        <v/>
      </c>
      <c r="U37" s="5">
        <f>IFERROR(G37/(F37*T37),0)</f>
        <v/>
      </c>
      <c r="V37" s="5">
        <f>IFERROR(H37/G37,0)</f>
        <v/>
      </c>
      <c r="W37" s="5">
        <f>T37*U37*V37</f>
        <v/>
      </c>
      <c r="X37" s="5">
        <f>IFERROR(G37/J37,0)</f>
        <v/>
      </c>
      <c r="Y37" s="5">
        <f>IFERROR(I37/G37,0)</f>
        <v/>
      </c>
      <c r="Z37" s="6">
        <f>IFERROR(G37/P37,0)</f>
        <v/>
      </c>
      <c r="AA37" s="7">
        <f>IFERROR(Q37/G37,0)</f>
        <v/>
      </c>
      <c r="AB37" s="8">
        <f>R37+K37</f>
        <v/>
      </c>
    </row>
    <row r="38">
      <c r="A38" s="2" t="n">
        <v>34</v>
      </c>
      <c r="B38" s="4" t="n">
        <v>46039</v>
      </c>
      <c r="C38" s="2" t="inlineStr">
        <is>
          <t>Solid Dose Line 2</t>
        </is>
      </c>
      <c r="D38" s="2" t="inlineStr">
        <is>
          <t>Product A</t>
        </is>
      </c>
      <c r="E38" s="2" t="inlineStr">
        <is>
          <t>Day</t>
        </is>
      </c>
      <c r="F38" s="2" t="n">
        <v>10232</v>
      </c>
      <c r="G38" s="2" t="n">
        <v>6523.9</v>
      </c>
      <c r="H38" s="2" t="n">
        <v>6456.5</v>
      </c>
      <c r="I38" s="2" t="n">
        <v>67.3</v>
      </c>
      <c r="J38" s="2" t="n">
        <v>6664.6</v>
      </c>
      <c r="K38" s="2" t="n">
        <v>4.24</v>
      </c>
      <c r="L38" s="2" t="inlineStr">
        <is>
          <t>Documentation</t>
        </is>
      </c>
      <c r="M38" s="2" t="inlineStr">
        <is>
          <t>Released</t>
        </is>
      </c>
      <c r="N38" s="2" t="inlineStr">
        <is>
          <t>None</t>
        </is>
      </c>
      <c r="O38" s="2" t="n">
        <v>0</v>
      </c>
      <c r="P38" s="2" t="n">
        <v>41.4</v>
      </c>
      <c r="Q38" s="2" t="n">
        <v>3361.2</v>
      </c>
      <c r="R38" s="2" t="n">
        <v>6.95</v>
      </c>
      <c r="S38" s="5">
        <f>G38/F38</f>
        <v/>
      </c>
      <c r="T38" s="5">
        <f>MAX(0,1/K38/8)</f>
        <v/>
      </c>
      <c r="U38" s="5">
        <f>IFERROR(G38/(F38*T38),0)</f>
        <v/>
      </c>
      <c r="V38" s="5">
        <f>IFERROR(H38/G38,0)</f>
        <v/>
      </c>
      <c r="W38" s="5">
        <f>T38*U38*V38</f>
        <v/>
      </c>
      <c r="X38" s="5">
        <f>IFERROR(G38/J38,0)</f>
        <v/>
      </c>
      <c r="Y38" s="5">
        <f>IFERROR(I38/G38,0)</f>
        <v/>
      </c>
      <c r="Z38" s="6">
        <f>IFERROR(G38/P38,0)</f>
        <v/>
      </c>
      <c r="AA38" s="7">
        <f>IFERROR(Q38/G38,0)</f>
        <v/>
      </c>
      <c r="AB38" s="8">
        <f>R38+K38</f>
        <v/>
      </c>
    </row>
    <row r="39">
      <c r="A39" s="2" t="n">
        <v>35</v>
      </c>
      <c r="B39" s="4" t="n">
        <v>46040</v>
      </c>
      <c r="C39" s="2" t="inlineStr">
        <is>
          <t>Solid Dose Line 1</t>
        </is>
      </c>
      <c r="D39" s="2" t="inlineStr">
        <is>
          <t>Product B</t>
        </is>
      </c>
      <c r="E39" s="2" t="inlineStr">
        <is>
          <t>Evening</t>
        </is>
      </c>
      <c r="F39" s="2" t="n">
        <v>11840</v>
      </c>
      <c r="G39" s="2" t="n">
        <v>9286.700000000001</v>
      </c>
      <c r="H39" s="2" t="n">
        <v>9167.4</v>
      </c>
      <c r="I39" s="2" t="n">
        <v>119.4</v>
      </c>
      <c r="J39" s="2" t="n">
        <v>9304.9</v>
      </c>
      <c r="K39" s="2" t="n">
        <v>0.75</v>
      </c>
      <c r="L39" s="2" t="inlineStr">
        <is>
          <t>None</t>
        </is>
      </c>
      <c r="M39" s="2" t="inlineStr">
        <is>
          <t>Released</t>
        </is>
      </c>
      <c r="N39" s="2" t="inlineStr">
        <is>
          <t>None</t>
        </is>
      </c>
      <c r="O39" s="2" t="n">
        <v>0</v>
      </c>
      <c r="P39" s="2" t="n">
        <v>49.2</v>
      </c>
      <c r="Q39" s="2" t="n">
        <v>4773.6</v>
      </c>
      <c r="R39" s="2" t="n">
        <v>7.17</v>
      </c>
      <c r="S39" s="5">
        <f>G39/F39</f>
        <v/>
      </c>
      <c r="T39" s="5">
        <f>MAX(0,1/K39/8)</f>
        <v/>
      </c>
      <c r="U39" s="5">
        <f>IFERROR(G39/(F39*T39),0)</f>
        <v/>
      </c>
      <c r="V39" s="5">
        <f>IFERROR(H39/G39,0)</f>
        <v/>
      </c>
      <c r="W39" s="5">
        <f>T39*U39*V39</f>
        <v/>
      </c>
      <c r="X39" s="5">
        <f>IFERROR(G39/J39,0)</f>
        <v/>
      </c>
      <c r="Y39" s="5">
        <f>IFERROR(I39/G39,0)</f>
        <v/>
      </c>
      <c r="Z39" s="6">
        <f>IFERROR(G39/P39,0)</f>
        <v/>
      </c>
      <c r="AA39" s="7">
        <f>IFERROR(Q39/G39,0)</f>
        <v/>
      </c>
      <c r="AB39" s="8">
        <f>R39+K39</f>
        <v/>
      </c>
    </row>
    <row r="40">
      <c r="A40" s="2" t="n">
        <v>36</v>
      </c>
      <c r="B40" s="4" t="n">
        <v>46040</v>
      </c>
      <c r="C40" s="2" t="inlineStr">
        <is>
          <t>Solid Dose Line 2</t>
        </is>
      </c>
      <c r="D40" s="2" t="inlineStr">
        <is>
          <t>Product A</t>
        </is>
      </c>
      <c r="E40" s="2" t="inlineStr">
        <is>
          <t>Night</t>
        </is>
      </c>
      <c r="F40" s="2" t="n">
        <v>11413</v>
      </c>
      <c r="G40" s="2" t="n">
        <v>7963.7</v>
      </c>
      <c r="H40" s="2" t="n">
        <v>7826.4</v>
      </c>
      <c r="I40" s="2" t="n">
        <v>137.3</v>
      </c>
      <c r="J40" s="2" t="n">
        <v>8060.9</v>
      </c>
      <c r="K40" s="2" t="n">
        <v>1.79</v>
      </c>
      <c r="L40" s="2" t="inlineStr">
        <is>
          <t>Material</t>
        </is>
      </c>
      <c r="M40" s="2" t="inlineStr">
        <is>
          <t>Released</t>
        </is>
      </c>
      <c r="N40" s="2" t="inlineStr">
        <is>
          <t>None</t>
        </is>
      </c>
      <c r="O40" s="2" t="n">
        <v>0</v>
      </c>
      <c r="P40" s="2" t="n">
        <v>43.2</v>
      </c>
      <c r="Q40" s="2" t="n">
        <v>3957.8</v>
      </c>
      <c r="R40" s="2" t="n">
        <v>6.64</v>
      </c>
      <c r="S40" s="5">
        <f>G40/F40</f>
        <v/>
      </c>
      <c r="T40" s="5">
        <f>MAX(0,1/K40/8)</f>
        <v/>
      </c>
      <c r="U40" s="5">
        <f>IFERROR(G40/(F40*T40),0)</f>
        <v/>
      </c>
      <c r="V40" s="5">
        <f>IFERROR(H40/G40,0)</f>
        <v/>
      </c>
      <c r="W40" s="5">
        <f>T40*U40*V40</f>
        <v/>
      </c>
      <c r="X40" s="5">
        <f>IFERROR(G40/J40,0)</f>
        <v/>
      </c>
      <c r="Y40" s="5">
        <f>IFERROR(I40/G40,0)</f>
        <v/>
      </c>
      <c r="Z40" s="6">
        <f>IFERROR(G40/P40,0)</f>
        <v/>
      </c>
      <c r="AA40" s="7">
        <f>IFERROR(Q40/G40,0)</f>
        <v/>
      </c>
      <c r="AB40" s="8">
        <f>R40+K40</f>
        <v/>
      </c>
    </row>
    <row r="41">
      <c r="A41" s="2" t="n">
        <v>37</v>
      </c>
      <c r="B41" s="4" t="n">
        <v>46041</v>
      </c>
      <c r="C41" s="2" t="inlineStr">
        <is>
          <t>Solid Dose Line 1</t>
        </is>
      </c>
      <c r="D41" s="2" t="inlineStr">
        <is>
          <t>Product B</t>
        </is>
      </c>
      <c r="E41" s="2" t="inlineStr">
        <is>
          <t>Night</t>
        </is>
      </c>
      <c r="F41" s="2" t="n">
        <v>11033</v>
      </c>
      <c r="G41" s="2" t="n">
        <v>9140.200000000001</v>
      </c>
      <c r="H41" s="2" t="n">
        <v>9035.6</v>
      </c>
      <c r="I41" s="2" t="n">
        <v>104.5</v>
      </c>
      <c r="J41" s="2" t="n">
        <v>9289.700000000001</v>
      </c>
      <c r="K41" s="2" t="n">
        <v>0.99</v>
      </c>
      <c r="L41" s="2" t="inlineStr">
        <is>
          <t>None</t>
        </is>
      </c>
      <c r="M41" s="2" t="inlineStr">
        <is>
          <t>Released</t>
        </is>
      </c>
      <c r="N41" s="2" t="inlineStr">
        <is>
          <t>Corrective</t>
        </is>
      </c>
      <c r="O41" s="2" t="n">
        <v>833.76</v>
      </c>
      <c r="P41" s="2" t="n">
        <v>50.1</v>
      </c>
      <c r="Q41" s="2" t="n">
        <v>4206.1</v>
      </c>
      <c r="R41" s="2" t="n">
        <v>7.68</v>
      </c>
      <c r="S41" s="5">
        <f>G41/F41</f>
        <v/>
      </c>
      <c r="T41" s="5">
        <f>MAX(0,1/K41/8)</f>
        <v/>
      </c>
      <c r="U41" s="5">
        <f>IFERROR(G41/(F41*T41),0)</f>
        <v/>
      </c>
      <c r="V41" s="5">
        <f>IFERROR(H41/G41,0)</f>
        <v/>
      </c>
      <c r="W41" s="5">
        <f>T41*U41*V41</f>
        <v/>
      </c>
      <c r="X41" s="5">
        <f>IFERROR(G41/J41,0)</f>
        <v/>
      </c>
      <c r="Y41" s="5">
        <f>IFERROR(I41/G41,0)</f>
        <v/>
      </c>
      <c r="Z41" s="6">
        <f>IFERROR(G41/P41,0)</f>
        <v/>
      </c>
      <c r="AA41" s="7">
        <f>IFERROR(Q41/G41,0)</f>
        <v/>
      </c>
      <c r="AB41" s="8">
        <f>R41+K41</f>
        <v/>
      </c>
    </row>
    <row r="42">
      <c r="A42" s="2" t="n">
        <v>38</v>
      </c>
      <c r="B42" s="4" t="n">
        <v>46041</v>
      </c>
      <c r="C42" s="2" t="inlineStr">
        <is>
          <t>Solid Dose Line 2</t>
        </is>
      </c>
      <c r="D42" s="2" t="inlineStr">
        <is>
          <t>Product B</t>
        </is>
      </c>
      <c r="E42" s="2" t="inlineStr">
        <is>
          <t>Evening</t>
        </is>
      </c>
      <c r="F42" s="2" t="n">
        <v>10526</v>
      </c>
      <c r="G42" s="2" t="n">
        <v>6990.2</v>
      </c>
      <c r="H42" s="2" t="n">
        <v>6918.3</v>
      </c>
      <c r="I42" s="2" t="n">
        <v>71.90000000000001</v>
      </c>
      <c r="J42" s="2" t="n">
        <v>7004</v>
      </c>
      <c r="K42" s="2" t="n">
        <v>3.86</v>
      </c>
      <c r="L42" s="2" t="inlineStr">
        <is>
          <t>None</t>
        </is>
      </c>
      <c r="M42" s="2" t="inlineStr">
        <is>
          <t>Released</t>
        </is>
      </c>
      <c r="N42" s="2" t="inlineStr">
        <is>
          <t>None</t>
        </is>
      </c>
      <c r="O42" s="2" t="n">
        <v>0</v>
      </c>
      <c r="P42" s="2" t="n">
        <v>36.2</v>
      </c>
      <c r="Q42" s="2" t="n">
        <v>3326.6</v>
      </c>
      <c r="R42" s="2" t="n">
        <v>7.26</v>
      </c>
      <c r="S42" s="5">
        <f>G42/F42</f>
        <v/>
      </c>
      <c r="T42" s="5">
        <f>MAX(0,1/K42/8)</f>
        <v/>
      </c>
      <c r="U42" s="5">
        <f>IFERROR(G42/(F42*T42),0)</f>
        <v/>
      </c>
      <c r="V42" s="5">
        <f>IFERROR(H42/G42,0)</f>
        <v/>
      </c>
      <c r="W42" s="5">
        <f>T42*U42*V42</f>
        <v/>
      </c>
      <c r="X42" s="5">
        <f>IFERROR(G42/J42,0)</f>
        <v/>
      </c>
      <c r="Y42" s="5">
        <f>IFERROR(I42/G42,0)</f>
        <v/>
      </c>
      <c r="Z42" s="6">
        <f>IFERROR(G42/P42,0)</f>
        <v/>
      </c>
      <c r="AA42" s="7">
        <f>IFERROR(Q42/G42,0)</f>
        <v/>
      </c>
      <c r="AB42" s="8">
        <f>R42+K42</f>
        <v/>
      </c>
    </row>
    <row r="43">
      <c r="A43" s="2" t="n">
        <v>39</v>
      </c>
      <c r="B43" s="4" t="n">
        <v>46042</v>
      </c>
      <c r="C43" s="2" t="inlineStr">
        <is>
          <t>Solid Dose Line 1</t>
        </is>
      </c>
      <c r="D43" s="2" t="inlineStr">
        <is>
          <t>Product A</t>
        </is>
      </c>
      <c r="E43" s="2" t="inlineStr">
        <is>
          <t>Day</t>
        </is>
      </c>
      <c r="F43" s="2" t="n">
        <v>11553</v>
      </c>
      <c r="G43" s="2" t="n">
        <v>7543.9</v>
      </c>
      <c r="H43" s="2" t="n">
        <v>7461.7</v>
      </c>
      <c r="I43" s="2" t="n">
        <v>82.2</v>
      </c>
      <c r="J43" s="2" t="n">
        <v>7564.8</v>
      </c>
      <c r="K43" s="2" t="n">
        <v>2.37</v>
      </c>
      <c r="L43" s="2" t="inlineStr">
        <is>
          <t>None</t>
        </is>
      </c>
      <c r="M43" s="2" t="inlineStr">
        <is>
          <t>Released</t>
        </is>
      </c>
      <c r="N43" s="2" t="inlineStr">
        <is>
          <t>None</t>
        </is>
      </c>
      <c r="O43" s="2" t="n">
        <v>0</v>
      </c>
      <c r="P43" s="2" t="n">
        <v>45.3</v>
      </c>
      <c r="Q43" s="2" t="n">
        <v>3915.7</v>
      </c>
      <c r="R43" s="2" t="n">
        <v>7.01</v>
      </c>
      <c r="S43" s="5">
        <f>G43/F43</f>
        <v/>
      </c>
      <c r="T43" s="5">
        <f>MAX(0,1/K43/8)</f>
        <v/>
      </c>
      <c r="U43" s="5">
        <f>IFERROR(G43/(F43*T43),0)</f>
        <v/>
      </c>
      <c r="V43" s="5">
        <f>IFERROR(H43/G43,0)</f>
        <v/>
      </c>
      <c r="W43" s="5">
        <f>T43*U43*V43</f>
        <v/>
      </c>
      <c r="X43" s="5">
        <f>IFERROR(G43/J43,0)</f>
        <v/>
      </c>
      <c r="Y43" s="5">
        <f>IFERROR(I43/G43,0)</f>
        <v/>
      </c>
      <c r="Z43" s="6">
        <f>IFERROR(G43/P43,0)</f>
        <v/>
      </c>
      <c r="AA43" s="7">
        <f>IFERROR(Q43/G43,0)</f>
        <v/>
      </c>
      <c r="AB43" s="8">
        <f>R43+K43</f>
        <v/>
      </c>
    </row>
    <row r="44">
      <c r="A44" s="2" t="n">
        <v>40</v>
      </c>
      <c r="B44" s="4" t="n">
        <v>46042</v>
      </c>
      <c r="C44" s="2" t="inlineStr">
        <is>
          <t>Solid Dose Line 2</t>
        </is>
      </c>
      <c r="D44" s="2" t="inlineStr">
        <is>
          <t>Product A</t>
        </is>
      </c>
      <c r="E44" s="2" t="inlineStr">
        <is>
          <t>Day</t>
        </is>
      </c>
      <c r="F44" s="2" t="n">
        <v>11561</v>
      </c>
      <c r="G44" s="2" t="n">
        <v>7908.6</v>
      </c>
      <c r="H44" s="2" t="n">
        <v>7811.7</v>
      </c>
      <c r="I44" s="2" t="n">
        <v>96.90000000000001</v>
      </c>
      <c r="J44" s="2" t="n">
        <v>8152.9</v>
      </c>
      <c r="K44" s="2" t="n">
        <v>1.93</v>
      </c>
      <c r="L44" s="2" t="inlineStr">
        <is>
          <t>Material</t>
        </is>
      </c>
      <c r="M44" s="2" t="inlineStr">
        <is>
          <t>Released</t>
        </is>
      </c>
      <c r="N44" s="2" t="inlineStr">
        <is>
          <t>Preventive</t>
        </is>
      </c>
      <c r="O44" s="2" t="n">
        <v>199.51</v>
      </c>
      <c r="P44" s="2" t="n">
        <v>42.6</v>
      </c>
      <c r="Q44" s="2" t="n">
        <v>4373.3</v>
      </c>
      <c r="R44" s="2" t="n">
        <v>7.12</v>
      </c>
      <c r="S44" s="5">
        <f>G44/F44</f>
        <v/>
      </c>
      <c r="T44" s="5">
        <f>MAX(0,1/K44/8)</f>
        <v/>
      </c>
      <c r="U44" s="5">
        <f>IFERROR(G44/(F44*T44),0)</f>
        <v/>
      </c>
      <c r="V44" s="5">
        <f>IFERROR(H44/G44,0)</f>
        <v/>
      </c>
      <c r="W44" s="5">
        <f>T44*U44*V44</f>
        <v/>
      </c>
      <c r="X44" s="5">
        <f>IFERROR(G44/J44,0)</f>
        <v/>
      </c>
      <c r="Y44" s="5">
        <f>IFERROR(I44/G44,0)</f>
        <v/>
      </c>
      <c r="Z44" s="6">
        <f>IFERROR(G44/P44,0)</f>
        <v/>
      </c>
      <c r="AA44" s="7">
        <f>IFERROR(Q44/G44,0)</f>
        <v/>
      </c>
      <c r="AB44" s="8">
        <f>R44+K44</f>
        <v/>
      </c>
    </row>
    <row r="45">
      <c r="A45" s="2" t="n">
        <v>41</v>
      </c>
      <c r="B45" s="4" t="n">
        <v>46043</v>
      </c>
      <c r="C45" s="2" t="inlineStr">
        <is>
          <t>Solid Dose Line 1</t>
        </is>
      </c>
      <c r="D45" s="2" t="inlineStr">
        <is>
          <t>Product C</t>
        </is>
      </c>
      <c r="E45" s="2" t="inlineStr">
        <is>
          <t>Night</t>
        </is>
      </c>
      <c r="F45" s="2" t="n">
        <v>11889</v>
      </c>
      <c r="G45" s="2" t="n">
        <v>8458.9</v>
      </c>
      <c r="H45" s="2" t="n">
        <v>8392.799999999999</v>
      </c>
      <c r="I45" s="2" t="n">
        <v>66.09999999999999</v>
      </c>
      <c r="J45" s="2" t="n">
        <v>8559.799999999999</v>
      </c>
      <c r="K45" s="2" t="n">
        <v>2.19</v>
      </c>
      <c r="L45" s="2" t="inlineStr">
        <is>
          <t>None</t>
        </is>
      </c>
      <c r="M45" s="2" t="inlineStr">
        <is>
          <t>Released</t>
        </is>
      </c>
      <c r="N45" s="2" t="inlineStr">
        <is>
          <t>None</t>
        </is>
      </c>
      <c r="O45" s="2" t="n">
        <v>0</v>
      </c>
      <c r="P45" s="2" t="n">
        <v>36.6</v>
      </c>
      <c r="Q45" s="2" t="n">
        <v>4086.9</v>
      </c>
      <c r="R45" s="2" t="n">
        <v>7.85</v>
      </c>
      <c r="S45" s="5">
        <f>G45/F45</f>
        <v/>
      </c>
      <c r="T45" s="5">
        <f>MAX(0,1/K45/8)</f>
        <v/>
      </c>
      <c r="U45" s="5">
        <f>IFERROR(G45/(F45*T45),0)</f>
        <v/>
      </c>
      <c r="V45" s="5">
        <f>IFERROR(H45/G45,0)</f>
        <v/>
      </c>
      <c r="W45" s="5">
        <f>T45*U45*V45</f>
        <v/>
      </c>
      <c r="X45" s="5">
        <f>IFERROR(G45/J45,0)</f>
        <v/>
      </c>
      <c r="Y45" s="5">
        <f>IFERROR(I45/G45,0)</f>
        <v/>
      </c>
      <c r="Z45" s="6">
        <f>IFERROR(G45/P45,0)</f>
        <v/>
      </c>
      <c r="AA45" s="7">
        <f>IFERROR(Q45/G45,0)</f>
        <v/>
      </c>
      <c r="AB45" s="8">
        <f>R45+K45</f>
        <v/>
      </c>
    </row>
    <row r="46">
      <c r="A46" s="2" t="n">
        <v>42</v>
      </c>
      <c r="B46" s="4" t="n">
        <v>46043</v>
      </c>
      <c r="C46" s="2" t="inlineStr">
        <is>
          <t>Solid Dose Line 2</t>
        </is>
      </c>
      <c r="D46" s="2" t="inlineStr">
        <is>
          <t>Product B</t>
        </is>
      </c>
      <c r="E46" s="2" t="inlineStr">
        <is>
          <t>Night</t>
        </is>
      </c>
      <c r="F46" s="2" t="n">
        <v>10520</v>
      </c>
      <c r="G46" s="2" t="n">
        <v>8333.5</v>
      </c>
      <c r="H46" s="2" t="n">
        <v>8176.9</v>
      </c>
      <c r="I46" s="2" t="n">
        <v>156.6</v>
      </c>
      <c r="J46" s="2" t="n">
        <v>8407</v>
      </c>
      <c r="K46" s="2" t="n">
        <v>1.23</v>
      </c>
      <c r="L46" s="2" t="inlineStr">
        <is>
          <t>None</t>
        </is>
      </c>
      <c r="M46" s="2" t="inlineStr">
        <is>
          <t>Released</t>
        </is>
      </c>
      <c r="N46" s="2" t="inlineStr">
        <is>
          <t>None</t>
        </is>
      </c>
      <c r="O46" s="2" t="n">
        <v>0</v>
      </c>
      <c r="P46" s="2" t="n">
        <v>49</v>
      </c>
      <c r="Q46" s="2" t="n">
        <v>4408.7</v>
      </c>
      <c r="R46" s="2" t="n">
        <v>6.75</v>
      </c>
      <c r="S46" s="5">
        <f>G46/F46</f>
        <v/>
      </c>
      <c r="T46" s="5">
        <f>MAX(0,1/K46/8)</f>
        <v/>
      </c>
      <c r="U46" s="5">
        <f>IFERROR(G46/(F46*T46),0)</f>
        <v/>
      </c>
      <c r="V46" s="5">
        <f>IFERROR(H46/G46,0)</f>
        <v/>
      </c>
      <c r="W46" s="5">
        <f>T46*U46*V46</f>
        <v/>
      </c>
      <c r="X46" s="5">
        <f>IFERROR(G46/J46,0)</f>
        <v/>
      </c>
      <c r="Y46" s="5">
        <f>IFERROR(I46/G46,0)</f>
        <v/>
      </c>
      <c r="Z46" s="6">
        <f>IFERROR(G46/P46,0)</f>
        <v/>
      </c>
      <c r="AA46" s="7">
        <f>IFERROR(Q46/G46,0)</f>
        <v/>
      </c>
      <c r="AB46" s="8">
        <f>R46+K46</f>
        <v/>
      </c>
    </row>
    <row r="47">
      <c r="A47" s="2" t="n">
        <v>43</v>
      </c>
      <c r="B47" s="4" t="n">
        <v>46044</v>
      </c>
      <c r="C47" s="2" t="inlineStr">
        <is>
          <t>Solid Dose Line 1</t>
        </is>
      </c>
      <c r="D47" s="2" t="inlineStr">
        <is>
          <t>Product C</t>
        </is>
      </c>
      <c r="E47" s="2" t="inlineStr">
        <is>
          <t>Night</t>
        </is>
      </c>
      <c r="F47" s="2" t="n">
        <v>11310</v>
      </c>
      <c r="G47" s="2" t="n">
        <v>8569.299999999999</v>
      </c>
      <c r="H47" s="2" t="n">
        <v>8441.799999999999</v>
      </c>
      <c r="I47" s="2" t="n">
        <v>127.5</v>
      </c>
      <c r="J47" s="2" t="n">
        <v>8632.1</v>
      </c>
      <c r="K47" s="2" t="n">
        <v>1.48</v>
      </c>
      <c r="L47" s="2" t="inlineStr">
        <is>
          <t>None</t>
        </is>
      </c>
      <c r="M47" s="2" t="inlineStr">
        <is>
          <t>Released</t>
        </is>
      </c>
      <c r="N47" s="2" t="inlineStr">
        <is>
          <t>None</t>
        </is>
      </c>
      <c r="O47" s="2" t="n">
        <v>0</v>
      </c>
      <c r="P47" s="2" t="n">
        <v>35.9</v>
      </c>
      <c r="Q47" s="2" t="n">
        <v>4417.6</v>
      </c>
      <c r="R47" s="2" t="n">
        <v>6.64</v>
      </c>
      <c r="S47" s="5">
        <f>G47/F47</f>
        <v/>
      </c>
      <c r="T47" s="5">
        <f>MAX(0,1/K47/8)</f>
        <v/>
      </c>
      <c r="U47" s="5">
        <f>IFERROR(G47/(F47*T47),0)</f>
        <v/>
      </c>
      <c r="V47" s="5">
        <f>IFERROR(H47/G47,0)</f>
        <v/>
      </c>
      <c r="W47" s="5">
        <f>T47*U47*V47</f>
        <v/>
      </c>
      <c r="X47" s="5">
        <f>IFERROR(G47/J47,0)</f>
        <v/>
      </c>
      <c r="Y47" s="5">
        <f>IFERROR(I47/G47,0)</f>
        <v/>
      </c>
      <c r="Z47" s="6">
        <f>IFERROR(G47/P47,0)</f>
        <v/>
      </c>
      <c r="AA47" s="7">
        <f>IFERROR(Q47/G47,0)</f>
        <v/>
      </c>
      <c r="AB47" s="8">
        <f>R47+K47</f>
        <v/>
      </c>
    </row>
    <row r="48">
      <c r="A48" s="2" t="n">
        <v>44</v>
      </c>
      <c r="B48" s="4" t="n">
        <v>46044</v>
      </c>
      <c r="C48" s="2" t="inlineStr">
        <is>
          <t>Solid Dose Line 2</t>
        </is>
      </c>
      <c r="D48" s="2" t="inlineStr">
        <is>
          <t>Product A</t>
        </is>
      </c>
      <c r="E48" s="2" t="inlineStr">
        <is>
          <t>Day</t>
        </is>
      </c>
      <c r="F48" s="2" t="n">
        <v>11053</v>
      </c>
      <c r="G48" s="2" t="n">
        <v>7657.3</v>
      </c>
      <c r="H48" s="2" t="n">
        <v>7504.3</v>
      </c>
      <c r="I48" s="2" t="n">
        <v>153</v>
      </c>
      <c r="J48" s="2" t="n">
        <v>7659.4</v>
      </c>
      <c r="K48" s="2" t="n">
        <v>2.1</v>
      </c>
      <c r="L48" s="2" t="inlineStr">
        <is>
          <t>None</t>
        </is>
      </c>
      <c r="M48" s="2" t="inlineStr">
        <is>
          <t>Released</t>
        </is>
      </c>
      <c r="N48" s="2" t="inlineStr">
        <is>
          <t>None</t>
        </is>
      </c>
      <c r="O48" s="2" t="n">
        <v>0</v>
      </c>
      <c r="P48" s="2" t="n">
        <v>37.1</v>
      </c>
      <c r="Q48" s="2" t="n">
        <v>3645.1</v>
      </c>
      <c r="R48" s="2" t="n">
        <v>6.8</v>
      </c>
      <c r="S48" s="5">
        <f>G48/F48</f>
        <v/>
      </c>
      <c r="T48" s="5">
        <f>MAX(0,1/K48/8)</f>
        <v/>
      </c>
      <c r="U48" s="5">
        <f>IFERROR(G48/(F48*T48),0)</f>
        <v/>
      </c>
      <c r="V48" s="5">
        <f>IFERROR(H48/G48,0)</f>
        <v/>
      </c>
      <c r="W48" s="5">
        <f>T48*U48*V48</f>
        <v/>
      </c>
      <c r="X48" s="5">
        <f>IFERROR(G48/J48,0)</f>
        <v/>
      </c>
      <c r="Y48" s="5">
        <f>IFERROR(I48/G48,0)</f>
        <v/>
      </c>
      <c r="Z48" s="6">
        <f>IFERROR(G48/P48,0)</f>
        <v/>
      </c>
      <c r="AA48" s="7">
        <f>IFERROR(Q48/G48,0)</f>
        <v/>
      </c>
      <c r="AB48" s="8">
        <f>R48+K48</f>
        <v/>
      </c>
    </row>
    <row r="49">
      <c r="A49" s="2" t="n">
        <v>45</v>
      </c>
      <c r="B49" s="4" t="n">
        <v>46045</v>
      </c>
      <c r="C49" s="2" t="inlineStr">
        <is>
          <t>Solid Dose Line 1</t>
        </is>
      </c>
      <c r="D49" s="2" t="inlineStr">
        <is>
          <t>Product A</t>
        </is>
      </c>
      <c r="E49" s="2" t="inlineStr">
        <is>
          <t>Day</t>
        </is>
      </c>
      <c r="F49" s="2" t="n">
        <v>9172</v>
      </c>
      <c r="G49" s="2" t="n">
        <v>5777.7</v>
      </c>
      <c r="H49" s="2" t="n">
        <v>5734.5</v>
      </c>
      <c r="I49" s="2" t="n">
        <v>43.3</v>
      </c>
      <c r="J49" s="2" t="n">
        <v>5819.2</v>
      </c>
      <c r="K49" s="2" t="n">
        <v>3.82</v>
      </c>
      <c r="L49" s="2" t="inlineStr">
        <is>
          <t>Environmental</t>
        </is>
      </c>
      <c r="M49" s="2" t="inlineStr">
        <is>
          <t>Released</t>
        </is>
      </c>
      <c r="N49" s="2" t="inlineStr">
        <is>
          <t>Emergency</t>
        </is>
      </c>
      <c r="O49" s="2" t="n">
        <v>1420.77</v>
      </c>
      <c r="P49" s="2" t="n">
        <v>42.7</v>
      </c>
      <c r="Q49" s="2" t="n">
        <v>2886.9</v>
      </c>
      <c r="R49" s="2" t="n">
        <v>7.99</v>
      </c>
      <c r="S49" s="5">
        <f>G49/F49</f>
        <v/>
      </c>
      <c r="T49" s="5">
        <f>MAX(0,1/K49/8)</f>
        <v/>
      </c>
      <c r="U49" s="5">
        <f>IFERROR(G49/(F49*T49),0)</f>
        <v/>
      </c>
      <c r="V49" s="5">
        <f>IFERROR(H49/G49,0)</f>
        <v/>
      </c>
      <c r="W49" s="5">
        <f>T49*U49*V49</f>
        <v/>
      </c>
      <c r="X49" s="5">
        <f>IFERROR(G49/J49,0)</f>
        <v/>
      </c>
      <c r="Y49" s="5">
        <f>IFERROR(I49/G49,0)</f>
        <v/>
      </c>
      <c r="Z49" s="6">
        <f>IFERROR(G49/P49,0)</f>
        <v/>
      </c>
      <c r="AA49" s="7">
        <f>IFERROR(Q49/G49,0)</f>
        <v/>
      </c>
      <c r="AB49" s="8">
        <f>R49+K49</f>
        <v/>
      </c>
    </row>
    <row r="50">
      <c r="A50" s="2" t="n">
        <v>46</v>
      </c>
      <c r="B50" s="4" t="n">
        <v>46045</v>
      </c>
      <c r="C50" s="2" t="inlineStr">
        <is>
          <t>Solid Dose Line 2</t>
        </is>
      </c>
      <c r="D50" s="2" t="inlineStr">
        <is>
          <t>Product B</t>
        </is>
      </c>
      <c r="E50" s="2" t="inlineStr">
        <is>
          <t>Evening</t>
        </is>
      </c>
      <c r="F50" s="2" t="n">
        <v>11256</v>
      </c>
      <c r="G50" s="2" t="n">
        <v>7617.4</v>
      </c>
      <c r="H50" s="2" t="n">
        <v>7584.6</v>
      </c>
      <c r="I50" s="2" t="n">
        <v>32.7</v>
      </c>
      <c r="J50" s="2" t="n">
        <v>7680.9</v>
      </c>
      <c r="K50" s="2" t="n">
        <v>2.36</v>
      </c>
      <c r="L50" s="2" t="inlineStr">
        <is>
          <t>Material</t>
        </is>
      </c>
      <c r="M50" s="2" t="inlineStr">
        <is>
          <t>Released</t>
        </is>
      </c>
      <c r="N50" s="2" t="inlineStr">
        <is>
          <t>None</t>
        </is>
      </c>
      <c r="O50" s="2" t="n">
        <v>0</v>
      </c>
      <c r="P50" s="2" t="n">
        <v>49.9</v>
      </c>
      <c r="Q50" s="2" t="n">
        <v>3958.4</v>
      </c>
      <c r="R50" s="2" t="n">
        <v>6.87</v>
      </c>
      <c r="S50" s="5">
        <f>G50/F50</f>
        <v/>
      </c>
      <c r="T50" s="5">
        <f>MAX(0,1/K50/8)</f>
        <v/>
      </c>
      <c r="U50" s="5">
        <f>IFERROR(G50/(F50*T50),0)</f>
        <v/>
      </c>
      <c r="V50" s="5">
        <f>IFERROR(H50/G50,0)</f>
        <v/>
      </c>
      <c r="W50" s="5">
        <f>T50*U50*V50</f>
        <v/>
      </c>
      <c r="X50" s="5">
        <f>IFERROR(G50/J50,0)</f>
        <v/>
      </c>
      <c r="Y50" s="5">
        <f>IFERROR(I50/G50,0)</f>
        <v/>
      </c>
      <c r="Z50" s="6">
        <f>IFERROR(G50/P50,0)</f>
        <v/>
      </c>
      <c r="AA50" s="7">
        <f>IFERROR(Q50/G50,0)</f>
        <v/>
      </c>
      <c r="AB50" s="8">
        <f>R50+K50</f>
        <v/>
      </c>
    </row>
    <row r="51">
      <c r="A51" s="2" t="n">
        <v>47</v>
      </c>
      <c r="B51" s="4" t="n">
        <v>46046</v>
      </c>
      <c r="C51" s="2" t="inlineStr">
        <is>
          <t>Solid Dose Line 1</t>
        </is>
      </c>
      <c r="D51" s="2" t="inlineStr">
        <is>
          <t>Product A</t>
        </is>
      </c>
      <c r="E51" s="2" t="inlineStr">
        <is>
          <t>Night</t>
        </is>
      </c>
      <c r="F51" s="2" t="n">
        <v>9043</v>
      </c>
      <c r="G51" s="2" t="n">
        <v>7483.2</v>
      </c>
      <c r="H51" s="2" t="n">
        <v>7412.7</v>
      </c>
      <c r="I51" s="2" t="n">
        <v>70.5</v>
      </c>
      <c r="J51" s="2" t="n">
        <v>7633.5</v>
      </c>
      <c r="K51" s="2" t="n">
        <v>1.07</v>
      </c>
      <c r="L51" s="2" t="inlineStr">
        <is>
          <t>None</t>
        </is>
      </c>
      <c r="M51" s="2" t="inlineStr">
        <is>
          <t>Released</t>
        </is>
      </c>
      <c r="N51" s="2" t="inlineStr">
        <is>
          <t>Emergency</t>
        </is>
      </c>
      <c r="O51" s="2" t="n">
        <v>1405.36</v>
      </c>
      <c r="P51" s="2" t="n">
        <v>41.9</v>
      </c>
      <c r="Q51" s="2" t="n">
        <v>3839</v>
      </c>
      <c r="R51" s="2" t="n">
        <v>7.82</v>
      </c>
      <c r="S51" s="5">
        <f>G51/F51</f>
        <v/>
      </c>
      <c r="T51" s="5">
        <f>MAX(0,1/K51/8)</f>
        <v/>
      </c>
      <c r="U51" s="5">
        <f>IFERROR(G51/(F51*T51),0)</f>
        <v/>
      </c>
      <c r="V51" s="5">
        <f>IFERROR(H51/G51,0)</f>
        <v/>
      </c>
      <c r="W51" s="5">
        <f>T51*U51*V51</f>
        <v/>
      </c>
      <c r="X51" s="5">
        <f>IFERROR(G51/J51,0)</f>
        <v/>
      </c>
      <c r="Y51" s="5">
        <f>IFERROR(I51/G51,0)</f>
        <v/>
      </c>
      <c r="Z51" s="6">
        <f>IFERROR(G51/P51,0)</f>
        <v/>
      </c>
      <c r="AA51" s="7">
        <f>IFERROR(Q51/G51,0)</f>
        <v/>
      </c>
      <c r="AB51" s="8">
        <f>R51+K51</f>
        <v/>
      </c>
    </row>
    <row r="52">
      <c r="A52" s="2" t="n">
        <v>48</v>
      </c>
      <c r="B52" s="4" t="n">
        <v>46046</v>
      </c>
      <c r="C52" s="2" t="inlineStr">
        <is>
          <t>Solid Dose Line 2</t>
        </is>
      </c>
      <c r="D52" s="2" t="inlineStr">
        <is>
          <t>Product B</t>
        </is>
      </c>
      <c r="E52" s="2" t="inlineStr">
        <is>
          <t>Evening</t>
        </is>
      </c>
      <c r="F52" s="2" t="n">
        <v>10185</v>
      </c>
      <c r="G52" s="2" t="n">
        <v>8809.5</v>
      </c>
      <c r="H52" s="2" t="n">
        <v>7990.6</v>
      </c>
      <c r="I52" s="2" t="n">
        <v>818.9</v>
      </c>
      <c r="J52" s="2" t="n">
        <v>8998.5</v>
      </c>
      <c r="K52" s="2" t="n">
        <v>0.27</v>
      </c>
      <c r="L52" s="2" t="inlineStr">
        <is>
          <t>None</t>
        </is>
      </c>
      <c r="M52" s="2" t="inlineStr">
        <is>
          <t>Rejected</t>
        </is>
      </c>
      <c r="N52" s="2" t="inlineStr">
        <is>
          <t>None</t>
        </is>
      </c>
      <c r="O52" s="2" t="n">
        <v>0</v>
      </c>
      <c r="P52" s="2" t="n">
        <v>39.4</v>
      </c>
      <c r="Q52" s="2" t="n">
        <v>4274.9</v>
      </c>
      <c r="R52" s="2" t="n">
        <v>7.76</v>
      </c>
      <c r="S52" s="5">
        <f>G52/F52</f>
        <v/>
      </c>
      <c r="T52" s="5">
        <f>MAX(0,1/K52/8)</f>
        <v/>
      </c>
      <c r="U52" s="5">
        <f>IFERROR(G52/(F52*T52),0)</f>
        <v/>
      </c>
      <c r="V52" s="5">
        <f>IFERROR(H52/G52,0)</f>
        <v/>
      </c>
      <c r="W52" s="5">
        <f>T52*U52*V52</f>
        <v/>
      </c>
      <c r="X52" s="5">
        <f>IFERROR(G52/J52,0)</f>
        <v/>
      </c>
      <c r="Y52" s="5">
        <f>IFERROR(I52/G52,0)</f>
        <v/>
      </c>
      <c r="Z52" s="6">
        <f>IFERROR(G52/P52,0)</f>
        <v/>
      </c>
      <c r="AA52" s="7">
        <f>IFERROR(Q52/G52,0)</f>
        <v/>
      </c>
      <c r="AB52" s="8">
        <f>R52+K52</f>
        <v/>
      </c>
    </row>
    <row r="53">
      <c r="A53" s="2" t="n">
        <v>49</v>
      </c>
      <c r="B53" s="4" t="n">
        <v>46047</v>
      </c>
      <c r="C53" s="2" t="inlineStr">
        <is>
          <t>Solid Dose Line 1</t>
        </is>
      </c>
      <c r="D53" s="2" t="inlineStr">
        <is>
          <t>Product A</t>
        </is>
      </c>
      <c r="E53" s="2" t="inlineStr">
        <is>
          <t>Night</t>
        </is>
      </c>
      <c r="F53" s="2" t="n">
        <v>11065</v>
      </c>
      <c r="G53" s="2" t="n">
        <v>8549</v>
      </c>
      <c r="H53" s="2" t="n">
        <v>8453.299999999999</v>
      </c>
      <c r="I53" s="2" t="n">
        <v>95.7</v>
      </c>
      <c r="J53" s="2" t="n">
        <v>8668.1</v>
      </c>
      <c r="K53" s="2" t="n">
        <v>1.15</v>
      </c>
      <c r="L53" s="2" t="inlineStr">
        <is>
          <t>None</t>
        </is>
      </c>
      <c r="M53" s="2" t="inlineStr">
        <is>
          <t>Released</t>
        </is>
      </c>
      <c r="N53" s="2" t="inlineStr">
        <is>
          <t>None</t>
        </is>
      </c>
      <c r="O53" s="2" t="n">
        <v>0</v>
      </c>
      <c r="P53" s="2" t="n">
        <v>48.4</v>
      </c>
      <c r="Q53" s="2" t="n">
        <v>4520</v>
      </c>
      <c r="R53" s="2" t="n">
        <v>6.68</v>
      </c>
      <c r="S53" s="5">
        <f>G53/F53</f>
        <v/>
      </c>
      <c r="T53" s="5">
        <f>MAX(0,1/K53/8)</f>
        <v/>
      </c>
      <c r="U53" s="5">
        <f>IFERROR(G53/(F53*T53),0)</f>
        <v/>
      </c>
      <c r="V53" s="5">
        <f>IFERROR(H53/G53,0)</f>
        <v/>
      </c>
      <c r="W53" s="5">
        <f>T53*U53*V53</f>
        <v/>
      </c>
      <c r="X53" s="5">
        <f>IFERROR(G53/J53,0)</f>
        <v/>
      </c>
      <c r="Y53" s="5">
        <f>IFERROR(I53/G53,0)</f>
        <v/>
      </c>
      <c r="Z53" s="6">
        <f>IFERROR(G53/P53,0)</f>
        <v/>
      </c>
      <c r="AA53" s="7">
        <f>IFERROR(Q53/G53,0)</f>
        <v/>
      </c>
      <c r="AB53" s="8">
        <f>R53+K53</f>
        <v/>
      </c>
    </row>
    <row r="54">
      <c r="A54" s="2" t="n">
        <v>50</v>
      </c>
      <c r="B54" s="4" t="n">
        <v>46047</v>
      </c>
      <c r="C54" s="2" t="inlineStr">
        <is>
          <t>Solid Dose Line 2</t>
        </is>
      </c>
      <c r="D54" s="2" t="inlineStr">
        <is>
          <t>Product B</t>
        </is>
      </c>
      <c r="E54" s="2" t="inlineStr">
        <is>
          <t>Evening</t>
        </is>
      </c>
      <c r="F54" s="2" t="n">
        <v>10318</v>
      </c>
      <c r="G54" s="2" t="n">
        <v>6920.4</v>
      </c>
      <c r="H54" s="2" t="n">
        <v>6841.9</v>
      </c>
      <c r="I54" s="2" t="n">
        <v>78.59999999999999</v>
      </c>
      <c r="J54" s="2" t="n">
        <v>7023.2</v>
      </c>
      <c r="K54" s="2" t="n">
        <v>2.83</v>
      </c>
      <c r="L54" s="2" t="inlineStr">
        <is>
          <t>None</t>
        </is>
      </c>
      <c r="M54" s="2" t="inlineStr">
        <is>
          <t>Released</t>
        </is>
      </c>
      <c r="N54" s="2" t="inlineStr">
        <is>
          <t>Corrective</t>
        </is>
      </c>
      <c r="O54" s="2" t="n">
        <v>613.61</v>
      </c>
      <c r="P54" s="2" t="n">
        <v>38.3</v>
      </c>
      <c r="Q54" s="2" t="n">
        <v>3458.8</v>
      </c>
      <c r="R54" s="2" t="n">
        <v>7.07</v>
      </c>
      <c r="S54" s="5">
        <f>G54/F54</f>
        <v/>
      </c>
      <c r="T54" s="5">
        <f>MAX(0,1/K54/8)</f>
        <v/>
      </c>
      <c r="U54" s="5">
        <f>IFERROR(G54/(F54*T54),0)</f>
        <v/>
      </c>
      <c r="V54" s="5">
        <f>IFERROR(H54/G54,0)</f>
        <v/>
      </c>
      <c r="W54" s="5">
        <f>T54*U54*V54</f>
        <v/>
      </c>
      <c r="X54" s="5">
        <f>IFERROR(G54/J54,0)</f>
        <v/>
      </c>
      <c r="Y54" s="5">
        <f>IFERROR(I54/G54,0)</f>
        <v/>
      </c>
      <c r="Z54" s="6">
        <f>IFERROR(G54/P54,0)</f>
        <v/>
      </c>
      <c r="AA54" s="7">
        <f>IFERROR(Q54/G54,0)</f>
        <v/>
      </c>
      <c r="AB54" s="8">
        <f>R54+K54</f>
        <v/>
      </c>
    </row>
    <row r="55">
      <c r="A55" s="2" t="n">
        <v>51</v>
      </c>
      <c r="B55" s="4" t="n">
        <v>46048</v>
      </c>
      <c r="C55" s="2" t="inlineStr">
        <is>
          <t>Solid Dose Line 1</t>
        </is>
      </c>
      <c r="D55" s="2" t="inlineStr">
        <is>
          <t>Product B</t>
        </is>
      </c>
      <c r="E55" s="2" t="inlineStr">
        <is>
          <t>Night</t>
        </is>
      </c>
      <c r="F55" s="2" t="n">
        <v>10310</v>
      </c>
      <c r="G55" s="2" t="n">
        <v>7710.6</v>
      </c>
      <c r="H55" s="2" t="n">
        <v>7523.7</v>
      </c>
      <c r="I55" s="2" t="n">
        <v>186.9</v>
      </c>
      <c r="J55" s="2" t="n">
        <v>7834</v>
      </c>
      <c r="K55" s="2" t="n">
        <v>1.22</v>
      </c>
      <c r="L55" s="2" t="inlineStr">
        <is>
          <t>None</t>
        </is>
      </c>
      <c r="M55" s="2" t="inlineStr">
        <is>
          <t>Released</t>
        </is>
      </c>
      <c r="N55" s="2" t="inlineStr">
        <is>
          <t>Preventive</t>
        </is>
      </c>
      <c r="O55" s="2" t="n">
        <v>288.57</v>
      </c>
      <c r="P55" s="2" t="n">
        <v>46</v>
      </c>
      <c r="Q55" s="2" t="n">
        <v>3903.7</v>
      </c>
      <c r="R55" s="2" t="n">
        <v>6.78</v>
      </c>
      <c r="S55" s="5">
        <f>G55/F55</f>
        <v/>
      </c>
      <c r="T55" s="5">
        <f>MAX(0,1/K55/8)</f>
        <v/>
      </c>
      <c r="U55" s="5">
        <f>IFERROR(G55/(F55*T55),0)</f>
        <v/>
      </c>
      <c r="V55" s="5">
        <f>IFERROR(H55/G55,0)</f>
        <v/>
      </c>
      <c r="W55" s="5">
        <f>T55*U55*V55</f>
        <v/>
      </c>
      <c r="X55" s="5">
        <f>IFERROR(G55/J55,0)</f>
        <v/>
      </c>
      <c r="Y55" s="5">
        <f>IFERROR(I55/G55,0)</f>
        <v/>
      </c>
      <c r="Z55" s="6">
        <f>IFERROR(G55/P55,0)</f>
        <v/>
      </c>
      <c r="AA55" s="7">
        <f>IFERROR(Q55/G55,0)</f>
        <v/>
      </c>
      <c r="AB55" s="8">
        <f>R55+K55</f>
        <v/>
      </c>
    </row>
    <row r="56">
      <c r="A56" s="2" t="n">
        <v>52</v>
      </c>
      <c r="B56" s="4" t="n">
        <v>46048</v>
      </c>
      <c r="C56" s="2" t="inlineStr">
        <is>
          <t>Solid Dose Line 2</t>
        </is>
      </c>
      <c r="D56" s="2" t="inlineStr">
        <is>
          <t>Product C</t>
        </is>
      </c>
      <c r="E56" s="2" t="inlineStr">
        <is>
          <t>Evening</t>
        </is>
      </c>
      <c r="F56" s="2" t="n">
        <v>9364</v>
      </c>
      <c r="G56" s="2" t="n">
        <v>6854.5</v>
      </c>
      <c r="H56" s="2" t="n">
        <v>6768.3</v>
      </c>
      <c r="I56" s="2" t="n">
        <v>86.2</v>
      </c>
      <c r="J56" s="2" t="n">
        <v>7043.4</v>
      </c>
      <c r="K56" s="2" t="n">
        <v>2.22</v>
      </c>
      <c r="L56" s="2" t="inlineStr">
        <is>
          <t>None</t>
        </is>
      </c>
      <c r="M56" s="2" t="inlineStr">
        <is>
          <t>Released</t>
        </is>
      </c>
      <c r="N56" s="2" t="inlineStr">
        <is>
          <t>None</t>
        </is>
      </c>
      <c r="O56" s="2" t="n">
        <v>0</v>
      </c>
      <c r="P56" s="2" t="n">
        <v>47.2</v>
      </c>
      <c r="Q56" s="2" t="n">
        <v>3607.8</v>
      </c>
      <c r="R56" s="2" t="n">
        <v>7.06</v>
      </c>
      <c r="S56" s="5">
        <f>G56/F56</f>
        <v/>
      </c>
      <c r="T56" s="5">
        <f>MAX(0,1/K56/8)</f>
        <v/>
      </c>
      <c r="U56" s="5">
        <f>IFERROR(G56/(F56*T56),0)</f>
        <v/>
      </c>
      <c r="V56" s="5">
        <f>IFERROR(H56/G56,0)</f>
        <v/>
      </c>
      <c r="W56" s="5">
        <f>T56*U56*V56</f>
        <v/>
      </c>
      <c r="X56" s="5">
        <f>IFERROR(G56/J56,0)</f>
        <v/>
      </c>
      <c r="Y56" s="5">
        <f>IFERROR(I56/G56,0)</f>
        <v/>
      </c>
      <c r="Z56" s="6">
        <f>IFERROR(G56/P56,0)</f>
        <v/>
      </c>
      <c r="AA56" s="7">
        <f>IFERROR(Q56/G56,0)</f>
        <v/>
      </c>
      <c r="AB56" s="8">
        <f>R56+K56</f>
        <v/>
      </c>
    </row>
    <row r="57">
      <c r="A57" s="2" t="n">
        <v>53</v>
      </c>
      <c r="B57" s="4" t="n">
        <v>46049</v>
      </c>
      <c r="C57" s="2" t="inlineStr">
        <is>
          <t>Solid Dose Line 1</t>
        </is>
      </c>
      <c r="D57" s="2" t="inlineStr">
        <is>
          <t>Product A</t>
        </is>
      </c>
      <c r="E57" s="2" t="inlineStr">
        <is>
          <t>Day</t>
        </is>
      </c>
      <c r="F57" s="2" t="n">
        <v>9768</v>
      </c>
      <c r="G57" s="2" t="n">
        <v>6460.1</v>
      </c>
      <c r="H57" s="2" t="n">
        <v>6348.3</v>
      </c>
      <c r="I57" s="2" t="n">
        <v>111.8</v>
      </c>
      <c r="J57" s="2" t="n">
        <v>6617.9</v>
      </c>
      <c r="K57" s="2" t="n">
        <v>2.83</v>
      </c>
      <c r="L57" s="2" t="inlineStr">
        <is>
          <t>None</t>
        </is>
      </c>
      <c r="M57" s="2" t="inlineStr">
        <is>
          <t>Released</t>
        </is>
      </c>
      <c r="N57" s="2" t="inlineStr">
        <is>
          <t>None</t>
        </is>
      </c>
      <c r="O57" s="2" t="n">
        <v>0</v>
      </c>
      <c r="P57" s="2" t="n">
        <v>44.6</v>
      </c>
      <c r="Q57" s="2" t="n">
        <v>3117.3</v>
      </c>
      <c r="R57" s="2" t="n">
        <v>6.93</v>
      </c>
      <c r="S57" s="5">
        <f>G57/F57</f>
        <v/>
      </c>
      <c r="T57" s="5">
        <f>MAX(0,1/K57/8)</f>
        <v/>
      </c>
      <c r="U57" s="5">
        <f>IFERROR(G57/(F57*T57),0)</f>
        <v/>
      </c>
      <c r="V57" s="5">
        <f>IFERROR(H57/G57,0)</f>
        <v/>
      </c>
      <c r="W57" s="5">
        <f>T57*U57*V57</f>
        <v/>
      </c>
      <c r="X57" s="5">
        <f>IFERROR(G57/J57,0)</f>
        <v/>
      </c>
      <c r="Y57" s="5">
        <f>IFERROR(I57/G57,0)</f>
        <v/>
      </c>
      <c r="Z57" s="6">
        <f>IFERROR(G57/P57,0)</f>
        <v/>
      </c>
      <c r="AA57" s="7">
        <f>IFERROR(Q57/G57,0)</f>
        <v/>
      </c>
      <c r="AB57" s="8">
        <f>R57+K57</f>
        <v/>
      </c>
    </row>
    <row r="58">
      <c r="A58" s="2" t="n">
        <v>54</v>
      </c>
      <c r="B58" s="4" t="n">
        <v>46049</v>
      </c>
      <c r="C58" s="2" t="inlineStr">
        <is>
          <t>Solid Dose Line 2</t>
        </is>
      </c>
      <c r="D58" s="2" t="inlineStr">
        <is>
          <t>Product A</t>
        </is>
      </c>
      <c r="E58" s="2" t="inlineStr">
        <is>
          <t>Day</t>
        </is>
      </c>
      <c r="F58" s="2" t="n">
        <v>9058</v>
      </c>
      <c r="G58" s="2" t="n">
        <v>5964.8</v>
      </c>
      <c r="H58" s="2" t="n">
        <v>5820.8</v>
      </c>
      <c r="I58" s="2" t="n">
        <v>144</v>
      </c>
      <c r="J58" s="2" t="n">
        <v>6131</v>
      </c>
      <c r="K58" s="2" t="n">
        <v>2.94</v>
      </c>
      <c r="L58" s="2" t="inlineStr">
        <is>
          <t>Environmental</t>
        </is>
      </c>
      <c r="M58" s="2" t="inlineStr">
        <is>
          <t>Released</t>
        </is>
      </c>
      <c r="N58" s="2" t="inlineStr">
        <is>
          <t>None</t>
        </is>
      </c>
      <c r="O58" s="2" t="n">
        <v>0</v>
      </c>
      <c r="P58" s="2" t="n">
        <v>34</v>
      </c>
      <c r="Q58" s="2" t="n">
        <v>3002.6</v>
      </c>
      <c r="R58" s="2" t="n">
        <v>7.31</v>
      </c>
      <c r="S58" s="5">
        <f>G58/F58</f>
        <v/>
      </c>
      <c r="T58" s="5">
        <f>MAX(0,1/K58/8)</f>
        <v/>
      </c>
      <c r="U58" s="5">
        <f>IFERROR(G58/(F58*T58),0)</f>
        <v/>
      </c>
      <c r="V58" s="5">
        <f>IFERROR(H58/G58,0)</f>
        <v/>
      </c>
      <c r="W58" s="5">
        <f>T58*U58*V58</f>
        <v/>
      </c>
      <c r="X58" s="5">
        <f>IFERROR(G58/J58,0)</f>
        <v/>
      </c>
      <c r="Y58" s="5">
        <f>IFERROR(I58/G58,0)</f>
        <v/>
      </c>
      <c r="Z58" s="6">
        <f>IFERROR(G58/P58,0)</f>
        <v/>
      </c>
      <c r="AA58" s="7">
        <f>IFERROR(Q58/G58,0)</f>
        <v/>
      </c>
      <c r="AB58" s="8">
        <f>R58+K58</f>
        <v/>
      </c>
    </row>
    <row r="59">
      <c r="A59" s="2" t="n">
        <v>55</v>
      </c>
      <c r="B59" s="4" t="n">
        <v>46050</v>
      </c>
      <c r="C59" s="2" t="inlineStr">
        <is>
          <t>Solid Dose Line 1</t>
        </is>
      </c>
      <c r="D59" s="2" t="inlineStr">
        <is>
          <t>Product B</t>
        </is>
      </c>
      <c r="E59" s="2" t="inlineStr">
        <is>
          <t>Day</t>
        </is>
      </c>
      <c r="F59" s="2" t="n">
        <v>11472</v>
      </c>
      <c r="G59" s="2" t="n">
        <v>7722.3</v>
      </c>
      <c r="H59" s="2" t="n">
        <v>7676.6</v>
      </c>
      <c r="I59" s="2" t="n">
        <v>45.7</v>
      </c>
      <c r="J59" s="2" t="n">
        <v>7784.6</v>
      </c>
      <c r="K59" s="2" t="n">
        <v>2.17</v>
      </c>
      <c r="L59" s="2" t="inlineStr">
        <is>
          <t>Material</t>
        </is>
      </c>
      <c r="M59" s="2" t="inlineStr">
        <is>
          <t>Released</t>
        </is>
      </c>
      <c r="N59" s="2" t="inlineStr">
        <is>
          <t>None</t>
        </is>
      </c>
      <c r="O59" s="2" t="n">
        <v>0</v>
      </c>
      <c r="P59" s="2" t="n">
        <v>39.7</v>
      </c>
      <c r="Q59" s="2" t="n">
        <v>4249.4</v>
      </c>
      <c r="R59" s="2" t="n">
        <v>7.33</v>
      </c>
      <c r="S59" s="5">
        <f>G59/F59</f>
        <v/>
      </c>
      <c r="T59" s="5">
        <f>MAX(0,1/K59/8)</f>
        <v/>
      </c>
      <c r="U59" s="5">
        <f>IFERROR(G59/(F59*T59),0)</f>
        <v/>
      </c>
      <c r="V59" s="5">
        <f>IFERROR(H59/G59,0)</f>
        <v/>
      </c>
      <c r="W59" s="5">
        <f>T59*U59*V59</f>
        <v/>
      </c>
      <c r="X59" s="5">
        <f>IFERROR(G59/J59,0)</f>
        <v/>
      </c>
      <c r="Y59" s="5">
        <f>IFERROR(I59/G59,0)</f>
        <v/>
      </c>
      <c r="Z59" s="6">
        <f>IFERROR(G59/P59,0)</f>
        <v/>
      </c>
      <c r="AA59" s="7">
        <f>IFERROR(Q59/G59,0)</f>
        <v/>
      </c>
      <c r="AB59" s="8">
        <f>R59+K59</f>
        <v/>
      </c>
    </row>
    <row r="60">
      <c r="A60" s="2" t="n">
        <v>56</v>
      </c>
      <c r="B60" s="4" t="n">
        <v>46050</v>
      </c>
      <c r="C60" s="2" t="inlineStr">
        <is>
          <t>Solid Dose Line 2</t>
        </is>
      </c>
      <c r="D60" s="2" t="inlineStr">
        <is>
          <t>Product B</t>
        </is>
      </c>
      <c r="E60" s="2" t="inlineStr">
        <is>
          <t>Day</t>
        </is>
      </c>
      <c r="F60" s="2" t="n">
        <v>9619</v>
      </c>
      <c r="G60" s="2" t="n">
        <v>7186.1</v>
      </c>
      <c r="H60" s="2" t="n">
        <v>7127.7</v>
      </c>
      <c r="I60" s="2" t="n">
        <v>58.5</v>
      </c>
      <c r="J60" s="2" t="n">
        <v>7319.1</v>
      </c>
      <c r="K60" s="2" t="n">
        <v>1.51</v>
      </c>
      <c r="L60" s="2" t="inlineStr">
        <is>
          <t>None</t>
        </is>
      </c>
      <c r="M60" s="2" t="inlineStr">
        <is>
          <t>Released</t>
        </is>
      </c>
      <c r="N60" s="2" t="inlineStr">
        <is>
          <t>None</t>
        </is>
      </c>
      <c r="O60" s="2" t="n">
        <v>0</v>
      </c>
      <c r="P60" s="2" t="n">
        <v>48.3</v>
      </c>
      <c r="Q60" s="2" t="n">
        <v>3698.6</v>
      </c>
      <c r="R60" s="2" t="n">
        <v>7.87</v>
      </c>
      <c r="S60" s="5">
        <f>G60/F60</f>
        <v/>
      </c>
      <c r="T60" s="5">
        <f>MAX(0,1/K60/8)</f>
        <v/>
      </c>
      <c r="U60" s="5">
        <f>IFERROR(G60/(F60*T60),0)</f>
        <v/>
      </c>
      <c r="V60" s="5">
        <f>IFERROR(H60/G60,0)</f>
        <v/>
      </c>
      <c r="W60" s="5">
        <f>T60*U60*V60</f>
        <v/>
      </c>
      <c r="X60" s="5">
        <f>IFERROR(G60/J60,0)</f>
        <v/>
      </c>
      <c r="Y60" s="5">
        <f>IFERROR(I60/G60,0)</f>
        <v/>
      </c>
      <c r="Z60" s="6">
        <f>IFERROR(G60/P60,0)</f>
        <v/>
      </c>
      <c r="AA60" s="7">
        <f>IFERROR(Q60/G60,0)</f>
        <v/>
      </c>
      <c r="AB60" s="8">
        <f>R60+K60</f>
        <v/>
      </c>
    </row>
    <row r="61">
      <c r="A61" s="2" t="n">
        <v>57</v>
      </c>
      <c r="B61" s="4" t="n">
        <v>46051</v>
      </c>
      <c r="C61" s="2" t="inlineStr">
        <is>
          <t>Solid Dose Line 1</t>
        </is>
      </c>
      <c r="D61" s="2" t="inlineStr">
        <is>
          <t>Product A</t>
        </is>
      </c>
      <c r="E61" s="2" t="inlineStr">
        <is>
          <t>Day</t>
        </is>
      </c>
      <c r="F61" s="2" t="n">
        <v>11714</v>
      </c>
      <c r="G61" s="2" t="n">
        <v>8248.5</v>
      </c>
      <c r="H61" s="2" t="n">
        <v>8131.7</v>
      </c>
      <c r="I61" s="2" t="n">
        <v>116.8</v>
      </c>
      <c r="J61" s="2" t="n">
        <v>8407.9</v>
      </c>
      <c r="K61" s="2" t="n">
        <v>1.78</v>
      </c>
      <c r="L61" s="2" t="inlineStr">
        <is>
          <t>None</t>
        </is>
      </c>
      <c r="M61" s="2" t="inlineStr">
        <is>
          <t>Released</t>
        </is>
      </c>
      <c r="N61" s="2" t="inlineStr">
        <is>
          <t>None</t>
        </is>
      </c>
      <c r="O61" s="2" t="n">
        <v>0</v>
      </c>
      <c r="P61" s="2" t="n">
        <v>33.1</v>
      </c>
      <c r="Q61" s="2" t="n">
        <v>4515.8</v>
      </c>
      <c r="R61" s="2" t="n">
        <v>7.94</v>
      </c>
      <c r="S61" s="5">
        <f>G61/F61</f>
        <v/>
      </c>
      <c r="T61" s="5">
        <f>MAX(0,1/K61/8)</f>
        <v/>
      </c>
      <c r="U61" s="5">
        <f>IFERROR(G61/(F61*T61),0)</f>
        <v/>
      </c>
      <c r="V61" s="5">
        <f>IFERROR(H61/G61,0)</f>
        <v/>
      </c>
      <c r="W61" s="5">
        <f>T61*U61*V61</f>
        <v/>
      </c>
      <c r="X61" s="5">
        <f>IFERROR(G61/J61,0)</f>
        <v/>
      </c>
      <c r="Y61" s="5">
        <f>IFERROR(I61/G61,0)</f>
        <v/>
      </c>
      <c r="Z61" s="6">
        <f>IFERROR(G61/P61,0)</f>
        <v/>
      </c>
      <c r="AA61" s="7">
        <f>IFERROR(Q61/G61,0)</f>
        <v/>
      </c>
      <c r="AB61" s="8">
        <f>R61+K61</f>
        <v/>
      </c>
    </row>
    <row r="62">
      <c r="A62" s="2" t="n">
        <v>58</v>
      </c>
      <c r="B62" s="4" t="n">
        <v>46051</v>
      </c>
      <c r="C62" s="2" t="inlineStr">
        <is>
          <t>Solid Dose Line 2</t>
        </is>
      </c>
      <c r="D62" s="2" t="inlineStr">
        <is>
          <t>Product C</t>
        </is>
      </c>
      <c r="E62" s="2" t="inlineStr">
        <is>
          <t>Night</t>
        </is>
      </c>
      <c r="F62" s="2" t="n">
        <v>11569</v>
      </c>
      <c r="G62" s="2" t="n">
        <v>7904.2</v>
      </c>
      <c r="H62" s="2" t="n">
        <v>7769.9</v>
      </c>
      <c r="I62" s="2" t="n">
        <v>134.3</v>
      </c>
      <c r="J62" s="2" t="n">
        <v>8056.4</v>
      </c>
      <c r="K62" s="2" t="n">
        <v>2.6</v>
      </c>
      <c r="L62" s="2" t="inlineStr">
        <is>
          <t>None</t>
        </is>
      </c>
      <c r="M62" s="2" t="inlineStr">
        <is>
          <t>Released</t>
        </is>
      </c>
      <c r="N62" s="2" t="inlineStr">
        <is>
          <t>None</t>
        </is>
      </c>
      <c r="O62" s="2" t="n">
        <v>0</v>
      </c>
      <c r="P62" s="2" t="n">
        <v>40.7</v>
      </c>
      <c r="Q62" s="2" t="n">
        <v>4081</v>
      </c>
      <c r="R62" s="2" t="n">
        <v>6.68</v>
      </c>
      <c r="S62" s="5">
        <f>G62/F62</f>
        <v/>
      </c>
      <c r="T62" s="5">
        <f>MAX(0,1/K62/8)</f>
        <v/>
      </c>
      <c r="U62" s="5">
        <f>IFERROR(G62/(F62*T62),0)</f>
        <v/>
      </c>
      <c r="V62" s="5">
        <f>IFERROR(H62/G62,0)</f>
        <v/>
      </c>
      <c r="W62" s="5">
        <f>T62*U62*V62</f>
        <v/>
      </c>
      <c r="X62" s="5">
        <f>IFERROR(G62/J62,0)</f>
        <v/>
      </c>
      <c r="Y62" s="5">
        <f>IFERROR(I62/G62,0)</f>
        <v/>
      </c>
      <c r="Z62" s="6">
        <f>IFERROR(G62/P62,0)</f>
        <v/>
      </c>
      <c r="AA62" s="7">
        <f>IFERROR(Q62/G62,0)</f>
        <v/>
      </c>
      <c r="AB62" s="8">
        <f>R62+K62</f>
        <v/>
      </c>
    </row>
    <row r="63">
      <c r="A63" s="2" t="n">
        <v>59</v>
      </c>
      <c r="B63" s="4" t="n">
        <v>46052</v>
      </c>
      <c r="C63" s="2" t="inlineStr">
        <is>
          <t>Solid Dose Line 1</t>
        </is>
      </c>
      <c r="D63" s="2" t="inlineStr">
        <is>
          <t>Product A</t>
        </is>
      </c>
      <c r="E63" s="2" t="inlineStr">
        <is>
          <t>Night</t>
        </is>
      </c>
      <c r="F63" s="2" t="n">
        <v>11427</v>
      </c>
      <c r="G63" s="2" t="n">
        <v>7376.1</v>
      </c>
      <c r="H63" s="2" t="n">
        <v>7250.5</v>
      </c>
      <c r="I63" s="2" t="n">
        <v>125.6</v>
      </c>
      <c r="J63" s="2" t="n">
        <v>7457.5</v>
      </c>
      <c r="K63" s="2" t="n">
        <v>3.78</v>
      </c>
      <c r="L63" s="2" t="inlineStr">
        <is>
          <t>Equipment</t>
        </is>
      </c>
      <c r="M63" s="2" t="inlineStr">
        <is>
          <t>Released</t>
        </is>
      </c>
      <c r="N63" s="2" t="inlineStr">
        <is>
          <t>None</t>
        </is>
      </c>
      <c r="O63" s="2" t="n">
        <v>0</v>
      </c>
      <c r="P63" s="2" t="n">
        <v>43.2</v>
      </c>
      <c r="Q63" s="2" t="n">
        <v>4369.9</v>
      </c>
      <c r="R63" s="2" t="n">
        <v>6.57</v>
      </c>
      <c r="S63" s="5">
        <f>G63/F63</f>
        <v/>
      </c>
      <c r="T63" s="5">
        <f>MAX(0,1/K63/8)</f>
        <v/>
      </c>
      <c r="U63" s="5">
        <f>IFERROR(G63/(F63*T63),0)</f>
        <v/>
      </c>
      <c r="V63" s="5">
        <f>IFERROR(H63/G63,0)</f>
        <v/>
      </c>
      <c r="W63" s="5">
        <f>T63*U63*V63</f>
        <v/>
      </c>
      <c r="X63" s="5">
        <f>IFERROR(G63/J63,0)</f>
        <v/>
      </c>
      <c r="Y63" s="5">
        <f>IFERROR(I63/G63,0)</f>
        <v/>
      </c>
      <c r="Z63" s="6">
        <f>IFERROR(G63/P63,0)</f>
        <v/>
      </c>
      <c r="AA63" s="7">
        <f>IFERROR(Q63/G63,0)</f>
        <v/>
      </c>
      <c r="AB63" s="8">
        <f>R63+K63</f>
        <v/>
      </c>
    </row>
    <row r="64">
      <c r="A64" s="2" t="n">
        <v>60</v>
      </c>
      <c r="B64" s="4" t="n">
        <v>46052</v>
      </c>
      <c r="C64" s="2" t="inlineStr">
        <is>
          <t>Solid Dose Line 2</t>
        </is>
      </c>
      <c r="D64" s="2" t="inlineStr">
        <is>
          <t>Product C</t>
        </is>
      </c>
      <c r="E64" s="2" t="inlineStr">
        <is>
          <t>Day</t>
        </is>
      </c>
      <c r="F64" s="2" t="n">
        <v>11012</v>
      </c>
      <c r="G64" s="2" t="n">
        <v>6745.2</v>
      </c>
      <c r="H64" s="2" t="n">
        <v>6649.4</v>
      </c>
      <c r="I64" s="2" t="n">
        <v>95.90000000000001</v>
      </c>
      <c r="J64" s="2" t="n">
        <v>6697.1</v>
      </c>
      <c r="K64" s="2" t="n">
        <v>3.18</v>
      </c>
      <c r="L64" s="2" t="inlineStr">
        <is>
          <t>None</t>
        </is>
      </c>
      <c r="M64" s="2" t="inlineStr">
        <is>
          <t>Released</t>
        </is>
      </c>
      <c r="N64" s="2" t="inlineStr">
        <is>
          <t>None</t>
        </is>
      </c>
      <c r="O64" s="2" t="n">
        <v>0</v>
      </c>
      <c r="P64" s="2" t="n">
        <v>37.7</v>
      </c>
      <c r="Q64" s="2" t="n">
        <v>3636.2</v>
      </c>
      <c r="R64" s="2" t="n">
        <v>7.77</v>
      </c>
      <c r="S64" s="5">
        <f>G64/F64</f>
        <v/>
      </c>
      <c r="T64" s="5">
        <f>MAX(0,1/K64/8)</f>
        <v/>
      </c>
      <c r="U64" s="5">
        <f>IFERROR(G64/(F64*T64),0)</f>
        <v/>
      </c>
      <c r="V64" s="5">
        <f>IFERROR(H64/G64,0)</f>
        <v/>
      </c>
      <c r="W64" s="5">
        <f>T64*U64*V64</f>
        <v/>
      </c>
      <c r="X64" s="5">
        <f>IFERROR(G64/J64,0)</f>
        <v/>
      </c>
      <c r="Y64" s="5">
        <f>IFERROR(I64/G64,0)</f>
        <v/>
      </c>
      <c r="Z64" s="6">
        <f>IFERROR(G64/P64,0)</f>
        <v/>
      </c>
      <c r="AA64" s="7">
        <f>IFERROR(Q64/G64,0)</f>
        <v/>
      </c>
      <c r="AB64" s="8">
        <f>R64+K64</f>
        <v/>
      </c>
    </row>
    <row r="65">
      <c r="A65" s="2" t="n">
        <v>61</v>
      </c>
      <c r="B65" s="4" t="n">
        <v>46053</v>
      </c>
      <c r="C65" s="2" t="inlineStr">
        <is>
          <t>Solid Dose Line 1</t>
        </is>
      </c>
      <c r="D65" s="2" t="inlineStr">
        <is>
          <t>Product A</t>
        </is>
      </c>
      <c r="E65" s="2" t="inlineStr">
        <is>
          <t>Evening</t>
        </is>
      </c>
      <c r="F65" s="2" t="n">
        <v>10964</v>
      </c>
      <c r="G65" s="2" t="n">
        <v>7137</v>
      </c>
      <c r="H65" s="2" t="n">
        <v>7037.7</v>
      </c>
      <c r="I65" s="2" t="n">
        <v>99.3</v>
      </c>
      <c r="J65" s="2" t="n">
        <v>7283.2</v>
      </c>
      <c r="K65" s="2" t="n">
        <v>2.19</v>
      </c>
      <c r="L65" s="2" t="inlineStr">
        <is>
          <t>None</t>
        </is>
      </c>
      <c r="M65" s="2" t="inlineStr">
        <is>
          <t>Released</t>
        </is>
      </c>
      <c r="N65" s="2" t="inlineStr">
        <is>
          <t>None</t>
        </is>
      </c>
      <c r="O65" s="2" t="n">
        <v>0</v>
      </c>
      <c r="P65" s="2" t="n">
        <v>45.6</v>
      </c>
      <c r="Q65" s="2" t="n">
        <v>3867.4</v>
      </c>
      <c r="R65" s="2" t="n">
        <v>6.97</v>
      </c>
      <c r="S65" s="5">
        <f>G65/F65</f>
        <v/>
      </c>
      <c r="T65" s="5">
        <f>MAX(0,1/K65/8)</f>
        <v/>
      </c>
      <c r="U65" s="5">
        <f>IFERROR(G65/(F65*T65),0)</f>
        <v/>
      </c>
      <c r="V65" s="5">
        <f>IFERROR(H65/G65,0)</f>
        <v/>
      </c>
      <c r="W65" s="5">
        <f>T65*U65*V65</f>
        <v/>
      </c>
      <c r="X65" s="5">
        <f>IFERROR(G65/J65,0)</f>
        <v/>
      </c>
      <c r="Y65" s="5">
        <f>IFERROR(I65/G65,0)</f>
        <v/>
      </c>
      <c r="Z65" s="6">
        <f>IFERROR(G65/P65,0)</f>
        <v/>
      </c>
      <c r="AA65" s="7">
        <f>IFERROR(Q65/G65,0)</f>
        <v/>
      </c>
      <c r="AB65" s="8">
        <f>R65+K65</f>
        <v/>
      </c>
    </row>
    <row r="66">
      <c r="A66" s="2" t="n">
        <v>62</v>
      </c>
      <c r="B66" s="4" t="n">
        <v>46053</v>
      </c>
      <c r="C66" s="2" t="inlineStr">
        <is>
          <t>Solid Dose Line 2</t>
        </is>
      </c>
      <c r="D66" s="2" t="inlineStr">
        <is>
          <t>Product B</t>
        </is>
      </c>
      <c r="E66" s="2" t="inlineStr">
        <is>
          <t>Day</t>
        </is>
      </c>
      <c r="F66" s="2" t="n">
        <v>9260</v>
      </c>
      <c r="G66" s="2" t="n">
        <v>5915.1</v>
      </c>
      <c r="H66" s="2" t="n">
        <v>5888.4</v>
      </c>
      <c r="I66" s="2" t="n">
        <v>26.7</v>
      </c>
      <c r="J66" s="2" t="n">
        <v>6037.3</v>
      </c>
      <c r="K66" s="2" t="n">
        <v>3.69</v>
      </c>
      <c r="L66" s="2" t="inlineStr">
        <is>
          <t>Documentation</t>
        </is>
      </c>
      <c r="M66" s="2" t="inlineStr">
        <is>
          <t>Released</t>
        </is>
      </c>
      <c r="N66" s="2" t="inlineStr">
        <is>
          <t>Preventive</t>
        </is>
      </c>
      <c r="O66" s="2" t="n">
        <v>286.97</v>
      </c>
      <c r="P66" s="2" t="n">
        <v>51</v>
      </c>
      <c r="Q66" s="2" t="n">
        <v>3093.2</v>
      </c>
      <c r="R66" s="2" t="n">
        <v>6.58</v>
      </c>
      <c r="S66" s="5">
        <f>G66/F66</f>
        <v/>
      </c>
      <c r="T66" s="5">
        <f>MAX(0,1/K66/8)</f>
        <v/>
      </c>
      <c r="U66" s="5">
        <f>IFERROR(G66/(F66*T66),0)</f>
        <v/>
      </c>
      <c r="V66" s="5">
        <f>IFERROR(H66/G66,0)</f>
        <v/>
      </c>
      <c r="W66" s="5">
        <f>T66*U66*V66</f>
        <v/>
      </c>
      <c r="X66" s="5">
        <f>IFERROR(G66/J66,0)</f>
        <v/>
      </c>
      <c r="Y66" s="5">
        <f>IFERROR(I66/G66,0)</f>
        <v/>
      </c>
      <c r="Z66" s="6">
        <f>IFERROR(G66/P66,0)</f>
        <v/>
      </c>
      <c r="AA66" s="7">
        <f>IFERROR(Q66/G66,0)</f>
        <v/>
      </c>
      <c r="AB66" s="8">
        <f>R66+K66</f>
        <v/>
      </c>
    </row>
    <row r="67">
      <c r="A67" s="2" t="n">
        <v>63</v>
      </c>
      <c r="B67" s="4" t="n">
        <v>46054</v>
      </c>
      <c r="C67" s="2" t="inlineStr">
        <is>
          <t>Solid Dose Line 1</t>
        </is>
      </c>
      <c r="D67" s="2" t="inlineStr">
        <is>
          <t>Product A</t>
        </is>
      </c>
      <c r="E67" s="2" t="inlineStr">
        <is>
          <t>Evening</t>
        </is>
      </c>
      <c r="F67" s="2" t="n">
        <v>10954</v>
      </c>
      <c r="G67" s="2" t="n">
        <v>9067.5</v>
      </c>
      <c r="H67" s="2" t="n">
        <v>9017.299999999999</v>
      </c>
      <c r="I67" s="2" t="n">
        <v>50.2</v>
      </c>
      <c r="J67" s="2" t="n">
        <v>9290.200000000001</v>
      </c>
      <c r="K67" s="2" t="n">
        <v>0.76</v>
      </c>
      <c r="L67" s="2" t="inlineStr">
        <is>
          <t>None</t>
        </is>
      </c>
      <c r="M67" s="2" t="inlineStr">
        <is>
          <t>Released</t>
        </is>
      </c>
      <c r="N67" s="2" t="inlineStr">
        <is>
          <t>None</t>
        </is>
      </c>
      <c r="O67" s="2" t="n">
        <v>0</v>
      </c>
      <c r="P67" s="2" t="n">
        <v>45.2</v>
      </c>
      <c r="Q67" s="2" t="n">
        <v>4671.1</v>
      </c>
      <c r="R67" s="2" t="n">
        <v>6.86</v>
      </c>
      <c r="S67" s="5">
        <f>G67/F67</f>
        <v/>
      </c>
      <c r="T67" s="5">
        <f>MAX(0,1/K67/8)</f>
        <v/>
      </c>
      <c r="U67" s="5">
        <f>IFERROR(G67/(F67*T67),0)</f>
        <v/>
      </c>
      <c r="V67" s="5">
        <f>IFERROR(H67/G67,0)</f>
        <v/>
      </c>
      <c r="W67" s="5">
        <f>T67*U67*V67</f>
        <v/>
      </c>
      <c r="X67" s="5">
        <f>IFERROR(G67/J67,0)</f>
        <v/>
      </c>
      <c r="Y67" s="5">
        <f>IFERROR(I67/G67,0)</f>
        <v/>
      </c>
      <c r="Z67" s="6">
        <f>IFERROR(G67/P67,0)</f>
        <v/>
      </c>
      <c r="AA67" s="7">
        <f>IFERROR(Q67/G67,0)</f>
        <v/>
      </c>
      <c r="AB67" s="8">
        <f>R67+K67</f>
        <v/>
      </c>
    </row>
    <row r="68">
      <c r="A68" s="2" t="n">
        <v>64</v>
      </c>
      <c r="B68" s="4" t="n">
        <v>46054</v>
      </c>
      <c r="C68" s="2" t="inlineStr">
        <is>
          <t>Solid Dose Line 2</t>
        </is>
      </c>
      <c r="D68" s="2" t="inlineStr">
        <is>
          <t>Product B</t>
        </is>
      </c>
      <c r="E68" s="2" t="inlineStr">
        <is>
          <t>Day</t>
        </is>
      </c>
      <c r="F68" s="2" t="n">
        <v>9798</v>
      </c>
      <c r="G68" s="2" t="n">
        <v>8304</v>
      </c>
      <c r="H68" s="2" t="n">
        <v>8248.200000000001</v>
      </c>
      <c r="I68" s="2" t="n">
        <v>55.8</v>
      </c>
      <c r="J68" s="2" t="n">
        <v>8370.200000000001</v>
      </c>
      <c r="K68" s="2" t="n">
        <v>1.03</v>
      </c>
      <c r="L68" s="2" t="inlineStr">
        <is>
          <t>Process</t>
        </is>
      </c>
      <c r="M68" s="2" t="inlineStr">
        <is>
          <t>Released</t>
        </is>
      </c>
      <c r="N68" s="2" t="inlineStr">
        <is>
          <t>None</t>
        </is>
      </c>
      <c r="O68" s="2" t="n">
        <v>0</v>
      </c>
      <c r="P68" s="2" t="n">
        <v>36.7</v>
      </c>
      <c r="Q68" s="2" t="n">
        <v>4595.1</v>
      </c>
      <c r="R68" s="2" t="n">
        <v>6.86</v>
      </c>
      <c r="S68" s="5">
        <f>G68/F68</f>
        <v/>
      </c>
      <c r="T68" s="5">
        <f>MAX(0,1/K68/8)</f>
        <v/>
      </c>
      <c r="U68" s="5">
        <f>IFERROR(G68/(F68*T68),0)</f>
        <v/>
      </c>
      <c r="V68" s="5">
        <f>IFERROR(H68/G68,0)</f>
        <v/>
      </c>
      <c r="W68" s="5">
        <f>T68*U68*V68</f>
        <v/>
      </c>
      <c r="X68" s="5">
        <f>IFERROR(G68/J68,0)</f>
        <v/>
      </c>
      <c r="Y68" s="5">
        <f>IFERROR(I68/G68,0)</f>
        <v/>
      </c>
      <c r="Z68" s="6">
        <f>IFERROR(G68/P68,0)</f>
        <v/>
      </c>
      <c r="AA68" s="7">
        <f>IFERROR(Q68/G68,0)</f>
        <v/>
      </c>
      <c r="AB68" s="8">
        <f>R68+K68</f>
        <v/>
      </c>
    </row>
    <row r="69">
      <c r="A69" s="2" t="n">
        <v>65</v>
      </c>
      <c r="B69" s="4" t="n">
        <v>46055</v>
      </c>
      <c r="C69" s="2" t="inlineStr">
        <is>
          <t>Solid Dose Line 1</t>
        </is>
      </c>
      <c r="D69" s="2" t="inlineStr">
        <is>
          <t>Product B</t>
        </is>
      </c>
      <c r="E69" s="2" t="inlineStr">
        <is>
          <t>Day</t>
        </is>
      </c>
      <c r="F69" s="2" t="n">
        <v>9437</v>
      </c>
      <c r="G69" s="2" t="n">
        <v>6613.8</v>
      </c>
      <c r="H69" s="2" t="n">
        <v>6550.2</v>
      </c>
      <c r="I69" s="2" t="n">
        <v>63.6</v>
      </c>
      <c r="J69" s="2" t="n">
        <v>6661.1</v>
      </c>
      <c r="K69" s="2" t="n">
        <v>1.73</v>
      </c>
      <c r="L69" s="2" t="inlineStr">
        <is>
          <t>None</t>
        </is>
      </c>
      <c r="M69" s="2" t="inlineStr">
        <is>
          <t>Released</t>
        </is>
      </c>
      <c r="N69" s="2" t="inlineStr">
        <is>
          <t>None</t>
        </is>
      </c>
      <c r="O69" s="2" t="n">
        <v>0</v>
      </c>
      <c r="P69" s="2" t="n">
        <v>32.3</v>
      </c>
      <c r="Q69" s="2" t="n">
        <v>3396.5</v>
      </c>
      <c r="R69" s="2" t="n">
        <v>6.88</v>
      </c>
      <c r="S69" s="5">
        <f>G69/F69</f>
        <v/>
      </c>
      <c r="T69" s="5">
        <f>MAX(0,1/K69/8)</f>
        <v/>
      </c>
      <c r="U69" s="5">
        <f>IFERROR(G69/(F69*T69),0)</f>
        <v/>
      </c>
      <c r="V69" s="5">
        <f>IFERROR(H69/G69,0)</f>
        <v/>
      </c>
      <c r="W69" s="5">
        <f>T69*U69*V69</f>
        <v/>
      </c>
      <c r="X69" s="5">
        <f>IFERROR(G69/J69,0)</f>
        <v/>
      </c>
      <c r="Y69" s="5">
        <f>IFERROR(I69/G69,0)</f>
        <v/>
      </c>
      <c r="Z69" s="6">
        <f>IFERROR(G69/P69,0)</f>
        <v/>
      </c>
      <c r="AA69" s="7">
        <f>IFERROR(Q69/G69,0)</f>
        <v/>
      </c>
      <c r="AB69" s="8">
        <f>R69+K69</f>
        <v/>
      </c>
    </row>
    <row r="70">
      <c r="A70" s="2" t="n">
        <v>66</v>
      </c>
      <c r="B70" s="4" t="n">
        <v>46055</v>
      </c>
      <c r="C70" s="2" t="inlineStr">
        <is>
          <t>Solid Dose Line 2</t>
        </is>
      </c>
      <c r="D70" s="2" t="inlineStr">
        <is>
          <t>Product A</t>
        </is>
      </c>
      <c r="E70" s="2" t="inlineStr">
        <is>
          <t>Night</t>
        </is>
      </c>
      <c r="F70" s="2" t="n">
        <v>9451</v>
      </c>
      <c r="G70" s="2" t="n">
        <v>6774.8</v>
      </c>
      <c r="H70" s="2" t="n">
        <v>6660.3</v>
      </c>
      <c r="I70" s="2" t="n">
        <v>114.5</v>
      </c>
      <c r="J70" s="2" t="n">
        <v>6815.5</v>
      </c>
      <c r="K70" s="2" t="n">
        <v>1.68</v>
      </c>
      <c r="L70" s="2" t="inlineStr">
        <is>
          <t>None</t>
        </is>
      </c>
      <c r="M70" s="2" t="inlineStr">
        <is>
          <t>Released</t>
        </is>
      </c>
      <c r="N70" s="2" t="inlineStr">
        <is>
          <t>None</t>
        </is>
      </c>
      <c r="O70" s="2" t="n">
        <v>0</v>
      </c>
      <c r="P70" s="2" t="n">
        <v>51.5</v>
      </c>
      <c r="Q70" s="2" t="n">
        <v>3833.8</v>
      </c>
      <c r="R70" s="2" t="n">
        <v>7.41</v>
      </c>
      <c r="S70" s="5">
        <f>G70/F70</f>
        <v/>
      </c>
      <c r="T70" s="5">
        <f>MAX(0,1/K70/8)</f>
        <v/>
      </c>
      <c r="U70" s="5">
        <f>IFERROR(G70/(F70*T70),0)</f>
        <v/>
      </c>
      <c r="V70" s="5">
        <f>IFERROR(H70/G70,0)</f>
        <v/>
      </c>
      <c r="W70" s="5">
        <f>T70*U70*V70</f>
        <v/>
      </c>
      <c r="X70" s="5">
        <f>IFERROR(G70/J70,0)</f>
        <v/>
      </c>
      <c r="Y70" s="5">
        <f>IFERROR(I70/G70,0)</f>
        <v/>
      </c>
      <c r="Z70" s="6">
        <f>IFERROR(G70/P70,0)</f>
        <v/>
      </c>
      <c r="AA70" s="7">
        <f>IFERROR(Q70/G70,0)</f>
        <v/>
      </c>
      <c r="AB70" s="8">
        <f>R70+K70</f>
        <v/>
      </c>
    </row>
    <row r="71">
      <c r="A71" s="2" t="n">
        <v>67</v>
      </c>
      <c r="B71" s="4" t="n">
        <v>46056</v>
      </c>
      <c r="C71" s="2" t="inlineStr">
        <is>
          <t>Solid Dose Line 1</t>
        </is>
      </c>
      <c r="D71" s="2" t="inlineStr">
        <is>
          <t>Product B</t>
        </is>
      </c>
      <c r="E71" s="2" t="inlineStr">
        <is>
          <t>Evening</t>
        </is>
      </c>
      <c r="F71" s="2" t="n">
        <v>9587</v>
      </c>
      <c r="G71" s="2" t="n">
        <v>7392.8</v>
      </c>
      <c r="H71" s="2" t="n">
        <v>7306.6</v>
      </c>
      <c r="I71" s="2" t="n">
        <v>86.2</v>
      </c>
      <c r="J71" s="2" t="n">
        <v>7423.6</v>
      </c>
      <c r="K71" s="2" t="n">
        <v>1.49</v>
      </c>
      <c r="L71" s="2" t="inlineStr">
        <is>
          <t>Equipment</t>
        </is>
      </c>
      <c r="M71" s="2" t="inlineStr">
        <is>
          <t>Released</t>
        </is>
      </c>
      <c r="N71" s="2" t="inlineStr">
        <is>
          <t>Emergency</t>
        </is>
      </c>
      <c r="O71" s="2" t="n">
        <v>1916.28</v>
      </c>
      <c r="P71" s="2" t="n">
        <v>33</v>
      </c>
      <c r="Q71" s="2" t="n">
        <v>3550.6</v>
      </c>
      <c r="R71" s="2" t="n">
        <v>7.79</v>
      </c>
      <c r="S71" s="5">
        <f>G71/F71</f>
        <v/>
      </c>
      <c r="T71" s="5">
        <f>MAX(0,1/K71/8)</f>
        <v/>
      </c>
      <c r="U71" s="5">
        <f>IFERROR(G71/(F71*T71),0)</f>
        <v/>
      </c>
      <c r="V71" s="5">
        <f>IFERROR(H71/G71,0)</f>
        <v/>
      </c>
      <c r="W71" s="5">
        <f>T71*U71*V71</f>
        <v/>
      </c>
      <c r="X71" s="5">
        <f>IFERROR(G71/J71,0)</f>
        <v/>
      </c>
      <c r="Y71" s="5">
        <f>IFERROR(I71/G71,0)</f>
        <v/>
      </c>
      <c r="Z71" s="6">
        <f>IFERROR(G71/P71,0)</f>
        <v/>
      </c>
      <c r="AA71" s="7">
        <f>IFERROR(Q71/G71,0)</f>
        <v/>
      </c>
      <c r="AB71" s="8">
        <f>R71+K71</f>
        <v/>
      </c>
    </row>
    <row r="72">
      <c r="A72" s="2" t="n">
        <v>68</v>
      </c>
      <c r="B72" s="4" t="n">
        <v>46056</v>
      </c>
      <c r="C72" s="2" t="inlineStr">
        <is>
          <t>Solid Dose Line 2</t>
        </is>
      </c>
      <c r="D72" s="2" t="inlineStr">
        <is>
          <t>Product A</t>
        </is>
      </c>
      <c r="E72" s="2" t="inlineStr">
        <is>
          <t>Evening</t>
        </is>
      </c>
      <c r="F72" s="2" t="n">
        <v>10505</v>
      </c>
      <c r="G72" s="2" t="n">
        <v>7031.7</v>
      </c>
      <c r="H72" s="2" t="n">
        <v>6911.1</v>
      </c>
      <c r="I72" s="2" t="n">
        <v>120.6</v>
      </c>
      <c r="J72" s="2" t="n">
        <v>7218.7</v>
      </c>
      <c r="K72" s="2" t="n">
        <v>2.86</v>
      </c>
      <c r="L72" s="2" t="inlineStr">
        <is>
          <t>None</t>
        </is>
      </c>
      <c r="M72" s="2" t="inlineStr">
        <is>
          <t>Released</t>
        </is>
      </c>
      <c r="N72" s="2" t="inlineStr">
        <is>
          <t>None</t>
        </is>
      </c>
      <c r="O72" s="2" t="n">
        <v>0</v>
      </c>
      <c r="P72" s="2" t="n">
        <v>37.9</v>
      </c>
      <c r="Q72" s="2" t="n">
        <v>3542.1</v>
      </c>
      <c r="R72" s="2" t="n">
        <v>6.58</v>
      </c>
      <c r="S72" s="5">
        <f>G72/F72</f>
        <v/>
      </c>
      <c r="T72" s="5">
        <f>MAX(0,1/K72/8)</f>
        <v/>
      </c>
      <c r="U72" s="5">
        <f>IFERROR(G72/(F72*T72),0)</f>
        <v/>
      </c>
      <c r="V72" s="5">
        <f>IFERROR(H72/G72,0)</f>
        <v/>
      </c>
      <c r="W72" s="5">
        <f>T72*U72*V72</f>
        <v/>
      </c>
      <c r="X72" s="5">
        <f>IFERROR(G72/J72,0)</f>
        <v/>
      </c>
      <c r="Y72" s="5">
        <f>IFERROR(I72/G72,0)</f>
        <v/>
      </c>
      <c r="Z72" s="6">
        <f>IFERROR(G72/P72,0)</f>
        <v/>
      </c>
      <c r="AA72" s="7">
        <f>IFERROR(Q72/G72,0)</f>
        <v/>
      </c>
      <c r="AB72" s="8">
        <f>R72+K72</f>
        <v/>
      </c>
    </row>
    <row r="73">
      <c r="A73" s="2" t="n">
        <v>69</v>
      </c>
      <c r="B73" s="4" t="n">
        <v>46057</v>
      </c>
      <c r="C73" s="2" t="inlineStr">
        <is>
          <t>Solid Dose Line 1</t>
        </is>
      </c>
      <c r="D73" s="2" t="inlineStr">
        <is>
          <t>Product B</t>
        </is>
      </c>
      <c r="E73" s="2" t="inlineStr">
        <is>
          <t>Evening</t>
        </is>
      </c>
      <c r="F73" s="2" t="n">
        <v>9548</v>
      </c>
      <c r="G73" s="2" t="n">
        <v>8850.799999999999</v>
      </c>
      <c r="H73" s="2" t="n">
        <v>8763.299999999999</v>
      </c>
      <c r="I73" s="2" t="n">
        <v>87.5</v>
      </c>
      <c r="J73" s="2" t="n">
        <v>9227.200000000001</v>
      </c>
      <c r="K73" s="2" t="n">
        <v>0</v>
      </c>
      <c r="L73" s="2" t="inlineStr">
        <is>
          <t>None</t>
        </is>
      </c>
      <c r="M73" s="2" t="inlineStr">
        <is>
          <t>Released</t>
        </is>
      </c>
      <c r="N73" s="2" t="inlineStr">
        <is>
          <t>Corrective</t>
        </is>
      </c>
      <c r="O73" s="2" t="n">
        <v>1083.97</v>
      </c>
      <c r="P73" s="2" t="n">
        <v>43.8</v>
      </c>
      <c r="Q73" s="2" t="n">
        <v>4478.9</v>
      </c>
      <c r="R73" s="2" t="n">
        <v>7.26</v>
      </c>
      <c r="S73" s="5">
        <f>G73/F73</f>
        <v/>
      </c>
      <c r="T73" s="5">
        <f>MAX(0,1/K73/8)</f>
        <v/>
      </c>
      <c r="U73" s="5">
        <f>IFERROR(G73/(F73*T73),0)</f>
        <v/>
      </c>
      <c r="V73" s="5">
        <f>IFERROR(H73/G73,0)</f>
        <v/>
      </c>
      <c r="W73" s="5">
        <f>T73*U73*V73</f>
        <v/>
      </c>
      <c r="X73" s="5">
        <f>IFERROR(G73/J73,0)</f>
        <v/>
      </c>
      <c r="Y73" s="5">
        <f>IFERROR(I73/G73,0)</f>
        <v/>
      </c>
      <c r="Z73" s="6">
        <f>IFERROR(G73/P73,0)</f>
        <v/>
      </c>
      <c r="AA73" s="7">
        <f>IFERROR(Q73/G73,0)</f>
        <v/>
      </c>
      <c r="AB73" s="8">
        <f>R73+K73</f>
        <v/>
      </c>
    </row>
    <row r="74">
      <c r="A74" s="2" t="n">
        <v>70</v>
      </c>
      <c r="B74" s="4" t="n">
        <v>46057</v>
      </c>
      <c r="C74" s="2" t="inlineStr">
        <is>
          <t>Solid Dose Line 2</t>
        </is>
      </c>
      <c r="D74" s="2" t="inlineStr">
        <is>
          <t>Product B</t>
        </is>
      </c>
      <c r="E74" s="2" t="inlineStr">
        <is>
          <t>Night</t>
        </is>
      </c>
      <c r="F74" s="2" t="n">
        <v>11481</v>
      </c>
      <c r="G74" s="2" t="n">
        <v>7403.4</v>
      </c>
      <c r="H74" s="2" t="n">
        <v>7317.9</v>
      </c>
      <c r="I74" s="2" t="n">
        <v>85.40000000000001</v>
      </c>
      <c r="J74" s="2" t="n">
        <v>7526.7</v>
      </c>
      <c r="K74" s="2" t="n">
        <v>3.42</v>
      </c>
      <c r="L74" s="2" t="inlineStr">
        <is>
          <t>None</t>
        </is>
      </c>
      <c r="M74" s="2" t="inlineStr">
        <is>
          <t>Released</t>
        </is>
      </c>
      <c r="N74" s="2" t="inlineStr">
        <is>
          <t>Emergency</t>
        </is>
      </c>
      <c r="O74" s="2" t="n">
        <v>2137.96</v>
      </c>
      <c r="P74" s="2" t="n">
        <v>38.7</v>
      </c>
      <c r="Q74" s="2" t="n">
        <v>3587</v>
      </c>
      <c r="R74" s="2" t="n">
        <v>6.7</v>
      </c>
      <c r="S74" s="5">
        <f>G74/F74</f>
        <v/>
      </c>
      <c r="T74" s="5">
        <f>MAX(0,1/K74/8)</f>
        <v/>
      </c>
      <c r="U74" s="5">
        <f>IFERROR(G74/(F74*T74),0)</f>
        <v/>
      </c>
      <c r="V74" s="5">
        <f>IFERROR(H74/G74,0)</f>
        <v/>
      </c>
      <c r="W74" s="5">
        <f>T74*U74*V74</f>
        <v/>
      </c>
      <c r="X74" s="5">
        <f>IFERROR(G74/J74,0)</f>
        <v/>
      </c>
      <c r="Y74" s="5">
        <f>IFERROR(I74/G74,0)</f>
        <v/>
      </c>
      <c r="Z74" s="6">
        <f>IFERROR(G74/P74,0)</f>
        <v/>
      </c>
      <c r="AA74" s="7">
        <f>IFERROR(Q74/G74,0)</f>
        <v/>
      </c>
      <c r="AB74" s="8">
        <f>R74+K74</f>
        <v/>
      </c>
    </row>
    <row r="75">
      <c r="A75" s="2" t="n">
        <v>71</v>
      </c>
      <c r="B75" s="4" t="n">
        <v>46058</v>
      </c>
      <c r="C75" s="2" t="inlineStr">
        <is>
          <t>Solid Dose Line 1</t>
        </is>
      </c>
      <c r="D75" s="2" t="inlineStr">
        <is>
          <t>Product C</t>
        </is>
      </c>
      <c r="E75" s="2" t="inlineStr">
        <is>
          <t>Night</t>
        </is>
      </c>
      <c r="F75" s="2" t="n">
        <v>10722</v>
      </c>
      <c r="G75" s="2" t="n">
        <v>8185.1</v>
      </c>
      <c r="H75" s="2" t="n">
        <v>8121.6</v>
      </c>
      <c r="I75" s="2" t="n">
        <v>63.5</v>
      </c>
      <c r="J75" s="2" t="n">
        <v>8252.200000000001</v>
      </c>
      <c r="K75" s="2" t="n">
        <v>1.6</v>
      </c>
      <c r="L75" s="2" t="inlineStr">
        <is>
          <t>None</t>
        </is>
      </c>
      <c r="M75" s="2" t="inlineStr">
        <is>
          <t>Released</t>
        </is>
      </c>
      <c r="N75" s="2" t="inlineStr">
        <is>
          <t>None</t>
        </is>
      </c>
      <c r="O75" s="2" t="n">
        <v>0</v>
      </c>
      <c r="P75" s="2" t="n">
        <v>52</v>
      </c>
      <c r="Q75" s="2" t="n">
        <v>4004.7</v>
      </c>
      <c r="R75" s="2" t="n">
        <v>7.12</v>
      </c>
      <c r="S75" s="5">
        <f>G75/F75</f>
        <v/>
      </c>
      <c r="T75" s="5">
        <f>MAX(0,1/K75/8)</f>
        <v/>
      </c>
      <c r="U75" s="5">
        <f>IFERROR(G75/(F75*T75),0)</f>
        <v/>
      </c>
      <c r="V75" s="5">
        <f>IFERROR(H75/G75,0)</f>
        <v/>
      </c>
      <c r="W75" s="5">
        <f>T75*U75*V75</f>
        <v/>
      </c>
      <c r="X75" s="5">
        <f>IFERROR(G75/J75,0)</f>
        <v/>
      </c>
      <c r="Y75" s="5">
        <f>IFERROR(I75/G75,0)</f>
        <v/>
      </c>
      <c r="Z75" s="6">
        <f>IFERROR(G75/P75,0)</f>
        <v/>
      </c>
      <c r="AA75" s="7">
        <f>IFERROR(Q75/G75,0)</f>
        <v/>
      </c>
      <c r="AB75" s="8">
        <f>R75+K75</f>
        <v/>
      </c>
    </row>
    <row r="76">
      <c r="A76" s="2" t="n">
        <v>72</v>
      </c>
      <c r="B76" s="4" t="n">
        <v>46058</v>
      </c>
      <c r="C76" s="2" t="inlineStr">
        <is>
          <t>Solid Dose Line 2</t>
        </is>
      </c>
      <c r="D76" s="2" t="inlineStr">
        <is>
          <t>Product A</t>
        </is>
      </c>
      <c r="E76" s="2" t="inlineStr">
        <is>
          <t>Night</t>
        </is>
      </c>
      <c r="F76" s="2" t="n">
        <v>9062</v>
      </c>
      <c r="G76" s="2" t="n">
        <v>6183.5</v>
      </c>
      <c r="H76" s="2" t="n">
        <v>6135.6</v>
      </c>
      <c r="I76" s="2" t="n">
        <v>47.9</v>
      </c>
      <c r="J76" s="2" t="n">
        <v>6284.3</v>
      </c>
      <c r="K76" s="2" t="n">
        <v>4.15</v>
      </c>
      <c r="L76" s="2" t="inlineStr">
        <is>
          <t>Process</t>
        </is>
      </c>
      <c r="M76" s="2" t="inlineStr">
        <is>
          <t>Released</t>
        </is>
      </c>
      <c r="N76" s="2" t="inlineStr">
        <is>
          <t>Preventive</t>
        </is>
      </c>
      <c r="O76" s="2" t="n">
        <v>171.58</v>
      </c>
      <c r="P76" s="2" t="n">
        <v>40.7</v>
      </c>
      <c r="Q76" s="2" t="n">
        <v>2963.9</v>
      </c>
      <c r="R76" s="2" t="n">
        <v>7.36</v>
      </c>
      <c r="S76" s="5">
        <f>G76/F76</f>
        <v/>
      </c>
      <c r="T76" s="5">
        <f>MAX(0,1/K76/8)</f>
        <v/>
      </c>
      <c r="U76" s="5">
        <f>IFERROR(G76/(F76*T76),0)</f>
        <v/>
      </c>
      <c r="V76" s="5">
        <f>IFERROR(H76/G76,0)</f>
        <v/>
      </c>
      <c r="W76" s="5">
        <f>T76*U76*V76</f>
        <v/>
      </c>
      <c r="X76" s="5">
        <f>IFERROR(G76/J76,0)</f>
        <v/>
      </c>
      <c r="Y76" s="5">
        <f>IFERROR(I76/G76,0)</f>
        <v/>
      </c>
      <c r="Z76" s="6">
        <f>IFERROR(G76/P76,0)</f>
        <v/>
      </c>
      <c r="AA76" s="7">
        <f>IFERROR(Q76/G76,0)</f>
        <v/>
      </c>
      <c r="AB76" s="8">
        <f>R76+K76</f>
        <v/>
      </c>
    </row>
    <row r="77">
      <c r="A77" s="2" t="n">
        <v>73</v>
      </c>
      <c r="B77" s="4" t="n">
        <v>46059</v>
      </c>
      <c r="C77" s="2" t="inlineStr">
        <is>
          <t>Solid Dose Line 1</t>
        </is>
      </c>
      <c r="D77" s="2" t="inlineStr">
        <is>
          <t>Product B</t>
        </is>
      </c>
      <c r="E77" s="2" t="inlineStr">
        <is>
          <t>Evening</t>
        </is>
      </c>
      <c r="F77" s="2" t="n">
        <v>9280</v>
      </c>
      <c r="G77" s="2" t="n">
        <v>7040.7</v>
      </c>
      <c r="H77" s="2" t="n">
        <v>6918</v>
      </c>
      <c r="I77" s="2" t="n">
        <v>122.7</v>
      </c>
      <c r="J77" s="2" t="n">
        <v>7043.1</v>
      </c>
      <c r="K77" s="2" t="n">
        <v>1.55</v>
      </c>
      <c r="L77" s="2" t="inlineStr">
        <is>
          <t>None</t>
        </is>
      </c>
      <c r="M77" s="2" t="inlineStr">
        <is>
          <t>Released</t>
        </is>
      </c>
      <c r="N77" s="2" t="inlineStr">
        <is>
          <t>None</t>
        </is>
      </c>
      <c r="O77" s="2" t="n">
        <v>0</v>
      </c>
      <c r="P77" s="2" t="n">
        <v>43.6</v>
      </c>
      <c r="Q77" s="2" t="n">
        <v>3924.6</v>
      </c>
      <c r="R77" s="2" t="n">
        <v>7.93</v>
      </c>
      <c r="S77" s="5">
        <f>G77/F77</f>
        <v/>
      </c>
      <c r="T77" s="5">
        <f>MAX(0,1/K77/8)</f>
        <v/>
      </c>
      <c r="U77" s="5">
        <f>IFERROR(G77/(F77*T77),0)</f>
        <v/>
      </c>
      <c r="V77" s="5">
        <f>IFERROR(H77/G77,0)</f>
        <v/>
      </c>
      <c r="W77" s="5">
        <f>T77*U77*V77</f>
        <v/>
      </c>
      <c r="X77" s="5">
        <f>IFERROR(G77/J77,0)</f>
        <v/>
      </c>
      <c r="Y77" s="5">
        <f>IFERROR(I77/G77,0)</f>
        <v/>
      </c>
      <c r="Z77" s="6">
        <f>IFERROR(G77/P77,0)</f>
        <v/>
      </c>
      <c r="AA77" s="7">
        <f>IFERROR(Q77/G77,0)</f>
        <v/>
      </c>
      <c r="AB77" s="8">
        <f>R77+K77</f>
        <v/>
      </c>
    </row>
    <row r="78">
      <c r="A78" s="2" t="n">
        <v>74</v>
      </c>
      <c r="B78" s="4" t="n">
        <v>46059</v>
      </c>
      <c r="C78" s="2" t="inlineStr">
        <is>
          <t>Solid Dose Line 2</t>
        </is>
      </c>
      <c r="D78" s="2" t="inlineStr">
        <is>
          <t>Product B</t>
        </is>
      </c>
      <c r="E78" s="2" t="inlineStr">
        <is>
          <t>Evening</t>
        </is>
      </c>
      <c r="F78" s="2" t="n">
        <v>11257</v>
      </c>
      <c r="G78" s="2" t="n">
        <v>7168.6</v>
      </c>
      <c r="H78" s="2" t="n">
        <v>7127.9</v>
      </c>
      <c r="I78" s="2" t="n">
        <v>40.7</v>
      </c>
      <c r="J78" s="2" t="n">
        <v>7272.7</v>
      </c>
      <c r="K78" s="2" t="n">
        <v>3.46</v>
      </c>
      <c r="L78" s="2" t="inlineStr">
        <is>
          <t>None</t>
        </is>
      </c>
      <c r="M78" s="2" t="inlineStr">
        <is>
          <t>Released</t>
        </is>
      </c>
      <c r="N78" s="2" t="inlineStr">
        <is>
          <t>Corrective</t>
        </is>
      </c>
      <c r="O78" s="2" t="n">
        <v>938.11</v>
      </c>
      <c r="P78" s="2" t="n">
        <v>42</v>
      </c>
      <c r="Q78" s="2" t="n">
        <v>3436.3</v>
      </c>
      <c r="R78" s="2" t="n">
        <v>7.3</v>
      </c>
      <c r="S78" s="5">
        <f>G78/F78</f>
        <v/>
      </c>
      <c r="T78" s="5">
        <f>MAX(0,1/K78/8)</f>
        <v/>
      </c>
      <c r="U78" s="5">
        <f>IFERROR(G78/(F78*T78),0)</f>
        <v/>
      </c>
      <c r="V78" s="5">
        <f>IFERROR(H78/G78,0)</f>
        <v/>
      </c>
      <c r="W78" s="5">
        <f>T78*U78*V78</f>
        <v/>
      </c>
      <c r="X78" s="5">
        <f>IFERROR(G78/J78,0)</f>
        <v/>
      </c>
      <c r="Y78" s="5">
        <f>IFERROR(I78/G78,0)</f>
        <v/>
      </c>
      <c r="Z78" s="6">
        <f>IFERROR(G78/P78,0)</f>
        <v/>
      </c>
      <c r="AA78" s="7">
        <f>IFERROR(Q78/G78,0)</f>
        <v/>
      </c>
      <c r="AB78" s="8">
        <f>R78+K78</f>
        <v/>
      </c>
    </row>
    <row r="79">
      <c r="A79" s="2" t="n">
        <v>75</v>
      </c>
      <c r="B79" s="4" t="n">
        <v>46060</v>
      </c>
      <c r="C79" s="2" t="inlineStr">
        <is>
          <t>Solid Dose Line 1</t>
        </is>
      </c>
      <c r="D79" s="2" t="inlineStr">
        <is>
          <t>Product C</t>
        </is>
      </c>
      <c r="E79" s="2" t="inlineStr">
        <is>
          <t>Evening</t>
        </is>
      </c>
      <c r="F79" s="2" t="n">
        <v>10754</v>
      </c>
      <c r="G79" s="2" t="n">
        <v>6739.4</v>
      </c>
      <c r="H79" s="2" t="n">
        <v>6620.7</v>
      </c>
      <c r="I79" s="2" t="n">
        <v>118.6</v>
      </c>
      <c r="J79" s="2" t="n">
        <v>6852.6</v>
      </c>
      <c r="K79" s="2" t="n">
        <v>2.76</v>
      </c>
      <c r="L79" s="2" t="inlineStr">
        <is>
          <t>None</t>
        </is>
      </c>
      <c r="M79" s="2" t="inlineStr">
        <is>
          <t>Released</t>
        </is>
      </c>
      <c r="N79" s="2" t="inlineStr">
        <is>
          <t>Preventive</t>
        </is>
      </c>
      <c r="O79" s="2" t="n">
        <v>415.22</v>
      </c>
      <c r="P79" s="2" t="n">
        <v>34.3</v>
      </c>
      <c r="Q79" s="2" t="n">
        <v>3412.6</v>
      </c>
      <c r="R79" s="2" t="n">
        <v>7.38</v>
      </c>
      <c r="S79" s="5">
        <f>G79/F79</f>
        <v/>
      </c>
      <c r="T79" s="5">
        <f>MAX(0,1/K79/8)</f>
        <v/>
      </c>
      <c r="U79" s="5">
        <f>IFERROR(G79/(F79*T79),0)</f>
        <v/>
      </c>
      <c r="V79" s="5">
        <f>IFERROR(H79/G79,0)</f>
        <v/>
      </c>
      <c r="W79" s="5">
        <f>T79*U79*V79</f>
        <v/>
      </c>
      <c r="X79" s="5">
        <f>IFERROR(G79/J79,0)</f>
        <v/>
      </c>
      <c r="Y79" s="5">
        <f>IFERROR(I79/G79,0)</f>
        <v/>
      </c>
      <c r="Z79" s="6">
        <f>IFERROR(G79/P79,0)</f>
        <v/>
      </c>
      <c r="AA79" s="7">
        <f>IFERROR(Q79/G79,0)</f>
        <v/>
      </c>
      <c r="AB79" s="8">
        <f>R79+K79</f>
        <v/>
      </c>
    </row>
    <row r="80">
      <c r="A80" s="2" t="n">
        <v>76</v>
      </c>
      <c r="B80" s="4" t="n">
        <v>46060</v>
      </c>
      <c r="C80" s="2" t="inlineStr">
        <is>
          <t>Solid Dose Line 2</t>
        </is>
      </c>
      <c r="D80" s="2" t="inlineStr">
        <is>
          <t>Product B</t>
        </is>
      </c>
      <c r="E80" s="2" t="inlineStr">
        <is>
          <t>Night</t>
        </is>
      </c>
      <c r="F80" s="2" t="n">
        <v>11302</v>
      </c>
      <c r="G80" s="2" t="n">
        <v>9165.299999999999</v>
      </c>
      <c r="H80" s="2" t="n">
        <v>9102.299999999999</v>
      </c>
      <c r="I80" s="2" t="n">
        <v>62.9</v>
      </c>
      <c r="J80" s="2" t="n">
        <v>9402.9</v>
      </c>
      <c r="K80" s="2" t="n">
        <v>1.13</v>
      </c>
      <c r="L80" s="2" t="inlineStr">
        <is>
          <t>None</t>
        </is>
      </c>
      <c r="M80" s="2" t="inlineStr">
        <is>
          <t>Released</t>
        </is>
      </c>
      <c r="N80" s="2" t="inlineStr">
        <is>
          <t>Preventive</t>
        </is>
      </c>
      <c r="O80" s="2" t="n">
        <v>183.76</v>
      </c>
      <c r="P80" s="2" t="n">
        <v>50.8</v>
      </c>
      <c r="Q80" s="2" t="n">
        <v>5109.9</v>
      </c>
      <c r="R80" s="2" t="n">
        <v>6.58</v>
      </c>
      <c r="S80" s="5">
        <f>G80/F80</f>
        <v/>
      </c>
      <c r="T80" s="5">
        <f>MAX(0,1/K80/8)</f>
        <v/>
      </c>
      <c r="U80" s="5">
        <f>IFERROR(G80/(F80*T80),0)</f>
        <v/>
      </c>
      <c r="V80" s="5">
        <f>IFERROR(H80/G80,0)</f>
        <v/>
      </c>
      <c r="W80" s="5">
        <f>T80*U80*V80</f>
        <v/>
      </c>
      <c r="X80" s="5">
        <f>IFERROR(G80/J80,0)</f>
        <v/>
      </c>
      <c r="Y80" s="5">
        <f>IFERROR(I80/G80,0)</f>
        <v/>
      </c>
      <c r="Z80" s="6">
        <f>IFERROR(G80/P80,0)</f>
        <v/>
      </c>
      <c r="AA80" s="7">
        <f>IFERROR(Q80/G80,0)</f>
        <v/>
      </c>
      <c r="AB80" s="8">
        <f>R80+K80</f>
        <v/>
      </c>
    </row>
    <row r="81">
      <c r="A81" s="2" t="n">
        <v>77</v>
      </c>
      <c r="B81" s="4" t="n">
        <v>46061</v>
      </c>
      <c r="C81" s="2" t="inlineStr">
        <is>
          <t>Solid Dose Line 1</t>
        </is>
      </c>
      <c r="D81" s="2" t="inlineStr">
        <is>
          <t>Product A</t>
        </is>
      </c>
      <c r="E81" s="2" t="inlineStr">
        <is>
          <t>Day</t>
        </is>
      </c>
      <c r="F81" s="2" t="n">
        <v>9423</v>
      </c>
      <c r="G81" s="2" t="n">
        <v>6521.2</v>
      </c>
      <c r="H81" s="2" t="n">
        <v>6412.1</v>
      </c>
      <c r="I81" s="2" t="n">
        <v>109.1</v>
      </c>
      <c r="J81" s="2" t="n">
        <v>6691.5</v>
      </c>
      <c r="K81" s="2" t="n">
        <v>1.71</v>
      </c>
      <c r="L81" s="2" t="inlineStr">
        <is>
          <t>None</t>
        </is>
      </c>
      <c r="M81" s="2" t="inlineStr">
        <is>
          <t>Released</t>
        </is>
      </c>
      <c r="N81" s="2" t="inlineStr">
        <is>
          <t>Emergency</t>
        </is>
      </c>
      <c r="O81" s="2" t="n">
        <v>1943.88</v>
      </c>
      <c r="P81" s="2" t="n">
        <v>41.5</v>
      </c>
      <c r="Q81" s="2" t="n">
        <v>3147.4</v>
      </c>
      <c r="R81" s="2" t="n">
        <v>7.98</v>
      </c>
      <c r="S81" s="5">
        <f>G81/F81</f>
        <v/>
      </c>
      <c r="T81" s="5">
        <f>MAX(0,1/K81/8)</f>
        <v/>
      </c>
      <c r="U81" s="5">
        <f>IFERROR(G81/(F81*T81),0)</f>
        <v/>
      </c>
      <c r="V81" s="5">
        <f>IFERROR(H81/G81,0)</f>
        <v/>
      </c>
      <c r="W81" s="5">
        <f>T81*U81*V81</f>
        <v/>
      </c>
      <c r="X81" s="5">
        <f>IFERROR(G81/J81,0)</f>
        <v/>
      </c>
      <c r="Y81" s="5">
        <f>IFERROR(I81/G81,0)</f>
        <v/>
      </c>
      <c r="Z81" s="6">
        <f>IFERROR(G81/P81,0)</f>
        <v/>
      </c>
      <c r="AA81" s="7">
        <f>IFERROR(Q81/G81,0)</f>
        <v/>
      </c>
      <c r="AB81" s="8">
        <f>R81+K81</f>
        <v/>
      </c>
    </row>
    <row r="82">
      <c r="A82" s="2" t="n">
        <v>78</v>
      </c>
      <c r="B82" s="4" t="n">
        <v>46061</v>
      </c>
      <c r="C82" s="2" t="inlineStr">
        <is>
          <t>Solid Dose Line 2</t>
        </is>
      </c>
      <c r="D82" s="2" t="inlineStr">
        <is>
          <t>Product C</t>
        </is>
      </c>
      <c r="E82" s="2" t="inlineStr">
        <is>
          <t>Evening</t>
        </is>
      </c>
      <c r="F82" s="2" t="n">
        <v>9695</v>
      </c>
      <c r="G82" s="2" t="n">
        <v>6649.2</v>
      </c>
      <c r="H82" s="2" t="n">
        <v>6544.7</v>
      </c>
      <c r="I82" s="2" t="n">
        <v>104.4</v>
      </c>
      <c r="J82" s="2" t="n">
        <v>6744</v>
      </c>
      <c r="K82" s="2" t="n">
        <v>2.19</v>
      </c>
      <c r="L82" s="2" t="inlineStr">
        <is>
          <t>None</t>
        </is>
      </c>
      <c r="M82" s="2" t="inlineStr">
        <is>
          <t>Released</t>
        </is>
      </c>
      <c r="N82" s="2" t="inlineStr">
        <is>
          <t>None</t>
        </is>
      </c>
      <c r="O82" s="2" t="n">
        <v>0</v>
      </c>
      <c r="P82" s="2" t="n">
        <v>43</v>
      </c>
      <c r="Q82" s="2" t="n">
        <v>3291.2</v>
      </c>
      <c r="R82" s="2" t="n">
        <v>6.75</v>
      </c>
      <c r="S82" s="5">
        <f>G82/F82</f>
        <v/>
      </c>
      <c r="T82" s="5">
        <f>MAX(0,1/K82/8)</f>
        <v/>
      </c>
      <c r="U82" s="5">
        <f>IFERROR(G82/(F82*T82),0)</f>
        <v/>
      </c>
      <c r="V82" s="5">
        <f>IFERROR(H82/G82,0)</f>
        <v/>
      </c>
      <c r="W82" s="5">
        <f>T82*U82*V82</f>
        <v/>
      </c>
      <c r="X82" s="5">
        <f>IFERROR(G82/J82,0)</f>
        <v/>
      </c>
      <c r="Y82" s="5">
        <f>IFERROR(I82/G82,0)</f>
        <v/>
      </c>
      <c r="Z82" s="6">
        <f>IFERROR(G82/P82,0)</f>
        <v/>
      </c>
      <c r="AA82" s="7">
        <f>IFERROR(Q82/G82,0)</f>
        <v/>
      </c>
      <c r="AB82" s="8">
        <f>R82+K82</f>
        <v/>
      </c>
    </row>
    <row r="83">
      <c r="A83" s="2" t="n">
        <v>79</v>
      </c>
      <c r="B83" s="4" t="n">
        <v>46062</v>
      </c>
      <c r="C83" s="2" t="inlineStr">
        <is>
          <t>Solid Dose Line 1</t>
        </is>
      </c>
      <c r="D83" s="2" t="inlineStr">
        <is>
          <t>Product B</t>
        </is>
      </c>
      <c r="E83" s="2" t="inlineStr">
        <is>
          <t>Night</t>
        </is>
      </c>
      <c r="F83" s="2" t="n">
        <v>11747</v>
      </c>
      <c r="G83" s="2" t="n">
        <v>11241.7</v>
      </c>
      <c r="H83" s="2" t="n">
        <v>11055.6</v>
      </c>
      <c r="I83" s="2" t="n">
        <v>186.2</v>
      </c>
      <c r="J83" s="2" t="n">
        <v>11392.8</v>
      </c>
      <c r="K83" s="2" t="n">
        <v>0</v>
      </c>
      <c r="L83" s="2" t="inlineStr">
        <is>
          <t>None</t>
        </is>
      </c>
      <c r="M83" s="2" t="inlineStr">
        <is>
          <t>Released</t>
        </is>
      </c>
      <c r="N83" s="2" t="inlineStr">
        <is>
          <t>Preventive</t>
        </is>
      </c>
      <c r="O83" s="2" t="n">
        <v>368.08</v>
      </c>
      <c r="P83" s="2" t="n">
        <v>45.9</v>
      </c>
      <c r="Q83" s="2" t="n">
        <v>6254</v>
      </c>
      <c r="R83" s="2" t="n">
        <v>6.68</v>
      </c>
      <c r="S83" s="5">
        <f>G83/F83</f>
        <v/>
      </c>
      <c r="T83" s="5">
        <f>MAX(0,1/K83/8)</f>
        <v/>
      </c>
      <c r="U83" s="5">
        <f>IFERROR(G83/(F83*T83),0)</f>
        <v/>
      </c>
      <c r="V83" s="5">
        <f>IFERROR(H83/G83,0)</f>
        <v/>
      </c>
      <c r="W83" s="5">
        <f>T83*U83*V83</f>
        <v/>
      </c>
      <c r="X83" s="5">
        <f>IFERROR(G83/J83,0)</f>
        <v/>
      </c>
      <c r="Y83" s="5">
        <f>IFERROR(I83/G83,0)</f>
        <v/>
      </c>
      <c r="Z83" s="6">
        <f>IFERROR(G83/P83,0)</f>
        <v/>
      </c>
      <c r="AA83" s="7">
        <f>IFERROR(Q83/G83,0)</f>
        <v/>
      </c>
      <c r="AB83" s="8">
        <f>R83+K83</f>
        <v/>
      </c>
    </row>
    <row r="84">
      <c r="A84" s="2" t="n">
        <v>80</v>
      </c>
      <c r="B84" s="4" t="n">
        <v>46062</v>
      </c>
      <c r="C84" s="2" t="inlineStr">
        <is>
          <t>Solid Dose Line 2</t>
        </is>
      </c>
      <c r="D84" s="2" t="inlineStr">
        <is>
          <t>Product A</t>
        </is>
      </c>
      <c r="E84" s="2" t="inlineStr">
        <is>
          <t>Day</t>
        </is>
      </c>
      <c r="F84" s="2" t="n">
        <v>9232</v>
      </c>
      <c r="G84" s="2" t="n">
        <v>6596.1</v>
      </c>
      <c r="H84" s="2" t="n">
        <v>6521.3</v>
      </c>
      <c r="I84" s="2" t="n">
        <v>74.8</v>
      </c>
      <c r="J84" s="2" t="n">
        <v>6775.5</v>
      </c>
      <c r="K84" s="2" t="n">
        <v>1.53</v>
      </c>
      <c r="L84" s="2" t="inlineStr">
        <is>
          <t>None</t>
        </is>
      </c>
      <c r="M84" s="2" t="inlineStr">
        <is>
          <t>Released</t>
        </is>
      </c>
      <c r="N84" s="2" t="inlineStr">
        <is>
          <t>None</t>
        </is>
      </c>
      <c r="O84" s="2" t="n">
        <v>0</v>
      </c>
      <c r="P84" s="2" t="n">
        <v>34.4</v>
      </c>
      <c r="Q84" s="2" t="n">
        <v>3703.3</v>
      </c>
      <c r="R84" s="2" t="n">
        <v>6.95</v>
      </c>
      <c r="S84" s="5">
        <f>G84/F84</f>
        <v/>
      </c>
      <c r="T84" s="5">
        <f>MAX(0,1/K84/8)</f>
        <v/>
      </c>
      <c r="U84" s="5">
        <f>IFERROR(G84/(F84*T84),0)</f>
        <v/>
      </c>
      <c r="V84" s="5">
        <f>IFERROR(H84/G84,0)</f>
        <v/>
      </c>
      <c r="W84" s="5">
        <f>T84*U84*V84</f>
        <v/>
      </c>
      <c r="X84" s="5">
        <f>IFERROR(G84/J84,0)</f>
        <v/>
      </c>
      <c r="Y84" s="5">
        <f>IFERROR(I84/G84,0)</f>
        <v/>
      </c>
      <c r="Z84" s="6">
        <f>IFERROR(G84/P84,0)</f>
        <v/>
      </c>
      <c r="AA84" s="7">
        <f>IFERROR(Q84/G84,0)</f>
        <v/>
      </c>
      <c r="AB84" s="8">
        <f>R84+K84</f>
        <v/>
      </c>
    </row>
    <row r="85">
      <c r="A85" s="2" t="n">
        <v>81</v>
      </c>
      <c r="B85" s="4" t="n">
        <v>46063</v>
      </c>
      <c r="C85" s="2" t="inlineStr">
        <is>
          <t>Solid Dose Line 1</t>
        </is>
      </c>
      <c r="D85" s="2" t="inlineStr">
        <is>
          <t>Product B</t>
        </is>
      </c>
      <c r="E85" s="2" t="inlineStr">
        <is>
          <t>Evening</t>
        </is>
      </c>
      <c r="F85" s="2" t="n">
        <v>11733</v>
      </c>
      <c r="G85" s="2" t="n">
        <v>7748.6</v>
      </c>
      <c r="H85" s="2" t="n">
        <v>7698.8</v>
      </c>
      <c r="I85" s="2" t="n">
        <v>49.8</v>
      </c>
      <c r="J85" s="2" t="n">
        <v>7871.5</v>
      </c>
      <c r="K85" s="2" t="n">
        <v>2.78</v>
      </c>
      <c r="L85" s="2" t="inlineStr">
        <is>
          <t>None</t>
        </is>
      </c>
      <c r="M85" s="2" t="inlineStr">
        <is>
          <t>Released</t>
        </is>
      </c>
      <c r="N85" s="2" t="inlineStr">
        <is>
          <t>Preventive</t>
        </is>
      </c>
      <c r="O85" s="2" t="n">
        <v>324.83</v>
      </c>
      <c r="P85" s="2" t="n">
        <v>39</v>
      </c>
      <c r="Q85" s="2" t="n">
        <v>3896.8</v>
      </c>
      <c r="R85" s="2" t="n">
        <v>6.61</v>
      </c>
      <c r="S85" s="5">
        <f>G85/F85</f>
        <v/>
      </c>
      <c r="T85" s="5">
        <f>MAX(0,1/K85/8)</f>
        <v/>
      </c>
      <c r="U85" s="5">
        <f>IFERROR(G85/(F85*T85),0)</f>
        <v/>
      </c>
      <c r="V85" s="5">
        <f>IFERROR(H85/G85,0)</f>
        <v/>
      </c>
      <c r="W85" s="5">
        <f>T85*U85*V85</f>
        <v/>
      </c>
      <c r="X85" s="5">
        <f>IFERROR(G85/J85,0)</f>
        <v/>
      </c>
      <c r="Y85" s="5">
        <f>IFERROR(I85/G85,0)</f>
        <v/>
      </c>
      <c r="Z85" s="6">
        <f>IFERROR(G85/P85,0)</f>
        <v/>
      </c>
      <c r="AA85" s="7">
        <f>IFERROR(Q85/G85,0)</f>
        <v/>
      </c>
      <c r="AB85" s="8">
        <f>R85+K85</f>
        <v/>
      </c>
    </row>
    <row r="86">
      <c r="A86" s="2" t="n">
        <v>82</v>
      </c>
      <c r="B86" s="4" t="n">
        <v>46063</v>
      </c>
      <c r="C86" s="2" t="inlineStr">
        <is>
          <t>Solid Dose Line 2</t>
        </is>
      </c>
      <c r="D86" s="2" t="inlineStr">
        <is>
          <t>Product C</t>
        </is>
      </c>
      <c r="E86" s="2" t="inlineStr">
        <is>
          <t>Night</t>
        </is>
      </c>
      <c r="F86" s="2" t="n">
        <v>10443</v>
      </c>
      <c r="G86" s="2" t="n">
        <v>9358.700000000001</v>
      </c>
      <c r="H86" s="2" t="n">
        <v>9229.4</v>
      </c>
      <c r="I86" s="2" t="n">
        <v>129.3</v>
      </c>
      <c r="J86" s="2" t="n">
        <v>9432.299999999999</v>
      </c>
      <c r="K86" s="2" t="n">
        <v>0.75</v>
      </c>
      <c r="L86" s="2" t="inlineStr">
        <is>
          <t>None</t>
        </is>
      </c>
      <c r="M86" s="2" t="inlineStr">
        <is>
          <t>Released</t>
        </is>
      </c>
      <c r="N86" s="2" t="inlineStr">
        <is>
          <t>None</t>
        </is>
      </c>
      <c r="O86" s="2" t="n">
        <v>0</v>
      </c>
      <c r="P86" s="2" t="n">
        <v>35.7</v>
      </c>
      <c r="Q86" s="2" t="n">
        <v>4490.7</v>
      </c>
      <c r="R86" s="2" t="n">
        <v>7.11</v>
      </c>
      <c r="S86" s="5">
        <f>G86/F86</f>
        <v/>
      </c>
      <c r="T86" s="5">
        <f>MAX(0,1/K86/8)</f>
        <v/>
      </c>
      <c r="U86" s="5">
        <f>IFERROR(G86/(F86*T86),0)</f>
        <v/>
      </c>
      <c r="V86" s="5">
        <f>IFERROR(H86/G86,0)</f>
        <v/>
      </c>
      <c r="W86" s="5">
        <f>T86*U86*V86</f>
        <v/>
      </c>
      <c r="X86" s="5">
        <f>IFERROR(G86/J86,0)</f>
        <v/>
      </c>
      <c r="Y86" s="5">
        <f>IFERROR(I86/G86,0)</f>
        <v/>
      </c>
      <c r="Z86" s="6">
        <f>IFERROR(G86/P86,0)</f>
        <v/>
      </c>
      <c r="AA86" s="7">
        <f>IFERROR(Q86/G86,0)</f>
        <v/>
      </c>
      <c r="AB86" s="8">
        <f>R86+K86</f>
        <v/>
      </c>
    </row>
    <row r="87">
      <c r="A87" s="2" t="n">
        <v>83</v>
      </c>
      <c r="B87" s="4" t="n">
        <v>46064</v>
      </c>
      <c r="C87" s="2" t="inlineStr">
        <is>
          <t>Solid Dose Line 1</t>
        </is>
      </c>
      <c r="D87" s="2" t="inlineStr">
        <is>
          <t>Product B</t>
        </is>
      </c>
      <c r="E87" s="2" t="inlineStr">
        <is>
          <t>Evening</t>
        </is>
      </c>
      <c r="F87" s="2" t="n">
        <v>9056</v>
      </c>
      <c r="G87" s="2" t="n">
        <v>5742.9</v>
      </c>
      <c r="H87" s="2" t="n">
        <v>5672.6</v>
      </c>
      <c r="I87" s="2" t="n">
        <v>70.40000000000001</v>
      </c>
      <c r="J87" s="2" t="n">
        <v>5788.1</v>
      </c>
      <c r="K87" s="2" t="n">
        <v>2.55</v>
      </c>
      <c r="L87" s="2" t="inlineStr">
        <is>
          <t>None</t>
        </is>
      </c>
      <c r="M87" s="2" t="inlineStr">
        <is>
          <t>Released</t>
        </is>
      </c>
      <c r="N87" s="2" t="inlineStr">
        <is>
          <t>None</t>
        </is>
      </c>
      <c r="O87" s="2" t="n">
        <v>0</v>
      </c>
      <c r="P87" s="2" t="n">
        <v>38.4</v>
      </c>
      <c r="Q87" s="2" t="n">
        <v>2999.9</v>
      </c>
      <c r="R87" s="2" t="n">
        <v>7.92</v>
      </c>
      <c r="S87" s="5">
        <f>G87/F87</f>
        <v/>
      </c>
      <c r="T87" s="5">
        <f>MAX(0,1/K87/8)</f>
        <v/>
      </c>
      <c r="U87" s="5">
        <f>IFERROR(G87/(F87*T87),0)</f>
        <v/>
      </c>
      <c r="V87" s="5">
        <f>IFERROR(H87/G87,0)</f>
        <v/>
      </c>
      <c r="W87" s="5">
        <f>T87*U87*V87</f>
        <v/>
      </c>
      <c r="X87" s="5">
        <f>IFERROR(G87/J87,0)</f>
        <v/>
      </c>
      <c r="Y87" s="5">
        <f>IFERROR(I87/G87,0)</f>
        <v/>
      </c>
      <c r="Z87" s="6">
        <f>IFERROR(G87/P87,0)</f>
        <v/>
      </c>
      <c r="AA87" s="7">
        <f>IFERROR(Q87/G87,0)</f>
        <v/>
      </c>
      <c r="AB87" s="8">
        <f>R87+K87</f>
        <v/>
      </c>
    </row>
    <row r="88">
      <c r="A88" s="2" t="n">
        <v>84</v>
      </c>
      <c r="B88" s="4" t="n">
        <v>46064</v>
      </c>
      <c r="C88" s="2" t="inlineStr">
        <is>
          <t>Solid Dose Line 2</t>
        </is>
      </c>
      <c r="D88" s="2" t="inlineStr">
        <is>
          <t>Product B</t>
        </is>
      </c>
      <c r="E88" s="2" t="inlineStr">
        <is>
          <t>Evening</t>
        </is>
      </c>
      <c r="F88" s="2" t="n">
        <v>11508</v>
      </c>
      <c r="G88" s="2" t="n">
        <v>9584.799999999999</v>
      </c>
      <c r="H88" s="2" t="n">
        <v>9505.799999999999</v>
      </c>
      <c r="I88" s="2" t="n">
        <v>79</v>
      </c>
      <c r="J88" s="2" t="n">
        <v>9731.1</v>
      </c>
      <c r="K88" s="2" t="n">
        <v>0.58</v>
      </c>
      <c r="L88" s="2" t="inlineStr">
        <is>
          <t>None</t>
        </is>
      </c>
      <c r="M88" s="2" t="inlineStr">
        <is>
          <t>Released</t>
        </is>
      </c>
      <c r="N88" s="2" t="inlineStr">
        <is>
          <t>None</t>
        </is>
      </c>
      <c r="O88" s="2" t="n">
        <v>0</v>
      </c>
      <c r="P88" s="2" t="n">
        <v>32.2</v>
      </c>
      <c r="Q88" s="2" t="n">
        <v>5002.2</v>
      </c>
      <c r="R88" s="2" t="n">
        <v>7.93</v>
      </c>
      <c r="S88" s="5">
        <f>G88/F88</f>
        <v/>
      </c>
      <c r="T88" s="5">
        <f>MAX(0,1/K88/8)</f>
        <v/>
      </c>
      <c r="U88" s="5">
        <f>IFERROR(G88/(F88*T88),0)</f>
        <v/>
      </c>
      <c r="V88" s="5">
        <f>IFERROR(H88/G88,0)</f>
        <v/>
      </c>
      <c r="W88" s="5">
        <f>T88*U88*V88</f>
        <v/>
      </c>
      <c r="X88" s="5">
        <f>IFERROR(G88/J88,0)</f>
        <v/>
      </c>
      <c r="Y88" s="5">
        <f>IFERROR(I88/G88,0)</f>
        <v/>
      </c>
      <c r="Z88" s="6">
        <f>IFERROR(G88/P88,0)</f>
        <v/>
      </c>
      <c r="AA88" s="7">
        <f>IFERROR(Q88/G88,0)</f>
        <v/>
      </c>
      <c r="AB88" s="8">
        <f>R88+K88</f>
        <v/>
      </c>
    </row>
    <row r="89">
      <c r="A89" s="2" t="n">
        <v>85</v>
      </c>
      <c r="B89" s="4" t="n">
        <v>46065</v>
      </c>
      <c r="C89" s="2" t="inlineStr">
        <is>
          <t>Solid Dose Line 1</t>
        </is>
      </c>
      <c r="D89" s="2" t="inlineStr">
        <is>
          <t>Product A</t>
        </is>
      </c>
      <c r="E89" s="2" t="inlineStr">
        <is>
          <t>Night</t>
        </is>
      </c>
      <c r="F89" s="2" t="n">
        <v>11585</v>
      </c>
      <c r="G89" s="2" t="n">
        <v>8921</v>
      </c>
      <c r="H89" s="2" t="n">
        <v>8753.5</v>
      </c>
      <c r="I89" s="2" t="n">
        <v>167.5</v>
      </c>
      <c r="J89" s="2" t="n">
        <v>9091.200000000001</v>
      </c>
      <c r="K89" s="2" t="n">
        <v>1.93</v>
      </c>
      <c r="L89" s="2" t="inlineStr">
        <is>
          <t>None</t>
        </is>
      </c>
      <c r="M89" s="2" t="inlineStr">
        <is>
          <t>Released</t>
        </is>
      </c>
      <c r="N89" s="2" t="inlineStr">
        <is>
          <t>Corrective</t>
        </is>
      </c>
      <c r="O89" s="2" t="n">
        <v>760.26</v>
      </c>
      <c r="P89" s="2" t="n">
        <v>51.3</v>
      </c>
      <c r="Q89" s="2" t="n">
        <v>4777.6</v>
      </c>
      <c r="R89" s="2" t="n">
        <v>7.44</v>
      </c>
      <c r="S89" s="5">
        <f>G89/F89</f>
        <v/>
      </c>
      <c r="T89" s="5">
        <f>MAX(0,1/K89/8)</f>
        <v/>
      </c>
      <c r="U89" s="5">
        <f>IFERROR(G89/(F89*T89),0)</f>
        <v/>
      </c>
      <c r="V89" s="5">
        <f>IFERROR(H89/G89,0)</f>
        <v/>
      </c>
      <c r="W89" s="5">
        <f>T89*U89*V89</f>
        <v/>
      </c>
      <c r="X89" s="5">
        <f>IFERROR(G89/J89,0)</f>
        <v/>
      </c>
      <c r="Y89" s="5">
        <f>IFERROR(I89/G89,0)</f>
        <v/>
      </c>
      <c r="Z89" s="6">
        <f>IFERROR(G89/P89,0)</f>
        <v/>
      </c>
      <c r="AA89" s="7">
        <f>IFERROR(Q89/G89,0)</f>
        <v/>
      </c>
      <c r="AB89" s="8">
        <f>R89+K89</f>
        <v/>
      </c>
    </row>
    <row r="90">
      <c r="A90" s="2" t="n">
        <v>86</v>
      </c>
      <c r="B90" s="4" t="n">
        <v>46065</v>
      </c>
      <c r="C90" s="2" t="inlineStr">
        <is>
          <t>Solid Dose Line 2</t>
        </is>
      </c>
      <c r="D90" s="2" t="inlineStr">
        <is>
          <t>Product C</t>
        </is>
      </c>
      <c r="E90" s="2" t="inlineStr">
        <is>
          <t>Evening</t>
        </is>
      </c>
      <c r="F90" s="2" t="n">
        <v>9186</v>
      </c>
      <c r="G90" s="2" t="n">
        <v>6335.8</v>
      </c>
      <c r="H90" s="2" t="n">
        <v>6269.4</v>
      </c>
      <c r="I90" s="2" t="n">
        <v>66.40000000000001</v>
      </c>
      <c r="J90" s="2" t="n">
        <v>6403.9</v>
      </c>
      <c r="K90" s="2" t="n">
        <v>2.5</v>
      </c>
      <c r="L90" s="2" t="inlineStr">
        <is>
          <t>None</t>
        </is>
      </c>
      <c r="M90" s="2" t="inlineStr">
        <is>
          <t>Released</t>
        </is>
      </c>
      <c r="N90" s="2" t="inlineStr">
        <is>
          <t>Corrective</t>
        </is>
      </c>
      <c r="O90" s="2" t="n">
        <v>774.11</v>
      </c>
      <c r="P90" s="2" t="n">
        <v>44.1</v>
      </c>
      <c r="Q90" s="2" t="n">
        <v>3228.4</v>
      </c>
      <c r="R90" s="2" t="n">
        <v>7.79</v>
      </c>
      <c r="S90" s="5">
        <f>G90/F90</f>
        <v/>
      </c>
      <c r="T90" s="5">
        <f>MAX(0,1/K90/8)</f>
        <v/>
      </c>
      <c r="U90" s="5">
        <f>IFERROR(G90/(F90*T90),0)</f>
        <v/>
      </c>
      <c r="V90" s="5">
        <f>IFERROR(H90/G90,0)</f>
        <v/>
      </c>
      <c r="W90" s="5">
        <f>T90*U90*V90</f>
        <v/>
      </c>
      <c r="X90" s="5">
        <f>IFERROR(G90/J90,0)</f>
        <v/>
      </c>
      <c r="Y90" s="5">
        <f>IFERROR(I90/G90,0)</f>
        <v/>
      </c>
      <c r="Z90" s="6">
        <f>IFERROR(G90/P90,0)</f>
        <v/>
      </c>
      <c r="AA90" s="7">
        <f>IFERROR(Q90/G90,0)</f>
        <v/>
      </c>
      <c r="AB90" s="8">
        <f>R90+K90</f>
        <v/>
      </c>
    </row>
    <row r="91">
      <c r="A91" s="2" t="n">
        <v>87</v>
      </c>
      <c r="B91" s="4" t="n">
        <v>46066</v>
      </c>
      <c r="C91" s="2" t="inlineStr">
        <is>
          <t>Solid Dose Line 1</t>
        </is>
      </c>
      <c r="D91" s="2" t="inlineStr">
        <is>
          <t>Product A</t>
        </is>
      </c>
      <c r="E91" s="2" t="inlineStr">
        <is>
          <t>Evening</t>
        </is>
      </c>
      <c r="F91" s="2" t="n">
        <v>11380</v>
      </c>
      <c r="G91" s="2" t="n">
        <v>9586.6</v>
      </c>
      <c r="H91" s="2" t="n">
        <v>9534</v>
      </c>
      <c r="I91" s="2" t="n">
        <v>52.6</v>
      </c>
      <c r="J91" s="2" t="n">
        <v>9736.5</v>
      </c>
      <c r="K91" s="2" t="n">
        <v>1.01</v>
      </c>
      <c r="L91" s="2" t="inlineStr">
        <is>
          <t>None</t>
        </is>
      </c>
      <c r="M91" s="2" t="inlineStr">
        <is>
          <t>Released</t>
        </is>
      </c>
      <c r="N91" s="2" t="inlineStr">
        <is>
          <t>Corrective</t>
        </is>
      </c>
      <c r="O91" s="2" t="n">
        <v>1094.77</v>
      </c>
      <c r="P91" s="2" t="n">
        <v>50.6</v>
      </c>
      <c r="Q91" s="2" t="n">
        <v>5059.2</v>
      </c>
      <c r="R91" s="2" t="n">
        <v>6.57</v>
      </c>
      <c r="S91" s="5">
        <f>G91/F91</f>
        <v/>
      </c>
      <c r="T91" s="5">
        <f>MAX(0,1/K91/8)</f>
        <v/>
      </c>
      <c r="U91" s="5">
        <f>IFERROR(G91/(F91*T91),0)</f>
        <v/>
      </c>
      <c r="V91" s="5">
        <f>IFERROR(H91/G91,0)</f>
        <v/>
      </c>
      <c r="W91" s="5">
        <f>T91*U91*V91</f>
        <v/>
      </c>
      <c r="X91" s="5">
        <f>IFERROR(G91/J91,0)</f>
        <v/>
      </c>
      <c r="Y91" s="5">
        <f>IFERROR(I91/G91,0)</f>
        <v/>
      </c>
      <c r="Z91" s="6">
        <f>IFERROR(G91/P91,0)</f>
        <v/>
      </c>
      <c r="AA91" s="7">
        <f>IFERROR(Q91/G91,0)</f>
        <v/>
      </c>
      <c r="AB91" s="8">
        <f>R91+K91</f>
        <v/>
      </c>
    </row>
    <row r="92">
      <c r="A92" s="2" t="n">
        <v>88</v>
      </c>
      <c r="B92" s="4" t="n">
        <v>46066</v>
      </c>
      <c r="C92" s="2" t="inlineStr">
        <is>
          <t>Solid Dose Line 2</t>
        </is>
      </c>
      <c r="D92" s="2" t="inlineStr">
        <is>
          <t>Product A</t>
        </is>
      </c>
      <c r="E92" s="2" t="inlineStr">
        <is>
          <t>Night</t>
        </is>
      </c>
      <c r="F92" s="2" t="n">
        <v>9097</v>
      </c>
      <c r="G92" s="2" t="n">
        <v>7109.1</v>
      </c>
      <c r="H92" s="2" t="n">
        <v>7052.7</v>
      </c>
      <c r="I92" s="2" t="n">
        <v>56.4</v>
      </c>
      <c r="J92" s="2" t="n">
        <v>7208.9</v>
      </c>
      <c r="K92" s="2" t="n">
        <v>1.33</v>
      </c>
      <c r="L92" s="2" t="inlineStr">
        <is>
          <t>None</t>
        </is>
      </c>
      <c r="M92" s="2" t="inlineStr">
        <is>
          <t>Released</t>
        </is>
      </c>
      <c r="N92" s="2" t="inlineStr">
        <is>
          <t>None</t>
        </is>
      </c>
      <c r="O92" s="2" t="n">
        <v>0</v>
      </c>
      <c r="P92" s="2" t="n">
        <v>35.4</v>
      </c>
      <c r="Q92" s="2" t="n">
        <v>4031.2</v>
      </c>
      <c r="R92" s="2" t="n">
        <v>7.66</v>
      </c>
      <c r="S92" s="5">
        <f>G92/F92</f>
        <v/>
      </c>
      <c r="T92" s="5">
        <f>MAX(0,1/K92/8)</f>
        <v/>
      </c>
      <c r="U92" s="5">
        <f>IFERROR(G92/(F92*T92),0)</f>
        <v/>
      </c>
      <c r="V92" s="5">
        <f>IFERROR(H92/G92,0)</f>
        <v/>
      </c>
      <c r="W92" s="5">
        <f>T92*U92*V92</f>
        <v/>
      </c>
      <c r="X92" s="5">
        <f>IFERROR(G92/J92,0)</f>
        <v/>
      </c>
      <c r="Y92" s="5">
        <f>IFERROR(I92/G92,0)</f>
        <v/>
      </c>
      <c r="Z92" s="6">
        <f>IFERROR(G92/P92,0)</f>
        <v/>
      </c>
      <c r="AA92" s="7">
        <f>IFERROR(Q92/G92,0)</f>
        <v/>
      </c>
      <c r="AB92" s="8">
        <f>R92+K92</f>
        <v/>
      </c>
    </row>
    <row r="93">
      <c r="A93" s="2" t="n">
        <v>89</v>
      </c>
      <c r="B93" s="4" t="n">
        <v>46067</v>
      </c>
      <c r="C93" s="2" t="inlineStr">
        <is>
          <t>Solid Dose Line 1</t>
        </is>
      </c>
      <c r="D93" s="2" t="inlineStr">
        <is>
          <t>Product B</t>
        </is>
      </c>
      <c r="E93" s="2" t="inlineStr">
        <is>
          <t>Day</t>
        </is>
      </c>
      <c r="F93" s="2" t="n">
        <v>9164</v>
      </c>
      <c r="G93" s="2" t="n">
        <v>8408.5</v>
      </c>
      <c r="H93" s="2" t="n">
        <v>8296.5</v>
      </c>
      <c r="I93" s="2" t="n">
        <v>112.1</v>
      </c>
      <c r="J93" s="2" t="n">
        <v>8545.700000000001</v>
      </c>
      <c r="K93" s="2" t="n">
        <v>0</v>
      </c>
      <c r="L93" s="2" t="inlineStr">
        <is>
          <t>None</t>
        </is>
      </c>
      <c r="M93" s="2" t="inlineStr">
        <is>
          <t>Released</t>
        </is>
      </c>
      <c r="N93" s="2" t="inlineStr">
        <is>
          <t>None</t>
        </is>
      </c>
      <c r="O93" s="2" t="n">
        <v>0</v>
      </c>
      <c r="P93" s="2" t="n">
        <v>35.7</v>
      </c>
      <c r="Q93" s="2" t="n">
        <v>4251</v>
      </c>
      <c r="R93" s="2" t="n">
        <v>7.38</v>
      </c>
      <c r="S93" s="5">
        <f>G93/F93</f>
        <v/>
      </c>
      <c r="T93" s="5">
        <f>MAX(0,1/K93/8)</f>
        <v/>
      </c>
      <c r="U93" s="5">
        <f>IFERROR(G93/(F93*T93),0)</f>
        <v/>
      </c>
      <c r="V93" s="5">
        <f>IFERROR(H93/G93,0)</f>
        <v/>
      </c>
      <c r="W93" s="5">
        <f>T93*U93*V93</f>
        <v/>
      </c>
      <c r="X93" s="5">
        <f>IFERROR(G93/J93,0)</f>
        <v/>
      </c>
      <c r="Y93" s="5">
        <f>IFERROR(I93/G93,0)</f>
        <v/>
      </c>
      <c r="Z93" s="6">
        <f>IFERROR(G93/P93,0)</f>
        <v/>
      </c>
      <c r="AA93" s="7">
        <f>IFERROR(Q93/G93,0)</f>
        <v/>
      </c>
      <c r="AB93" s="8">
        <f>R93+K93</f>
        <v/>
      </c>
    </row>
    <row r="94">
      <c r="A94" s="2" t="n">
        <v>90</v>
      </c>
      <c r="B94" s="4" t="n">
        <v>46067</v>
      </c>
      <c r="C94" s="2" t="inlineStr">
        <is>
          <t>Solid Dose Line 2</t>
        </is>
      </c>
      <c r="D94" s="2" t="inlineStr">
        <is>
          <t>Product A</t>
        </is>
      </c>
      <c r="E94" s="2" t="inlineStr">
        <is>
          <t>Day</t>
        </is>
      </c>
      <c r="F94" s="2" t="n">
        <v>10999</v>
      </c>
      <c r="G94" s="2" t="n">
        <v>9966.299999999999</v>
      </c>
      <c r="H94" s="2" t="n">
        <v>9878.200000000001</v>
      </c>
      <c r="I94" s="2" t="n">
        <v>88.2</v>
      </c>
      <c r="J94" s="2" t="n">
        <v>10260.1</v>
      </c>
      <c r="K94" s="2" t="n">
        <v>0.32</v>
      </c>
      <c r="L94" s="2" t="inlineStr">
        <is>
          <t>None</t>
        </is>
      </c>
      <c r="M94" s="2" t="inlineStr">
        <is>
          <t>Released</t>
        </is>
      </c>
      <c r="N94" s="2" t="inlineStr">
        <is>
          <t>Corrective</t>
        </is>
      </c>
      <c r="O94" s="2" t="n">
        <v>956.85</v>
      </c>
      <c r="P94" s="2" t="n">
        <v>46.9</v>
      </c>
      <c r="Q94" s="2" t="n">
        <v>5260</v>
      </c>
      <c r="R94" s="2" t="n">
        <v>6.83</v>
      </c>
      <c r="S94" s="5">
        <f>G94/F94</f>
        <v/>
      </c>
      <c r="T94" s="5">
        <f>MAX(0,1/K94/8)</f>
        <v/>
      </c>
      <c r="U94" s="5">
        <f>IFERROR(G94/(F94*T94),0)</f>
        <v/>
      </c>
      <c r="V94" s="5">
        <f>IFERROR(H94/G94,0)</f>
        <v/>
      </c>
      <c r="W94" s="5">
        <f>T94*U94*V94</f>
        <v/>
      </c>
      <c r="X94" s="5">
        <f>IFERROR(G94/J94,0)</f>
        <v/>
      </c>
      <c r="Y94" s="5">
        <f>IFERROR(I94/G94,0)</f>
        <v/>
      </c>
      <c r="Z94" s="6">
        <f>IFERROR(G94/P94,0)</f>
        <v/>
      </c>
      <c r="AA94" s="7">
        <f>IFERROR(Q94/G94,0)</f>
        <v/>
      </c>
      <c r="AB94" s="8">
        <f>R94+K94</f>
        <v/>
      </c>
    </row>
    <row r="95">
      <c r="A95" s="2" t="n">
        <v>91</v>
      </c>
      <c r="B95" s="4" t="n">
        <v>46068</v>
      </c>
      <c r="C95" s="2" t="inlineStr">
        <is>
          <t>Solid Dose Line 1</t>
        </is>
      </c>
      <c r="D95" s="2" t="inlineStr">
        <is>
          <t>Product B</t>
        </is>
      </c>
      <c r="E95" s="2" t="inlineStr">
        <is>
          <t>Day</t>
        </is>
      </c>
      <c r="F95" s="2" t="n">
        <v>9588</v>
      </c>
      <c r="G95" s="2" t="n">
        <v>6356.1</v>
      </c>
      <c r="H95" s="2" t="n">
        <v>6285.9</v>
      </c>
      <c r="I95" s="2" t="n">
        <v>70.2</v>
      </c>
      <c r="J95" s="2" t="n">
        <v>6471.6</v>
      </c>
      <c r="K95" s="2" t="n">
        <v>4.09</v>
      </c>
      <c r="L95" s="2" t="inlineStr">
        <is>
          <t>Equipment</t>
        </is>
      </c>
      <c r="M95" s="2" t="inlineStr">
        <is>
          <t>Released</t>
        </is>
      </c>
      <c r="N95" s="2" t="inlineStr">
        <is>
          <t>Preventive</t>
        </is>
      </c>
      <c r="O95" s="2" t="n">
        <v>282.39</v>
      </c>
      <c r="P95" s="2" t="n">
        <v>39.2</v>
      </c>
      <c r="Q95" s="2" t="n">
        <v>2973.3</v>
      </c>
      <c r="R95" s="2" t="n">
        <v>7.77</v>
      </c>
      <c r="S95" s="5">
        <f>G95/F95</f>
        <v/>
      </c>
      <c r="T95" s="5">
        <f>MAX(0,1/K95/8)</f>
        <v/>
      </c>
      <c r="U95" s="5">
        <f>IFERROR(G95/(F95*T95),0)</f>
        <v/>
      </c>
      <c r="V95" s="5">
        <f>IFERROR(H95/G95,0)</f>
        <v/>
      </c>
      <c r="W95" s="5">
        <f>T95*U95*V95</f>
        <v/>
      </c>
      <c r="X95" s="5">
        <f>IFERROR(G95/J95,0)</f>
        <v/>
      </c>
      <c r="Y95" s="5">
        <f>IFERROR(I95/G95,0)</f>
        <v/>
      </c>
      <c r="Z95" s="6">
        <f>IFERROR(G95/P95,0)</f>
        <v/>
      </c>
      <c r="AA95" s="7">
        <f>IFERROR(Q95/G95,0)</f>
        <v/>
      </c>
      <c r="AB95" s="8">
        <f>R95+K95</f>
        <v/>
      </c>
    </row>
    <row r="96">
      <c r="A96" s="2" t="n">
        <v>92</v>
      </c>
      <c r="B96" s="4" t="n">
        <v>46068</v>
      </c>
      <c r="C96" s="2" t="inlineStr">
        <is>
          <t>Solid Dose Line 2</t>
        </is>
      </c>
      <c r="D96" s="2" t="inlineStr">
        <is>
          <t>Product A</t>
        </is>
      </c>
      <c r="E96" s="2" t="inlineStr">
        <is>
          <t>Day</t>
        </is>
      </c>
      <c r="F96" s="2" t="n">
        <v>10048</v>
      </c>
      <c r="G96" s="2" t="n">
        <v>6435</v>
      </c>
      <c r="H96" s="2" t="n">
        <v>6338.4</v>
      </c>
      <c r="I96" s="2" t="n">
        <v>96.59999999999999</v>
      </c>
      <c r="J96" s="2" t="n">
        <v>6580.8</v>
      </c>
      <c r="K96" s="2" t="n">
        <v>2.32</v>
      </c>
      <c r="L96" s="2" t="inlineStr">
        <is>
          <t>None</t>
        </is>
      </c>
      <c r="M96" s="2" t="inlineStr">
        <is>
          <t>Released</t>
        </is>
      </c>
      <c r="N96" s="2" t="inlineStr">
        <is>
          <t>None</t>
        </is>
      </c>
      <c r="O96" s="2" t="n">
        <v>0</v>
      </c>
      <c r="P96" s="2" t="n">
        <v>43.6</v>
      </c>
      <c r="Q96" s="2" t="n">
        <v>3382</v>
      </c>
      <c r="R96" s="2" t="n">
        <v>7.59</v>
      </c>
      <c r="S96" s="5">
        <f>G96/F96</f>
        <v/>
      </c>
      <c r="T96" s="5">
        <f>MAX(0,1/K96/8)</f>
        <v/>
      </c>
      <c r="U96" s="5">
        <f>IFERROR(G96/(F96*T96),0)</f>
        <v/>
      </c>
      <c r="V96" s="5">
        <f>IFERROR(H96/G96,0)</f>
        <v/>
      </c>
      <c r="W96" s="5">
        <f>T96*U96*V96</f>
        <v/>
      </c>
      <c r="X96" s="5">
        <f>IFERROR(G96/J96,0)</f>
        <v/>
      </c>
      <c r="Y96" s="5">
        <f>IFERROR(I96/G96,0)</f>
        <v/>
      </c>
      <c r="Z96" s="6">
        <f>IFERROR(G96/P96,0)</f>
        <v/>
      </c>
      <c r="AA96" s="7">
        <f>IFERROR(Q96/G96,0)</f>
        <v/>
      </c>
      <c r="AB96" s="8">
        <f>R96+K96</f>
        <v/>
      </c>
    </row>
    <row r="97">
      <c r="A97" s="2" t="n">
        <v>93</v>
      </c>
      <c r="B97" s="4" t="n">
        <v>46069</v>
      </c>
      <c r="C97" s="2" t="inlineStr">
        <is>
          <t>Solid Dose Line 1</t>
        </is>
      </c>
      <c r="D97" s="2" t="inlineStr">
        <is>
          <t>Product B</t>
        </is>
      </c>
      <c r="E97" s="2" t="inlineStr">
        <is>
          <t>Day</t>
        </is>
      </c>
      <c r="F97" s="2" t="n">
        <v>11443</v>
      </c>
      <c r="G97" s="2" t="n">
        <v>9535.299999999999</v>
      </c>
      <c r="H97" s="2" t="n">
        <v>9423</v>
      </c>
      <c r="I97" s="2" t="n">
        <v>112.4</v>
      </c>
      <c r="J97" s="2" t="n">
        <v>9619.799999999999</v>
      </c>
      <c r="K97" s="2" t="n">
        <v>1.14</v>
      </c>
      <c r="L97" s="2" t="inlineStr">
        <is>
          <t>None</t>
        </is>
      </c>
      <c r="M97" s="2" t="inlineStr">
        <is>
          <t>Released</t>
        </is>
      </c>
      <c r="N97" s="2" t="inlineStr">
        <is>
          <t>None</t>
        </is>
      </c>
      <c r="O97" s="2" t="n">
        <v>0</v>
      </c>
      <c r="P97" s="2" t="n">
        <v>36.6</v>
      </c>
      <c r="Q97" s="2" t="n">
        <v>4547.1</v>
      </c>
      <c r="R97" s="2" t="n">
        <v>7.21</v>
      </c>
      <c r="S97" s="5">
        <f>G97/F97</f>
        <v/>
      </c>
      <c r="T97" s="5">
        <f>MAX(0,1/K97/8)</f>
        <v/>
      </c>
      <c r="U97" s="5">
        <f>IFERROR(G97/(F97*T97),0)</f>
        <v/>
      </c>
      <c r="V97" s="5">
        <f>IFERROR(H97/G97,0)</f>
        <v/>
      </c>
      <c r="W97" s="5">
        <f>T97*U97*V97</f>
        <v/>
      </c>
      <c r="X97" s="5">
        <f>IFERROR(G97/J97,0)</f>
        <v/>
      </c>
      <c r="Y97" s="5">
        <f>IFERROR(I97/G97,0)</f>
        <v/>
      </c>
      <c r="Z97" s="6">
        <f>IFERROR(G97/P97,0)</f>
        <v/>
      </c>
      <c r="AA97" s="7">
        <f>IFERROR(Q97/G97,0)</f>
        <v/>
      </c>
      <c r="AB97" s="8">
        <f>R97+K97</f>
        <v/>
      </c>
    </row>
    <row r="98">
      <c r="A98" s="2" t="n">
        <v>94</v>
      </c>
      <c r="B98" s="4" t="n">
        <v>46069</v>
      </c>
      <c r="C98" s="2" t="inlineStr">
        <is>
          <t>Solid Dose Line 2</t>
        </is>
      </c>
      <c r="D98" s="2" t="inlineStr">
        <is>
          <t>Product B</t>
        </is>
      </c>
      <c r="E98" s="2" t="inlineStr">
        <is>
          <t>Evening</t>
        </is>
      </c>
      <c r="F98" s="2" t="n">
        <v>9986</v>
      </c>
      <c r="G98" s="2" t="n">
        <v>8005.4</v>
      </c>
      <c r="H98" s="2" t="n">
        <v>7952.1</v>
      </c>
      <c r="I98" s="2" t="n">
        <v>53.2</v>
      </c>
      <c r="J98" s="2" t="n">
        <v>8104.7</v>
      </c>
      <c r="K98" s="2" t="n">
        <v>1.2</v>
      </c>
      <c r="L98" s="2" t="inlineStr">
        <is>
          <t>None</t>
        </is>
      </c>
      <c r="M98" s="2" t="inlineStr">
        <is>
          <t>Released</t>
        </is>
      </c>
      <c r="N98" s="2" t="inlineStr">
        <is>
          <t>None</t>
        </is>
      </c>
      <c r="O98" s="2" t="n">
        <v>0</v>
      </c>
      <c r="P98" s="2" t="n">
        <v>48.2</v>
      </c>
      <c r="Q98" s="2" t="n">
        <v>4297.3</v>
      </c>
      <c r="R98" s="2" t="n">
        <v>6.61</v>
      </c>
      <c r="S98" s="5">
        <f>G98/F98</f>
        <v/>
      </c>
      <c r="T98" s="5">
        <f>MAX(0,1/K98/8)</f>
        <v/>
      </c>
      <c r="U98" s="5">
        <f>IFERROR(G98/(F98*T98),0)</f>
        <v/>
      </c>
      <c r="V98" s="5">
        <f>IFERROR(H98/G98,0)</f>
        <v/>
      </c>
      <c r="W98" s="5">
        <f>T98*U98*V98</f>
        <v/>
      </c>
      <c r="X98" s="5">
        <f>IFERROR(G98/J98,0)</f>
        <v/>
      </c>
      <c r="Y98" s="5">
        <f>IFERROR(I98/G98,0)</f>
        <v/>
      </c>
      <c r="Z98" s="6">
        <f>IFERROR(G98/P98,0)</f>
        <v/>
      </c>
      <c r="AA98" s="7">
        <f>IFERROR(Q98/G98,0)</f>
        <v/>
      </c>
      <c r="AB98" s="8">
        <f>R98+K98</f>
        <v/>
      </c>
    </row>
    <row r="99">
      <c r="A99" s="2" t="n">
        <v>95</v>
      </c>
      <c r="B99" s="4" t="n">
        <v>46070</v>
      </c>
      <c r="C99" s="2" t="inlineStr">
        <is>
          <t>Solid Dose Line 1</t>
        </is>
      </c>
      <c r="D99" s="2" t="inlineStr">
        <is>
          <t>Product A</t>
        </is>
      </c>
      <c r="E99" s="2" t="inlineStr">
        <is>
          <t>Evening</t>
        </is>
      </c>
      <c r="F99" s="2" t="n">
        <v>9924</v>
      </c>
      <c r="G99" s="2" t="n">
        <v>9452.1</v>
      </c>
      <c r="H99" s="2" t="n">
        <v>9297.5</v>
      </c>
      <c r="I99" s="2" t="n">
        <v>154.7</v>
      </c>
      <c r="J99" s="2" t="n">
        <v>9705.700000000001</v>
      </c>
      <c r="K99" s="2" t="n">
        <v>0.25</v>
      </c>
      <c r="L99" s="2" t="inlineStr">
        <is>
          <t>None</t>
        </is>
      </c>
      <c r="M99" s="2" t="inlineStr">
        <is>
          <t>Released</t>
        </is>
      </c>
      <c r="N99" s="2" t="inlineStr">
        <is>
          <t>Emergency</t>
        </is>
      </c>
      <c r="O99" s="2" t="n">
        <v>1941.85</v>
      </c>
      <c r="P99" s="2" t="n">
        <v>51.7</v>
      </c>
      <c r="Q99" s="2" t="n">
        <v>4949.9</v>
      </c>
      <c r="R99" s="2" t="n">
        <v>7.47</v>
      </c>
      <c r="S99" s="5">
        <f>G99/F99</f>
        <v/>
      </c>
      <c r="T99" s="5">
        <f>MAX(0,1/K99/8)</f>
        <v/>
      </c>
      <c r="U99" s="5">
        <f>IFERROR(G99/(F99*T99),0)</f>
        <v/>
      </c>
      <c r="V99" s="5">
        <f>IFERROR(H99/G99,0)</f>
        <v/>
      </c>
      <c r="W99" s="5">
        <f>T99*U99*V99</f>
        <v/>
      </c>
      <c r="X99" s="5">
        <f>IFERROR(G99/J99,0)</f>
        <v/>
      </c>
      <c r="Y99" s="5">
        <f>IFERROR(I99/G99,0)</f>
        <v/>
      </c>
      <c r="Z99" s="6">
        <f>IFERROR(G99/P99,0)</f>
        <v/>
      </c>
      <c r="AA99" s="7">
        <f>IFERROR(Q99/G99,0)</f>
        <v/>
      </c>
      <c r="AB99" s="8">
        <f>R99+K99</f>
        <v/>
      </c>
    </row>
    <row r="100">
      <c r="A100" s="2" t="n">
        <v>96</v>
      </c>
      <c r="B100" s="4" t="n">
        <v>46070</v>
      </c>
      <c r="C100" s="2" t="inlineStr">
        <is>
          <t>Solid Dose Line 2</t>
        </is>
      </c>
      <c r="D100" s="2" t="inlineStr">
        <is>
          <t>Product A</t>
        </is>
      </c>
      <c r="E100" s="2" t="inlineStr">
        <is>
          <t>Night</t>
        </is>
      </c>
      <c r="F100" s="2" t="n">
        <v>10341</v>
      </c>
      <c r="G100" s="2" t="n">
        <v>8997.299999999999</v>
      </c>
      <c r="H100" s="2" t="n">
        <v>8856.799999999999</v>
      </c>
      <c r="I100" s="2" t="n">
        <v>140.5</v>
      </c>
      <c r="J100" s="2" t="n">
        <v>9198.200000000001</v>
      </c>
      <c r="K100" s="2" t="n">
        <v>0.67</v>
      </c>
      <c r="L100" s="2" t="inlineStr">
        <is>
          <t>None</t>
        </is>
      </c>
      <c r="M100" s="2" t="inlineStr">
        <is>
          <t>Released</t>
        </is>
      </c>
      <c r="N100" s="2" t="inlineStr">
        <is>
          <t>Preventive</t>
        </is>
      </c>
      <c r="O100" s="2" t="n">
        <v>443.94</v>
      </c>
      <c r="P100" s="2" t="n">
        <v>47.8</v>
      </c>
      <c r="Q100" s="2" t="n">
        <v>4715.2</v>
      </c>
      <c r="R100" s="2" t="n">
        <v>6.69</v>
      </c>
      <c r="S100" s="5">
        <f>G100/F100</f>
        <v/>
      </c>
      <c r="T100" s="5">
        <f>MAX(0,1/K100/8)</f>
        <v/>
      </c>
      <c r="U100" s="5">
        <f>IFERROR(G100/(F100*T100),0)</f>
        <v/>
      </c>
      <c r="V100" s="5">
        <f>IFERROR(H100/G100,0)</f>
        <v/>
      </c>
      <c r="W100" s="5">
        <f>T100*U100*V100</f>
        <v/>
      </c>
      <c r="X100" s="5">
        <f>IFERROR(G100/J100,0)</f>
        <v/>
      </c>
      <c r="Y100" s="5">
        <f>IFERROR(I100/G100,0)</f>
        <v/>
      </c>
      <c r="Z100" s="6">
        <f>IFERROR(G100/P100,0)</f>
        <v/>
      </c>
      <c r="AA100" s="7">
        <f>IFERROR(Q100/G100,0)</f>
        <v/>
      </c>
      <c r="AB100" s="8">
        <f>R100+K100</f>
        <v/>
      </c>
    </row>
    <row r="101">
      <c r="A101" s="2" t="n">
        <v>97</v>
      </c>
      <c r="B101" s="4" t="n">
        <v>46071</v>
      </c>
      <c r="C101" s="2" t="inlineStr">
        <is>
          <t>Solid Dose Line 1</t>
        </is>
      </c>
      <c r="D101" s="2" t="inlineStr">
        <is>
          <t>Product C</t>
        </is>
      </c>
      <c r="E101" s="2" t="inlineStr">
        <is>
          <t>Day</t>
        </is>
      </c>
      <c r="F101" s="2" t="n">
        <v>9714</v>
      </c>
      <c r="G101" s="2" t="n">
        <v>6380.3</v>
      </c>
      <c r="H101" s="2" t="n">
        <v>6245.8</v>
      </c>
      <c r="I101" s="2" t="n">
        <v>134.5</v>
      </c>
      <c r="J101" s="2" t="n">
        <v>6498</v>
      </c>
      <c r="K101" s="2" t="n">
        <v>2.36</v>
      </c>
      <c r="L101" s="2" t="inlineStr">
        <is>
          <t>None</t>
        </is>
      </c>
      <c r="M101" s="2" t="inlineStr">
        <is>
          <t>Released</t>
        </is>
      </c>
      <c r="N101" s="2" t="inlineStr">
        <is>
          <t>Corrective</t>
        </is>
      </c>
      <c r="O101" s="2" t="n">
        <v>644.3</v>
      </c>
      <c r="P101" s="2" t="n">
        <v>45.1</v>
      </c>
      <c r="Q101" s="2" t="n">
        <v>3367.1</v>
      </c>
      <c r="R101" s="2" t="n">
        <v>7.31</v>
      </c>
      <c r="S101" s="5">
        <f>G101/F101</f>
        <v/>
      </c>
      <c r="T101" s="5">
        <f>MAX(0,1/K101/8)</f>
        <v/>
      </c>
      <c r="U101" s="5">
        <f>IFERROR(G101/(F101*T101),0)</f>
        <v/>
      </c>
      <c r="V101" s="5">
        <f>IFERROR(H101/G101,0)</f>
        <v/>
      </c>
      <c r="W101" s="5">
        <f>T101*U101*V101</f>
        <v/>
      </c>
      <c r="X101" s="5">
        <f>IFERROR(G101/J101,0)</f>
        <v/>
      </c>
      <c r="Y101" s="5">
        <f>IFERROR(I101/G101,0)</f>
        <v/>
      </c>
      <c r="Z101" s="6">
        <f>IFERROR(G101/P101,0)</f>
        <v/>
      </c>
      <c r="AA101" s="7">
        <f>IFERROR(Q101/G101,0)</f>
        <v/>
      </c>
      <c r="AB101" s="8">
        <f>R101+K101</f>
        <v/>
      </c>
    </row>
    <row r="102">
      <c r="A102" s="2" t="n">
        <v>98</v>
      </c>
      <c r="B102" s="4" t="n">
        <v>46071</v>
      </c>
      <c r="C102" s="2" t="inlineStr">
        <is>
          <t>Solid Dose Line 2</t>
        </is>
      </c>
      <c r="D102" s="2" t="inlineStr">
        <is>
          <t>Product A</t>
        </is>
      </c>
      <c r="E102" s="2" t="inlineStr">
        <is>
          <t>Day</t>
        </is>
      </c>
      <c r="F102" s="2" t="n">
        <v>9496</v>
      </c>
      <c r="G102" s="2" t="n">
        <v>6982.3</v>
      </c>
      <c r="H102" s="2" t="n">
        <v>6867.9</v>
      </c>
      <c r="I102" s="2" t="n">
        <v>114.4</v>
      </c>
      <c r="J102" s="2" t="n">
        <v>7095.6</v>
      </c>
      <c r="K102" s="2" t="n">
        <v>1.49</v>
      </c>
      <c r="L102" s="2" t="inlineStr">
        <is>
          <t>None</t>
        </is>
      </c>
      <c r="M102" s="2" t="inlineStr">
        <is>
          <t>Released</t>
        </is>
      </c>
      <c r="N102" s="2" t="inlineStr">
        <is>
          <t>None</t>
        </is>
      </c>
      <c r="O102" s="2" t="n">
        <v>0</v>
      </c>
      <c r="P102" s="2" t="n">
        <v>45.6</v>
      </c>
      <c r="Q102" s="2" t="n">
        <v>3358.2</v>
      </c>
      <c r="R102" s="2" t="n">
        <v>6.59</v>
      </c>
      <c r="S102" s="5">
        <f>G102/F102</f>
        <v/>
      </c>
      <c r="T102" s="5">
        <f>MAX(0,1/K102/8)</f>
        <v/>
      </c>
      <c r="U102" s="5">
        <f>IFERROR(G102/(F102*T102),0)</f>
        <v/>
      </c>
      <c r="V102" s="5">
        <f>IFERROR(H102/G102,0)</f>
        <v/>
      </c>
      <c r="W102" s="5">
        <f>T102*U102*V102</f>
        <v/>
      </c>
      <c r="X102" s="5">
        <f>IFERROR(G102/J102,0)</f>
        <v/>
      </c>
      <c r="Y102" s="5">
        <f>IFERROR(I102/G102,0)</f>
        <v/>
      </c>
      <c r="Z102" s="6">
        <f>IFERROR(G102/P102,0)</f>
        <v/>
      </c>
      <c r="AA102" s="7">
        <f>IFERROR(Q102/G102,0)</f>
        <v/>
      </c>
      <c r="AB102" s="8">
        <f>R102+K102</f>
        <v/>
      </c>
    </row>
    <row r="103">
      <c r="A103" s="2" t="n">
        <v>99</v>
      </c>
      <c r="B103" s="4" t="n">
        <v>46072</v>
      </c>
      <c r="C103" s="2" t="inlineStr">
        <is>
          <t>Solid Dose Line 1</t>
        </is>
      </c>
      <c r="D103" s="2" t="inlineStr">
        <is>
          <t>Product A</t>
        </is>
      </c>
      <c r="E103" s="2" t="inlineStr">
        <is>
          <t>Day</t>
        </is>
      </c>
      <c r="F103" s="2" t="n">
        <v>9564</v>
      </c>
      <c r="G103" s="2" t="n">
        <v>7431.2</v>
      </c>
      <c r="H103" s="2" t="n">
        <v>7324.8</v>
      </c>
      <c r="I103" s="2" t="n">
        <v>106.4</v>
      </c>
      <c r="J103" s="2" t="n">
        <v>7463</v>
      </c>
      <c r="K103" s="2" t="n">
        <v>0.57</v>
      </c>
      <c r="L103" s="2" t="inlineStr">
        <is>
          <t>None</t>
        </is>
      </c>
      <c r="M103" s="2" t="inlineStr">
        <is>
          <t>Released</t>
        </is>
      </c>
      <c r="N103" s="2" t="inlineStr">
        <is>
          <t>None</t>
        </is>
      </c>
      <c r="O103" s="2" t="n">
        <v>0</v>
      </c>
      <c r="P103" s="2" t="n">
        <v>32.5</v>
      </c>
      <c r="Q103" s="2" t="n">
        <v>3662.2</v>
      </c>
      <c r="R103" s="2" t="n">
        <v>7.85</v>
      </c>
      <c r="S103" s="5">
        <f>G103/F103</f>
        <v/>
      </c>
      <c r="T103" s="5">
        <f>MAX(0,1/K103/8)</f>
        <v/>
      </c>
      <c r="U103" s="5">
        <f>IFERROR(G103/(F103*T103),0)</f>
        <v/>
      </c>
      <c r="V103" s="5">
        <f>IFERROR(H103/G103,0)</f>
        <v/>
      </c>
      <c r="W103" s="5">
        <f>T103*U103*V103</f>
        <v/>
      </c>
      <c r="X103" s="5">
        <f>IFERROR(G103/J103,0)</f>
        <v/>
      </c>
      <c r="Y103" s="5">
        <f>IFERROR(I103/G103,0)</f>
        <v/>
      </c>
      <c r="Z103" s="6">
        <f>IFERROR(G103/P103,0)</f>
        <v/>
      </c>
      <c r="AA103" s="7">
        <f>IFERROR(Q103/G103,0)</f>
        <v/>
      </c>
      <c r="AB103" s="8">
        <f>R103+K103</f>
        <v/>
      </c>
    </row>
    <row r="104">
      <c r="A104" s="2" t="n">
        <v>100</v>
      </c>
      <c r="B104" s="4" t="n">
        <v>46072</v>
      </c>
      <c r="C104" s="2" t="inlineStr">
        <is>
          <t>Solid Dose Line 2</t>
        </is>
      </c>
      <c r="D104" s="2" t="inlineStr">
        <is>
          <t>Product B</t>
        </is>
      </c>
      <c r="E104" s="2" t="inlineStr">
        <is>
          <t>Evening</t>
        </is>
      </c>
      <c r="F104" s="2" t="n">
        <v>10681</v>
      </c>
      <c r="G104" s="2" t="n">
        <v>6908.8</v>
      </c>
      <c r="H104" s="2" t="n">
        <v>6834.4</v>
      </c>
      <c r="I104" s="2" t="n">
        <v>74.40000000000001</v>
      </c>
      <c r="J104" s="2" t="n">
        <v>7024.9</v>
      </c>
      <c r="K104" s="2" t="n">
        <v>2.64</v>
      </c>
      <c r="L104" s="2" t="inlineStr">
        <is>
          <t>None</t>
        </is>
      </c>
      <c r="M104" s="2" t="inlineStr">
        <is>
          <t>Released</t>
        </is>
      </c>
      <c r="N104" s="2" t="inlineStr">
        <is>
          <t>Preventive</t>
        </is>
      </c>
      <c r="O104" s="2" t="n">
        <v>168.42</v>
      </c>
      <c r="P104" s="2" t="n">
        <v>42.7</v>
      </c>
      <c r="Q104" s="2" t="n">
        <v>3305</v>
      </c>
      <c r="R104" s="2" t="n">
        <v>7.33</v>
      </c>
      <c r="S104" s="5">
        <f>G104/F104</f>
        <v/>
      </c>
      <c r="T104" s="5">
        <f>MAX(0,1/K104/8)</f>
        <v/>
      </c>
      <c r="U104" s="5">
        <f>IFERROR(G104/(F104*T104),0)</f>
        <v/>
      </c>
      <c r="V104" s="5">
        <f>IFERROR(H104/G104,0)</f>
        <v/>
      </c>
      <c r="W104" s="5">
        <f>T104*U104*V104</f>
        <v/>
      </c>
      <c r="X104" s="5">
        <f>IFERROR(G104/J104,0)</f>
        <v/>
      </c>
      <c r="Y104" s="5">
        <f>IFERROR(I104/G104,0)</f>
        <v/>
      </c>
      <c r="Z104" s="6">
        <f>IFERROR(G104/P104,0)</f>
        <v/>
      </c>
      <c r="AA104" s="7">
        <f>IFERROR(Q104/G104,0)</f>
        <v/>
      </c>
      <c r="AB104" s="8">
        <f>R104+K104</f>
        <v/>
      </c>
    </row>
    <row r="105">
      <c r="A105" s="2" t="n">
        <v>101</v>
      </c>
      <c r="B105" s="4" t="n">
        <v>46073</v>
      </c>
      <c r="C105" s="2" t="inlineStr">
        <is>
          <t>Solid Dose Line 1</t>
        </is>
      </c>
      <c r="D105" s="2" t="inlineStr">
        <is>
          <t>Product B</t>
        </is>
      </c>
      <c r="E105" s="2" t="inlineStr">
        <is>
          <t>Evening</t>
        </is>
      </c>
      <c r="F105" s="2" t="n">
        <v>9667</v>
      </c>
      <c r="G105" s="2" t="n">
        <v>6119.8</v>
      </c>
      <c r="H105" s="2" t="n">
        <v>6069.4</v>
      </c>
      <c r="I105" s="2" t="n">
        <v>50.3</v>
      </c>
      <c r="J105" s="2" t="n">
        <v>6241.5</v>
      </c>
      <c r="K105" s="2" t="n">
        <v>3.05</v>
      </c>
      <c r="L105" s="2" t="inlineStr">
        <is>
          <t>Documentation</t>
        </is>
      </c>
      <c r="M105" s="2" t="inlineStr">
        <is>
          <t>Released</t>
        </is>
      </c>
      <c r="N105" s="2" t="inlineStr">
        <is>
          <t>Corrective</t>
        </is>
      </c>
      <c r="O105" s="2" t="n">
        <v>654.33</v>
      </c>
      <c r="P105" s="2" t="n">
        <v>47.9</v>
      </c>
      <c r="Q105" s="2" t="n">
        <v>3204.5</v>
      </c>
      <c r="R105" s="2" t="n">
        <v>6.85</v>
      </c>
      <c r="S105" s="5">
        <f>G105/F105</f>
        <v/>
      </c>
      <c r="T105" s="5">
        <f>MAX(0,1/K105/8)</f>
        <v/>
      </c>
      <c r="U105" s="5">
        <f>IFERROR(G105/(F105*T105),0)</f>
        <v/>
      </c>
      <c r="V105" s="5">
        <f>IFERROR(H105/G105,0)</f>
        <v/>
      </c>
      <c r="W105" s="5">
        <f>T105*U105*V105</f>
        <v/>
      </c>
      <c r="X105" s="5">
        <f>IFERROR(G105/J105,0)</f>
        <v/>
      </c>
      <c r="Y105" s="5">
        <f>IFERROR(I105/G105,0)</f>
        <v/>
      </c>
      <c r="Z105" s="6">
        <f>IFERROR(G105/P105,0)</f>
        <v/>
      </c>
      <c r="AA105" s="7">
        <f>IFERROR(Q105/G105,0)</f>
        <v/>
      </c>
      <c r="AB105" s="8">
        <f>R105+K105</f>
        <v/>
      </c>
    </row>
    <row r="106">
      <c r="A106" s="2" t="n">
        <v>102</v>
      </c>
      <c r="B106" s="4" t="n">
        <v>46073</v>
      </c>
      <c r="C106" s="2" t="inlineStr">
        <is>
          <t>Solid Dose Line 2</t>
        </is>
      </c>
      <c r="D106" s="2" t="inlineStr">
        <is>
          <t>Product A</t>
        </is>
      </c>
      <c r="E106" s="2" t="inlineStr">
        <is>
          <t>Day</t>
        </is>
      </c>
      <c r="F106" s="2" t="n">
        <v>10619</v>
      </c>
      <c r="G106" s="2" t="n">
        <v>8713.799999999999</v>
      </c>
      <c r="H106" s="2" t="n">
        <v>8518.6</v>
      </c>
      <c r="I106" s="2" t="n">
        <v>195.2</v>
      </c>
      <c r="J106" s="2" t="n">
        <v>8786.9</v>
      </c>
      <c r="K106" s="2" t="n">
        <v>0.62</v>
      </c>
      <c r="L106" s="2" t="inlineStr">
        <is>
          <t>None</t>
        </is>
      </c>
      <c r="M106" s="2" t="inlineStr">
        <is>
          <t>Released</t>
        </is>
      </c>
      <c r="N106" s="2" t="inlineStr">
        <is>
          <t>Corrective</t>
        </is>
      </c>
      <c r="O106" s="2" t="n">
        <v>498.93</v>
      </c>
      <c r="P106" s="2" t="n">
        <v>35</v>
      </c>
      <c r="Q106" s="2" t="n">
        <v>4545.9</v>
      </c>
      <c r="R106" s="2" t="n">
        <v>7.25</v>
      </c>
      <c r="S106" s="5">
        <f>G106/F106</f>
        <v/>
      </c>
      <c r="T106" s="5">
        <f>MAX(0,1/K106/8)</f>
        <v/>
      </c>
      <c r="U106" s="5">
        <f>IFERROR(G106/(F106*T106),0)</f>
        <v/>
      </c>
      <c r="V106" s="5">
        <f>IFERROR(H106/G106,0)</f>
        <v/>
      </c>
      <c r="W106" s="5">
        <f>T106*U106*V106</f>
        <v/>
      </c>
      <c r="X106" s="5">
        <f>IFERROR(G106/J106,0)</f>
        <v/>
      </c>
      <c r="Y106" s="5">
        <f>IFERROR(I106/G106,0)</f>
        <v/>
      </c>
      <c r="Z106" s="6">
        <f>IFERROR(G106/P106,0)</f>
        <v/>
      </c>
      <c r="AA106" s="7">
        <f>IFERROR(Q106/G106,0)</f>
        <v/>
      </c>
      <c r="AB106" s="8">
        <f>R106+K106</f>
        <v/>
      </c>
    </row>
    <row r="107">
      <c r="A107" s="2" t="n">
        <v>103</v>
      </c>
      <c r="B107" s="4" t="n">
        <v>46074</v>
      </c>
      <c r="C107" s="2" t="inlineStr">
        <is>
          <t>Solid Dose Line 1</t>
        </is>
      </c>
      <c r="D107" s="2" t="inlineStr">
        <is>
          <t>Product A</t>
        </is>
      </c>
      <c r="E107" s="2" t="inlineStr">
        <is>
          <t>Evening</t>
        </is>
      </c>
      <c r="F107" s="2" t="n">
        <v>9585</v>
      </c>
      <c r="G107" s="2" t="n">
        <v>6101.3</v>
      </c>
      <c r="H107" s="2" t="n">
        <v>6001.8</v>
      </c>
      <c r="I107" s="2" t="n">
        <v>99.5</v>
      </c>
      <c r="J107" s="2" t="n">
        <v>6234.6</v>
      </c>
      <c r="K107" s="2" t="n">
        <v>3.53</v>
      </c>
      <c r="L107" s="2" t="inlineStr">
        <is>
          <t>Documentation</t>
        </is>
      </c>
      <c r="M107" s="2" t="inlineStr">
        <is>
          <t>Released</t>
        </is>
      </c>
      <c r="N107" s="2" t="inlineStr">
        <is>
          <t>None</t>
        </is>
      </c>
      <c r="O107" s="2" t="n">
        <v>0</v>
      </c>
      <c r="P107" s="2" t="n">
        <v>48</v>
      </c>
      <c r="Q107" s="2" t="n">
        <v>3394.3</v>
      </c>
      <c r="R107" s="2" t="n">
        <v>7.09</v>
      </c>
      <c r="S107" s="5">
        <f>G107/F107</f>
        <v/>
      </c>
      <c r="T107" s="5">
        <f>MAX(0,1/K107/8)</f>
        <v/>
      </c>
      <c r="U107" s="5">
        <f>IFERROR(G107/(F107*T107),0)</f>
        <v/>
      </c>
      <c r="V107" s="5">
        <f>IFERROR(H107/G107,0)</f>
        <v/>
      </c>
      <c r="W107" s="5">
        <f>T107*U107*V107</f>
        <v/>
      </c>
      <c r="X107" s="5">
        <f>IFERROR(G107/J107,0)</f>
        <v/>
      </c>
      <c r="Y107" s="5">
        <f>IFERROR(I107/G107,0)</f>
        <v/>
      </c>
      <c r="Z107" s="6">
        <f>IFERROR(G107/P107,0)</f>
        <v/>
      </c>
      <c r="AA107" s="7">
        <f>IFERROR(Q107/G107,0)</f>
        <v/>
      </c>
      <c r="AB107" s="8">
        <f>R107+K107</f>
        <v/>
      </c>
    </row>
    <row r="108">
      <c r="A108" s="2" t="n">
        <v>104</v>
      </c>
      <c r="B108" s="4" t="n">
        <v>46074</v>
      </c>
      <c r="C108" s="2" t="inlineStr">
        <is>
          <t>Solid Dose Line 2</t>
        </is>
      </c>
      <c r="D108" s="2" t="inlineStr">
        <is>
          <t>Product C</t>
        </is>
      </c>
      <c r="E108" s="2" t="inlineStr">
        <is>
          <t>Night</t>
        </is>
      </c>
      <c r="F108" s="2" t="n">
        <v>9884</v>
      </c>
      <c r="G108" s="2" t="n">
        <v>6257.3</v>
      </c>
      <c r="H108" s="2" t="n">
        <v>6198.1</v>
      </c>
      <c r="I108" s="2" t="n">
        <v>59.2</v>
      </c>
      <c r="J108" s="2" t="n">
        <v>6382</v>
      </c>
      <c r="K108" s="2" t="n">
        <v>2.37</v>
      </c>
      <c r="L108" s="2" t="inlineStr">
        <is>
          <t>Environmental</t>
        </is>
      </c>
      <c r="M108" s="2" t="inlineStr">
        <is>
          <t>Released</t>
        </is>
      </c>
      <c r="N108" s="2" t="inlineStr">
        <is>
          <t>Corrective</t>
        </is>
      </c>
      <c r="O108" s="2" t="n">
        <v>491.77</v>
      </c>
      <c r="P108" s="2" t="n">
        <v>39.1</v>
      </c>
      <c r="Q108" s="2" t="n">
        <v>3000.2</v>
      </c>
      <c r="R108" s="2" t="n">
        <v>7.52</v>
      </c>
      <c r="S108" s="5">
        <f>G108/F108</f>
        <v/>
      </c>
      <c r="T108" s="5">
        <f>MAX(0,1/K108/8)</f>
        <v/>
      </c>
      <c r="U108" s="5">
        <f>IFERROR(G108/(F108*T108),0)</f>
        <v/>
      </c>
      <c r="V108" s="5">
        <f>IFERROR(H108/G108,0)</f>
        <v/>
      </c>
      <c r="W108" s="5">
        <f>T108*U108*V108</f>
        <v/>
      </c>
      <c r="X108" s="5">
        <f>IFERROR(G108/J108,0)</f>
        <v/>
      </c>
      <c r="Y108" s="5">
        <f>IFERROR(I108/G108,0)</f>
        <v/>
      </c>
      <c r="Z108" s="6">
        <f>IFERROR(G108/P108,0)</f>
        <v/>
      </c>
      <c r="AA108" s="7">
        <f>IFERROR(Q108/G108,0)</f>
        <v/>
      </c>
      <c r="AB108" s="8">
        <f>R108+K108</f>
        <v/>
      </c>
    </row>
    <row r="109">
      <c r="A109" s="2" t="n">
        <v>105</v>
      </c>
      <c r="B109" s="4" t="n">
        <v>46075</v>
      </c>
      <c r="C109" s="2" t="inlineStr">
        <is>
          <t>Solid Dose Line 1</t>
        </is>
      </c>
      <c r="D109" s="2" t="inlineStr">
        <is>
          <t>Product A</t>
        </is>
      </c>
      <c r="E109" s="2" t="inlineStr">
        <is>
          <t>Day</t>
        </is>
      </c>
      <c r="F109" s="2" t="n">
        <v>9628</v>
      </c>
      <c r="G109" s="2" t="n">
        <v>6306.7</v>
      </c>
      <c r="H109" s="2" t="n">
        <v>6232.3</v>
      </c>
      <c r="I109" s="2" t="n">
        <v>74.40000000000001</v>
      </c>
      <c r="J109" s="2" t="n">
        <v>6361</v>
      </c>
      <c r="K109" s="2" t="n">
        <v>3.46</v>
      </c>
      <c r="L109" s="2" t="inlineStr">
        <is>
          <t>None</t>
        </is>
      </c>
      <c r="M109" s="2" t="inlineStr">
        <is>
          <t>Released</t>
        </is>
      </c>
      <c r="N109" s="2" t="inlineStr">
        <is>
          <t>None</t>
        </is>
      </c>
      <c r="O109" s="2" t="n">
        <v>0</v>
      </c>
      <c r="P109" s="2" t="n">
        <v>34.4</v>
      </c>
      <c r="Q109" s="2" t="n">
        <v>3111.8</v>
      </c>
      <c r="R109" s="2" t="n">
        <v>7.65</v>
      </c>
      <c r="S109" s="5">
        <f>G109/F109</f>
        <v/>
      </c>
      <c r="T109" s="5">
        <f>MAX(0,1/K109/8)</f>
        <v/>
      </c>
      <c r="U109" s="5">
        <f>IFERROR(G109/(F109*T109),0)</f>
        <v/>
      </c>
      <c r="V109" s="5">
        <f>IFERROR(H109/G109,0)</f>
        <v/>
      </c>
      <c r="W109" s="5">
        <f>T109*U109*V109</f>
        <v/>
      </c>
      <c r="X109" s="5">
        <f>IFERROR(G109/J109,0)</f>
        <v/>
      </c>
      <c r="Y109" s="5">
        <f>IFERROR(I109/G109,0)</f>
        <v/>
      </c>
      <c r="Z109" s="6">
        <f>IFERROR(G109/P109,0)</f>
        <v/>
      </c>
      <c r="AA109" s="7">
        <f>IFERROR(Q109/G109,0)</f>
        <v/>
      </c>
      <c r="AB109" s="8">
        <f>R109+K109</f>
        <v/>
      </c>
    </row>
    <row r="110">
      <c r="A110" s="2" t="n">
        <v>106</v>
      </c>
      <c r="B110" s="4" t="n">
        <v>46075</v>
      </c>
      <c r="C110" s="2" t="inlineStr">
        <is>
          <t>Solid Dose Line 2</t>
        </is>
      </c>
      <c r="D110" s="2" t="inlineStr">
        <is>
          <t>Product B</t>
        </is>
      </c>
      <c r="E110" s="2" t="inlineStr">
        <is>
          <t>Day</t>
        </is>
      </c>
      <c r="F110" s="2" t="n">
        <v>10337</v>
      </c>
      <c r="G110" s="2" t="n">
        <v>6663.5</v>
      </c>
      <c r="H110" s="2" t="n">
        <v>6571.8</v>
      </c>
      <c r="I110" s="2" t="n">
        <v>91.7</v>
      </c>
      <c r="J110" s="2" t="n">
        <v>6842.5</v>
      </c>
      <c r="K110" s="2" t="n">
        <v>2.57</v>
      </c>
      <c r="L110" s="2" t="inlineStr">
        <is>
          <t>Process</t>
        </is>
      </c>
      <c r="M110" s="2" t="inlineStr">
        <is>
          <t>Released</t>
        </is>
      </c>
      <c r="N110" s="2" t="inlineStr">
        <is>
          <t>None</t>
        </is>
      </c>
      <c r="O110" s="2" t="n">
        <v>0</v>
      </c>
      <c r="P110" s="2" t="n">
        <v>50.3</v>
      </c>
      <c r="Q110" s="2" t="n">
        <v>3018.6</v>
      </c>
      <c r="R110" s="2" t="n">
        <v>7.67</v>
      </c>
      <c r="S110" s="5">
        <f>G110/F110</f>
        <v/>
      </c>
      <c r="T110" s="5">
        <f>MAX(0,1/K110/8)</f>
        <v/>
      </c>
      <c r="U110" s="5">
        <f>IFERROR(G110/(F110*T110),0)</f>
        <v/>
      </c>
      <c r="V110" s="5">
        <f>IFERROR(H110/G110,0)</f>
        <v/>
      </c>
      <c r="W110" s="5">
        <f>T110*U110*V110</f>
        <v/>
      </c>
      <c r="X110" s="5">
        <f>IFERROR(G110/J110,0)</f>
        <v/>
      </c>
      <c r="Y110" s="5">
        <f>IFERROR(I110/G110,0)</f>
        <v/>
      </c>
      <c r="Z110" s="6">
        <f>IFERROR(G110/P110,0)</f>
        <v/>
      </c>
      <c r="AA110" s="7">
        <f>IFERROR(Q110/G110,0)</f>
        <v/>
      </c>
      <c r="AB110" s="8">
        <f>R110+K110</f>
        <v/>
      </c>
    </row>
    <row r="111">
      <c r="A111" s="2" t="n">
        <v>107</v>
      </c>
      <c r="B111" s="4" t="n">
        <v>46076</v>
      </c>
      <c r="C111" s="2" t="inlineStr">
        <is>
          <t>Solid Dose Line 1</t>
        </is>
      </c>
      <c r="D111" s="2" t="inlineStr">
        <is>
          <t>Product A</t>
        </is>
      </c>
      <c r="E111" s="2" t="inlineStr">
        <is>
          <t>Evening</t>
        </is>
      </c>
      <c r="F111" s="2" t="n">
        <v>10690</v>
      </c>
      <c r="G111" s="2" t="n">
        <v>9142.9</v>
      </c>
      <c r="H111" s="2" t="n">
        <v>8957.4</v>
      </c>
      <c r="I111" s="2" t="n">
        <v>185.4</v>
      </c>
      <c r="J111" s="2" t="n">
        <v>9336</v>
      </c>
      <c r="K111" s="2" t="n">
        <v>0.29</v>
      </c>
      <c r="L111" s="2" t="inlineStr">
        <is>
          <t>None</t>
        </is>
      </c>
      <c r="M111" s="2" t="inlineStr">
        <is>
          <t>Released</t>
        </is>
      </c>
      <c r="N111" s="2" t="inlineStr">
        <is>
          <t>None</t>
        </is>
      </c>
      <c r="O111" s="2" t="n">
        <v>0</v>
      </c>
      <c r="P111" s="2" t="n">
        <v>39.8</v>
      </c>
      <c r="Q111" s="2" t="n">
        <v>5131.3</v>
      </c>
      <c r="R111" s="2" t="n">
        <v>7.03</v>
      </c>
      <c r="S111" s="5">
        <f>G111/F111</f>
        <v/>
      </c>
      <c r="T111" s="5">
        <f>MAX(0,1/K111/8)</f>
        <v/>
      </c>
      <c r="U111" s="5">
        <f>IFERROR(G111/(F111*T111),0)</f>
        <v/>
      </c>
      <c r="V111" s="5">
        <f>IFERROR(H111/G111,0)</f>
        <v/>
      </c>
      <c r="W111" s="5">
        <f>T111*U111*V111</f>
        <v/>
      </c>
      <c r="X111" s="5">
        <f>IFERROR(G111/J111,0)</f>
        <v/>
      </c>
      <c r="Y111" s="5">
        <f>IFERROR(I111/G111,0)</f>
        <v/>
      </c>
      <c r="Z111" s="6">
        <f>IFERROR(G111/P111,0)</f>
        <v/>
      </c>
      <c r="AA111" s="7">
        <f>IFERROR(Q111/G111,0)</f>
        <v/>
      </c>
      <c r="AB111" s="8">
        <f>R111+K111</f>
        <v/>
      </c>
    </row>
    <row r="112">
      <c r="A112" s="2" t="n">
        <v>108</v>
      </c>
      <c r="B112" s="4" t="n">
        <v>46076</v>
      </c>
      <c r="C112" s="2" t="inlineStr">
        <is>
          <t>Solid Dose Line 2</t>
        </is>
      </c>
      <c r="D112" s="2" t="inlineStr">
        <is>
          <t>Product A</t>
        </is>
      </c>
      <c r="E112" s="2" t="inlineStr">
        <is>
          <t>Evening</t>
        </is>
      </c>
      <c r="F112" s="2" t="n">
        <v>11655</v>
      </c>
      <c r="G112" s="2" t="n">
        <v>9145</v>
      </c>
      <c r="H112" s="2" t="n">
        <v>9025.6</v>
      </c>
      <c r="I112" s="2" t="n">
        <v>119.5</v>
      </c>
      <c r="J112" s="2" t="n">
        <v>9268.799999999999</v>
      </c>
      <c r="K112" s="2" t="n">
        <v>0.86</v>
      </c>
      <c r="L112" s="2" t="inlineStr">
        <is>
          <t>None</t>
        </is>
      </c>
      <c r="M112" s="2" t="inlineStr">
        <is>
          <t>Released</t>
        </is>
      </c>
      <c r="N112" s="2" t="inlineStr">
        <is>
          <t>Preventive</t>
        </is>
      </c>
      <c r="O112" s="2" t="n">
        <v>393.75</v>
      </c>
      <c r="P112" s="2" t="n">
        <v>42</v>
      </c>
      <c r="Q112" s="2" t="n">
        <v>4715.2</v>
      </c>
      <c r="R112" s="2" t="n">
        <v>6.8</v>
      </c>
      <c r="S112" s="5">
        <f>G112/F112</f>
        <v/>
      </c>
      <c r="T112" s="5">
        <f>MAX(0,1/K112/8)</f>
        <v/>
      </c>
      <c r="U112" s="5">
        <f>IFERROR(G112/(F112*T112),0)</f>
        <v/>
      </c>
      <c r="V112" s="5">
        <f>IFERROR(H112/G112,0)</f>
        <v/>
      </c>
      <c r="W112" s="5">
        <f>T112*U112*V112</f>
        <v/>
      </c>
      <c r="X112" s="5">
        <f>IFERROR(G112/J112,0)</f>
        <v/>
      </c>
      <c r="Y112" s="5">
        <f>IFERROR(I112/G112,0)</f>
        <v/>
      </c>
      <c r="Z112" s="6">
        <f>IFERROR(G112/P112,0)</f>
        <v/>
      </c>
      <c r="AA112" s="7">
        <f>IFERROR(Q112/G112,0)</f>
        <v/>
      </c>
      <c r="AB112" s="8">
        <f>R112+K112</f>
        <v/>
      </c>
    </row>
    <row r="113">
      <c r="A113" s="2" t="n">
        <v>109</v>
      </c>
      <c r="B113" s="4" t="n">
        <v>46077</v>
      </c>
      <c r="C113" s="2" t="inlineStr">
        <is>
          <t>Solid Dose Line 1</t>
        </is>
      </c>
      <c r="D113" s="2" t="inlineStr">
        <is>
          <t>Product B</t>
        </is>
      </c>
      <c r="E113" s="2" t="inlineStr">
        <is>
          <t>Evening</t>
        </is>
      </c>
      <c r="F113" s="2" t="n">
        <v>10194</v>
      </c>
      <c r="G113" s="2" t="n">
        <v>9075.9</v>
      </c>
      <c r="H113" s="2" t="n">
        <v>9039.700000000001</v>
      </c>
      <c r="I113" s="2" t="n">
        <v>36.2</v>
      </c>
      <c r="J113" s="2" t="n">
        <v>9277.1</v>
      </c>
      <c r="K113" s="2" t="n">
        <v>0.61</v>
      </c>
      <c r="L113" s="2" t="inlineStr">
        <is>
          <t>None</t>
        </is>
      </c>
      <c r="M113" s="2" t="inlineStr">
        <is>
          <t>Released</t>
        </is>
      </c>
      <c r="N113" s="2" t="inlineStr">
        <is>
          <t>Preventive</t>
        </is>
      </c>
      <c r="O113" s="2" t="n">
        <v>158.54</v>
      </c>
      <c r="P113" s="2" t="n">
        <v>37</v>
      </c>
      <c r="Q113" s="2" t="n">
        <v>4696.3</v>
      </c>
      <c r="R113" s="2" t="n">
        <v>7.88</v>
      </c>
      <c r="S113" s="5">
        <f>G113/F113</f>
        <v/>
      </c>
      <c r="T113" s="5">
        <f>MAX(0,1/K113/8)</f>
        <v/>
      </c>
      <c r="U113" s="5">
        <f>IFERROR(G113/(F113*T113),0)</f>
        <v/>
      </c>
      <c r="V113" s="5">
        <f>IFERROR(H113/G113,0)</f>
        <v/>
      </c>
      <c r="W113" s="5">
        <f>T113*U113*V113</f>
        <v/>
      </c>
      <c r="X113" s="5">
        <f>IFERROR(G113/J113,0)</f>
        <v/>
      </c>
      <c r="Y113" s="5">
        <f>IFERROR(I113/G113,0)</f>
        <v/>
      </c>
      <c r="Z113" s="6">
        <f>IFERROR(G113/P113,0)</f>
        <v/>
      </c>
      <c r="AA113" s="7">
        <f>IFERROR(Q113/G113,0)</f>
        <v/>
      </c>
      <c r="AB113" s="8">
        <f>R113+K113</f>
        <v/>
      </c>
    </row>
    <row r="114">
      <c r="A114" s="2" t="n">
        <v>110</v>
      </c>
      <c r="B114" s="4" t="n">
        <v>46077</v>
      </c>
      <c r="C114" s="2" t="inlineStr">
        <is>
          <t>Solid Dose Line 2</t>
        </is>
      </c>
      <c r="D114" s="2" t="inlineStr">
        <is>
          <t>Product B</t>
        </is>
      </c>
      <c r="E114" s="2" t="inlineStr">
        <is>
          <t>Day</t>
        </is>
      </c>
      <c r="F114" s="2" t="n">
        <v>11883</v>
      </c>
      <c r="G114" s="2" t="n">
        <v>10925</v>
      </c>
      <c r="H114" s="2" t="n">
        <v>10857.5</v>
      </c>
      <c r="I114" s="2" t="n">
        <v>67.40000000000001</v>
      </c>
      <c r="J114" s="2" t="n">
        <v>11067.8</v>
      </c>
      <c r="K114" s="2" t="n">
        <v>0</v>
      </c>
      <c r="L114" s="2" t="inlineStr">
        <is>
          <t>None</t>
        </is>
      </c>
      <c r="M114" s="2" t="inlineStr">
        <is>
          <t>Released</t>
        </is>
      </c>
      <c r="N114" s="2" t="inlineStr">
        <is>
          <t>Preventive</t>
        </is>
      </c>
      <c r="O114" s="2" t="n">
        <v>213.04</v>
      </c>
      <c r="P114" s="2" t="n">
        <v>42.3</v>
      </c>
      <c r="Q114" s="2" t="n">
        <v>5203.4</v>
      </c>
      <c r="R114" s="2" t="n">
        <v>7.6</v>
      </c>
      <c r="S114" s="5">
        <f>G114/F114</f>
        <v/>
      </c>
      <c r="T114" s="5">
        <f>MAX(0,1/K114/8)</f>
        <v/>
      </c>
      <c r="U114" s="5">
        <f>IFERROR(G114/(F114*T114),0)</f>
        <v/>
      </c>
      <c r="V114" s="5">
        <f>IFERROR(H114/G114,0)</f>
        <v/>
      </c>
      <c r="W114" s="5">
        <f>T114*U114*V114</f>
        <v/>
      </c>
      <c r="X114" s="5">
        <f>IFERROR(G114/J114,0)</f>
        <v/>
      </c>
      <c r="Y114" s="5">
        <f>IFERROR(I114/G114,0)</f>
        <v/>
      </c>
      <c r="Z114" s="6">
        <f>IFERROR(G114/P114,0)</f>
        <v/>
      </c>
      <c r="AA114" s="7">
        <f>IFERROR(Q114/G114,0)</f>
        <v/>
      </c>
      <c r="AB114" s="8">
        <f>R114+K114</f>
        <v/>
      </c>
    </row>
    <row r="115">
      <c r="A115" s="2" t="n">
        <v>111</v>
      </c>
      <c r="B115" s="4" t="n">
        <v>46078</v>
      </c>
      <c r="C115" s="2" t="inlineStr">
        <is>
          <t>Solid Dose Line 1</t>
        </is>
      </c>
      <c r="D115" s="2" t="inlineStr">
        <is>
          <t>Product C</t>
        </is>
      </c>
      <c r="E115" s="2" t="inlineStr">
        <is>
          <t>Night</t>
        </is>
      </c>
      <c r="F115" s="2" t="n">
        <v>9909</v>
      </c>
      <c r="G115" s="2" t="n">
        <v>8168.5</v>
      </c>
      <c r="H115" s="2" t="n">
        <v>8080.4</v>
      </c>
      <c r="I115" s="2" t="n">
        <v>88.09999999999999</v>
      </c>
      <c r="J115" s="2" t="n">
        <v>8191.1</v>
      </c>
      <c r="K115" s="2" t="n">
        <v>0.8</v>
      </c>
      <c r="L115" s="2" t="inlineStr">
        <is>
          <t>None</t>
        </is>
      </c>
      <c r="M115" s="2" t="inlineStr">
        <is>
          <t>Released</t>
        </is>
      </c>
      <c r="N115" s="2" t="inlineStr">
        <is>
          <t>None</t>
        </is>
      </c>
      <c r="O115" s="2" t="n">
        <v>0</v>
      </c>
      <c r="P115" s="2" t="n">
        <v>33.1</v>
      </c>
      <c r="Q115" s="2" t="n">
        <v>3991</v>
      </c>
      <c r="R115" s="2" t="n">
        <v>7.49</v>
      </c>
      <c r="S115" s="5">
        <f>G115/F115</f>
        <v/>
      </c>
      <c r="T115" s="5">
        <f>MAX(0,1/K115/8)</f>
        <v/>
      </c>
      <c r="U115" s="5">
        <f>IFERROR(G115/(F115*T115),0)</f>
        <v/>
      </c>
      <c r="V115" s="5">
        <f>IFERROR(H115/G115,0)</f>
        <v/>
      </c>
      <c r="W115" s="5">
        <f>T115*U115*V115</f>
        <v/>
      </c>
      <c r="X115" s="5">
        <f>IFERROR(G115/J115,0)</f>
        <v/>
      </c>
      <c r="Y115" s="5">
        <f>IFERROR(I115/G115,0)</f>
        <v/>
      </c>
      <c r="Z115" s="6">
        <f>IFERROR(G115/P115,0)</f>
        <v/>
      </c>
      <c r="AA115" s="7">
        <f>IFERROR(Q115/G115,0)</f>
        <v/>
      </c>
      <c r="AB115" s="8">
        <f>R115+K115</f>
        <v/>
      </c>
    </row>
    <row r="116">
      <c r="A116" s="2" t="n">
        <v>112</v>
      </c>
      <c r="B116" s="4" t="n">
        <v>46078</v>
      </c>
      <c r="C116" s="2" t="inlineStr">
        <is>
          <t>Solid Dose Line 2</t>
        </is>
      </c>
      <c r="D116" s="2" t="inlineStr">
        <is>
          <t>Product B</t>
        </is>
      </c>
      <c r="E116" s="2" t="inlineStr">
        <is>
          <t>Evening</t>
        </is>
      </c>
      <c r="F116" s="2" t="n">
        <v>11645</v>
      </c>
      <c r="G116" s="2" t="n">
        <v>9896.4</v>
      </c>
      <c r="H116" s="2" t="n">
        <v>9812.200000000001</v>
      </c>
      <c r="I116" s="2" t="n">
        <v>84.2</v>
      </c>
      <c r="J116" s="2" t="n">
        <v>10189.9</v>
      </c>
      <c r="K116" s="2" t="n">
        <v>0.9399999999999999</v>
      </c>
      <c r="L116" s="2" t="inlineStr">
        <is>
          <t>None</t>
        </is>
      </c>
      <c r="M116" s="2" t="inlineStr">
        <is>
          <t>Released</t>
        </is>
      </c>
      <c r="N116" s="2" t="inlineStr">
        <is>
          <t>None</t>
        </is>
      </c>
      <c r="O116" s="2" t="n">
        <v>0</v>
      </c>
      <c r="P116" s="2" t="n">
        <v>40.2</v>
      </c>
      <c r="Q116" s="2" t="n">
        <v>5221.5</v>
      </c>
      <c r="R116" s="2" t="n">
        <v>7.88</v>
      </c>
      <c r="S116" s="5">
        <f>G116/F116</f>
        <v/>
      </c>
      <c r="T116" s="5">
        <f>MAX(0,1/K116/8)</f>
        <v/>
      </c>
      <c r="U116" s="5">
        <f>IFERROR(G116/(F116*T116),0)</f>
        <v/>
      </c>
      <c r="V116" s="5">
        <f>IFERROR(H116/G116,0)</f>
        <v/>
      </c>
      <c r="W116" s="5">
        <f>T116*U116*V116</f>
        <v/>
      </c>
      <c r="X116" s="5">
        <f>IFERROR(G116/J116,0)</f>
        <v/>
      </c>
      <c r="Y116" s="5">
        <f>IFERROR(I116/G116,0)</f>
        <v/>
      </c>
      <c r="Z116" s="6">
        <f>IFERROR(G116/P116,0)</f>
        <v/>
      </c>
      <c r="AA116" s="7">
        <f>IFERROR(Q116/G116,0)</f>
        <v/>
      </c>
      <c r="AB116" s="8">
        <f>R116+K116</f>
        <v/>
      </c>
    </row>
    <row r="117">
      <c r="A117" s="2" t="n">
        <v>113</v>
      </c>
      <c r="B117" s="4" t="n">
        <v>46079</v>
      </c>
      <c r="C117" s="2" t="inlineStr">
        <is>
          <t>Solid Dose Line 1</t>
        </is>
      </c>
      <c r="D117" s="2" t="inlineStr">
        <is>
          <t>Product A</t>
        </is>
      </c>
      <c r="E117" s="2" t="inlineStr">
        <is>
          <t>Day</t>
        </is>
      </c>
      <c r="F117" s="2" t="n">
        <v>11071</v>
      </c>
      <c r="G117" s="2" t="n">
        <v>8111.7</v>
      </c>
      <c r="H117" s="2" t="n">
        <v>8032.7</v>
      </c>
      <c r="I117" s="2" t="n">
        <v>79.09999999999999</v>
      </c>
      <c r="J117" s="2" t="n">
        <v>8202.6</v>
      </c>
      <c r="K117" s="2" t="n">
        <v>1.57</v>
      </c>
      <c r="L117" s="2" t="inlineStr">
        <is>
          <t>Documentation</t>
        </is>
      </c>
      <c r="M117" s="2" t="inlineStr">
        <is>
          <t>Released</t>
        </is>
      </c>
      <c r="N117" s="2" t="inlineStr">
        <is>
          <t>None</t>
        </is>
      </c>
      <c r="O117" s="2" t="n">
        <v>0</v>
      </c>
      <c r="P117" s="2" t="n">
        <v>51.8</v>
      </c>
      <c r="Q117" s="2" t="n">
        <v>3981.5</v>
      </c>
      <c r="R117" s="2" t="n">
        <v>7.12</v>
      </c>
      <c r="S117" s="5">
        <f>G117/F117</f>
        <v/>
      </c>
      <c r="T117" s="5">
        <f>MAX(0,1/K117/8)</f>
        <v/>
      </c>
      <c r="U117" s="5">
        <f>IFERROR(G117/(F117*T117),0)</f>
        <v/>
      </c>
      <c r="V117" s="5">
        <f>IFERROR(H117/G117,0)</f>
        <v/>
      </c>
      <c r="W117" s="5">
        <f>T117*U117*V117</f>
        <v/>
      </c>
      <c r="X117" s="5">
        <f>IFERROR(G117/J117,0)</f>
        <v/>
      </c>
      <c r="Y117" s="5">
        <f>IFERROR(I117/G117,0)</f>
        <v/>
      </c>
      <c r="Z117" s="6">
        <f>IFERROR(G117/P117,0)</f>
        <v/>
      </c>
      <c r="AA117" s="7">
        <f>IFERROR(Q117/G117,0)</f>
        <v/>
      </c>
      <c r="AB117" s="8">
        <f>R117+K117</f>
        <v/>
      </c>
    </row>
    <row r="118">
      <c r="A118" s="2" t="n">
        <v>114</v>
      </c>
      <c r="B118" s="4" t="n">
        <v>46079</v>
      </c>
      <c r="C118" s="2" t="inlineStr">
        <is>
          <t>Solid Dose Line 2</t>
        </is>
      </c>
      <c r="D118" s="2" t="inlineStr">
        <is>
          <t>Product A</t>
        </is>
      </c>
      <c r="E118" s="2" t="inlineStr">
        <is>
          <t>Day</t>
        </is>
      </c>
      <c r="F118" s="2" t="n">
        <v>11191</v>
      </c>
      <c r="G118" s="2" t="n">
        <v>8107.8</v>
      </c>
      <c r="H118" s="2" t="n">
        <v>8000.8</v>
      </c>
      <c r="I118" s="2" t="n">
        <v>107</v>
      </c>
      <c r="J118" s="2" t="n">
        <v>8217.9</v>
      </c>
      <c r="K118" s="2" t="n">
        <v>1.73</v>
      </c>
      <c r="L118" s="2" t="inlineStr">
        <is>
          <t>Material</t>
        </is>
      </c>
      <c r="M118" s="2" t="inlineStr">
        <is>
          <t>Released</t>
        </is>
      </c>
      <c r="N118" s="2" t="inlineStr">
        <is>
          <t>Corrective</t>
        </is>
      </c>
      <c r="O118" s="2" t="n">
        <v>414.14</v>
      </c>
      <c r="P118" s="2" t="n">
        <v>38.2</v>
      </c>
      <c r="Q118" s="2" t="n">
        <v>4379.9</v>
      </c>
      <c r="R118" s="2" t="n">
        <v>6.79</v>
      </c>
      <c r="S118" s="5">
        <f>G118/F118</f>
        <v/>
      </c>
      <c r="T118" s="5">
        <f>MAX(0,1/K118/8)</f>
        <v/>
      </c>
      <c r="U118" s="5">
        <f>IFERROR(G118/(F118*T118),0)</f>
        <v/>
      </c>
      <c r="V118" s="5">
        <f>IFERROR(H118/G118,0)</f>
        <v/>
      </c>
      <c r="W118" s="5">
        <f>T118*U118*V118</f>
        <v/>
      </c>
      <c r="X118" s="5">
        <f>IFERROR(G118/J118,0)</f>
        <v/>
      </c>
      <c r="Y118" s="5">
        <f>IFERROR(I118/G118,0)</f>
        <v/>
      </c>
      <c r="Z118" s="6">
        <f>IFERROR(G118/P118,0)</f>
        <v/>
      </c>
      <c r="AA118" s="7">
        <f>IFERROR(Q118/G118,0)</f>
        <v/>
      </c>
      <c r="AB118" s="8">
        <f>R118+K118</f>
        <v/>
      </c>
    </row>
    <row r="119">
      <c r="A119" s="2" t="n">
        <v>115</v>
      </c>
      <c r="B119" s="4" t="n">
        <v>46080</v>
      </c>
      <c r="C119" s="2" t="inlineStr">
        <is>
          <t>Solid Dose Line 1</t>
        </is>
      </c>
      <c r="D119" s="2" t="inlineStr">
        <is>
          <t>Product C</t>
        </is>
      </c>
      <c r="E119" s="2" t="inlineStr">
        <is>
          <t>Day</t>
        </is>
      </c>
      <c r="F119" s="2" t="n">
        <v>9622</v>
      </c>
      <c r="G119" s="2" t="n">
        <v>5753</v>
      </c>
      <c r="H119" s="2" t="n">
        <v>5716</v>
      </c>
      <c r="I119" s="2" t="n">
        <v>37</v>
      </c>
      <c r="J119" s="2" t="n">
        <v>5891.3</v>
      </c>
      <c r="K119" s="2" t="n">
        <v>2.48</v>
      </c>
      <c r="L119" s="2" t="inlineStr">
        <is>
          <t>None</t>
        </is>
      </c>
      <c r="M119" s="2" t="inlineStr">
        <is>
          <t>Released</t>
        </is>
      </c>
      <c r="N119" s="2" t="inlineStr">
        <is>
          <t>None</t>
        </is>
      </c>
      <c r="O119" s="2" t="n">
        <v>0</v>
      </c>
      <c r="P119" s="2" t="n">
        <v>46.3</v>
      </c>
      <c r="Q119" s="2" t="n">
        <v>3038.3</v>
      </c>
      <c r="R119" s="2" t="n">
        <v>6.78</v>
      </c>
      <c r="S119" s="5">
        <f>G119/F119</f>
        <v/>
      </c>
      <c r="T119" s="5">
        <f>MAX(0,1/K119/8)</f>
        <v/>
      </c>
      <c r="U119" s="5">
        <f>IFERROR(G119/(F119*T119),0)</f>
        <v/>
      </c>
      <c r="V119" s="5">
        <f>IFERROR(H119/G119,0)</f>
        <v/>
      </c>
      <c r="W119" s="5">
        <f>T119*U119*V119</f>
        <v/>
      </c>
      <c r="X119" s="5">
        <f>IFERROR(G119/J119,0)</f>
        <v/>
      </c>
      <c r="Y119" s="5">
        <f>IFERROR(I119/G119,0)</f>
        <v/>
      </c>
      <c r="Z119" s="6">
        <f>IFERROR(G119/P119,0)</f>
        <v/>
      </c>
      <c r="AA119" s="7">
        <f>IFERROR(Q119/G119,0)</f>
        <v/>
      </c>
      <c r="AB119" s="8">
        <f>R119+K119</f>
        <v/>
      </c>
    </row>
    <row r="120">
      <c r="A120" s="2" t="n">
        <v>116</v>
      </c>
      <c r="B120" s="4" t="n">
        <v>46080</v>
      </c>
      <c r="C120" s="2" t="inlineStr">
        <is>
          <t>Solid Dose Line 2</t>
        </is>
      </c>
      <c r="D120" s="2" t="inlineStr">
        <is>
          <t>Product C</t>
        </is>
      </c>
      <c r="E120" s="2" t="inlineStr">
        <is>
          <t>Evening</t>
        </is>
      </c>
      <c r="F120" s="2" t="n">
        <v>11600</v>
      </c>
      <c r="G120" s="2" t="n">
        <v>7289.5</v>
      </c>
      <c r="H120" s="2" t="n">
        <v>7196.1</v>
      </c>
      <c r="I120" s="2" t="n">
        <v>93.40000000000001</v>
      </c>
      <c r="J120" s="2" t="n">
        <v>7423.4</v>
      </c>
      <c r="K120" s="2" t="n">
        <v>4.56</v>
      </c>
      <c r="L120" s="2" t="inlineStr">
        <is>
          <t>Equipment</t>
        </is>
      </c>
      <c r="M120" s="2" t="inlineStr">
        <is>
          <t>Released</t>
        </is>
      </c>
      <c r="N120" s="2" t="inlineStr">
        <is>
          <t>Preventive</t>
        </is>
      </c>
      <c r="O120" s="2" t="n">
        <v>153.92</v>
      </c>
      <c r="P120" s="2" t="n">
        <v>44.4</v>
      </c>
      <c r="Q120" s="2" t="n">
        <v>4151.3</v>
      </c>
      <c r="R120" s="2" t="n">
        <v>7.3</v>
      </c>
      <c r="S120" s="5">
        <f>G120/F120</f>
        <v/>
      </c>
      <c r="T120" s="5">
        <f>MAX(0,1/K120/8)</f>
        <v/>
      </c>
      <c r="U120" s="5">
        <f>IFERROR(G120/(F120*T120),0)</f>
        <v/>
      </c>
      <c r="V120" s="5">
        <f>IFERROR(H120/G120,0)</f>
        <v/>
      </c>
      <c r="W120" s="5">
        <f>T120*U120*V120</f>
        <v/>
      </c>
      <c r="X120" s="5">
        <f>IFERROR(G120/J120,0)</f>
        <v/>
      </c>
      <c r="Y120" s="5">
        <f>IFERROR(I120/G120,0)</f>
        <v/>
      </c>
      <c r="Z120" s="6">
        <f>IFERROR(G120/P120,0)</f>
        <v/>
      </c>
      <c r="AA120" s="7">
        <f>IFERROR(Q120/G120,0)</f>
        <v/>
      </c>
      <c r="AB120" s="8">
        <f>R120+K120</f>
        <v/>
      </c>
    </row>
    <row r="121">
      <c r="A121" s="2" t="n">
        <v>117</v>
      </c>
      <c r="B121" s="4" t="n">
        <v>46081</v>
      </c>
      <c r="C121" s="2" t="inlineStr">
        <is>
          <t>Solid Dose Line 1</t>
        </is>
      </c>
      <c r="D121" s="2" t="inlineStr">
        <is>
          <t>Product B</t>
        </is>
      </c>
      <c r="E121" s="2" t="inlineStr">
        <is>
          <t>Day</t>
        </is>
      </c>
      <c r="F121" s="2" t="n">
        <v>9852</v>
      </c>
      <c r="G121" s="2" t="n">
        <v>9065.700000000001</v>
      </c>
      <c r="H121" s="2" t="n">
        <v>8915.299999999999</v>
      </c>
      <c r="I121" s="2" t="n">
        <v>150.4</v>
      </c>
      <c r="J121" s="2" t="n">
        <v>9086.4</v>
      </c>
      <c r="K121" s="2" t="n">
        <v>0</v>
      </c>
      <c r="L121" s="2" t="inlineStr">
        <is>
          <t>None</t>
        </is>
      </c>
      <c r="M121" s="2" t="inlineStr">
        <is>
          <t>Released</t>
        </is>
      </c>
      <c r="N121" s="2" t="inlineStr">
        <is>
          <t>None</t>
        </is>
      </c>
      <c r="O121" s="2" t="n">
        <v>0</v>
      </c>
      <c r="P121" s="2" t="n">
        <v>36.4</v>
      </c>
      <c r="Q121" s="2" t="n">
        <v>4857.1</v>
      </c>
      <c r="R121" s="2" t="n">
        <v>7.15</v>
      </c>
      <c r="S121" s="5">
        <f>G121/F121</f>
        <v/>
      </c>
      <c r="T121" s="5">
        <f>MAX(0,1/K121/8)</f>
        <v/>
      </c>
      <c r="U121" s="5">
        <f>IFERROR(G121/(F121*T121),0)</f>
        <v/>
      </c>
      <c r="V121" s="5">
        <f>IFERROR(H121/G121,0)</f>
        <v/>
      </c>
      <c r="W121" s="5">
        <f>T121*U121*V121</f>
        <v/>
      </c>
      <c r="X121" s="5">
        <f>IFERROR(G121/J121,0)</f>
        <v/>
      </c>
      <c r="Y121" s="5">
        <f>IFERROR(I121/G121,0)</f>
        <v/>
      </c>
      <c r="Z121" s="6">
        <f>IFERROR(G121/P121,0)</f>
        <v/>
      </c>
      <c r="AA121" s="7">
        <f>IFERROR(Q121/G121,0)</f>
        <v/>
      </c>
      <c r="AB121" s="8">
        <f>R121+K121</f>
        <v/>
      </c>
    </row>
    <row r="122">
      <c r="A122" s="2" t="n">
        <v>118</v>
      </c>
      <c r="B122" s="4" t="n">
        <v>46081</v>
      </c>
      <c r="C122" s="2" t="inlineStr">
        <is>
          <t>Solid Dose Line 2</t>
        </is>
      </c>
      <c r="D122" s="2" t="inlineStr">
        <is>
          <t>Product B</t>
        </is>
      </c>
      <c r="E122" s="2" t="inlineStr">
        <is>
          <t>Day</t>
        </is>
      </c>
      <c r="F122" s="2" t="n">
        <v>10276</v>
      </c>
      <c r="G122" s="2" t="n">
        <v>8038.6</v>
      </c>
      <c r="H122" s="2" t="n">
        <v>8003.6</v>
      </c>
      <c r="I122" s="2" t="n">
        <v>35</v>
      </c>
      <c r="J122" s="2" t="n">
        <v>8207.5</v>
      </c>
      <c r="K122" s="2" t="n">
        <v>1.34</v>
      </c>
      <c r="L122" s="2" t="inlineStr">
        <is>
          <t>None</t>
        </is>
      </c>
      <c r="M122" s="2" t="inlineStr">
        <is>
          <t>Released</t>
        </is>
      </c>
      <c r="N122" s="2" t="inlineStr">
        <is>
          <t>None</t>
        </is>
      </c>
      <c r="O122" s="2" t="n">
        <v>0</v>
      </c>
      <c r="P122" s="2" t="n">
        <v>44.6</v>
      </c>
      <c r="Q122" s="2" t="n">
        <v>4260</v>
      </c>
      <c r="R122" s="2" t="n">
        <v>7.32</v>
      </c>
      <c r="S122" s="5">
        <f>G122/F122</f>
        <v/>
      </c>
      <c r="T122" s="5">
        <f>MAX(0,1/K122/8)</f>
        <v/>
      </c>
      <c r="U122" s="5">
        <f>IFERROR(G122/(F122*T122),0)</f>
        <v/>
      </c>
      <c r="V122" s="5">
        <f>IFERROR(H122/G122,0)</f>
        <v/>
      </c>
      <c r="W122" s="5">
        <f>T122*U122*V122</f>
        <v/>
      </c>
      <c r="X122" s="5">
        <f>IFERROR(G122/J122,0)</f>
        <v/>
      </c>
      <c r="Y122" s="5">
        <f>IFERROR(I122/G122,0)</f>
        <v/>
      </c>
      <c r="Z122" s="6">
        <f>IFERROR(G122/P122,0)</f>
        <v/>
      </c>
      <c r="AA122" s="7">
        <f>IFERROR(Q122/G122,0)</f>
        <v/>
      </c>
      <c r="AB122" s="8">
        <f>R122+K122</f>
        <v/>
      </c>
    </row>
    <row r="123">
      <c r="A123" s="2" t="n">
        <v>119</v>
      </c>
      <c r="B123" s="4" t="n">
        <v>46082</v>
      </c>
      <c r="C123" s="2" t="inlineStr">
        <is>
          <t>Solid Dose Line 1</t>
        </is>
      </c>
      <c r="D123" s="2" t="inlineStr">
        <is>
          <t>Product B</t>
        </is>
      </c>
      <c r="E123" s="2" t="inlineStr">
        <is>
          <t>Day</t>
        </is>
      </c>
      <c r="F123" s="2" t="n">
        <v>11948</v>
      </c>
      <c r="G123" s="2" t="n">
        <v>10825.8</v>
      </c>
      <c r="H123" s="2" t="n">
        <v>10671.5</v>
      </c>
      <c r="I123" s="2" t="n">
        <v>154.3</v>
      </c>
      <c r="J123" s="2" t="n">
        <v>10955.3</v>
      </c>
      <c r="K123" s="2" t="n">
        <v>0.15</v>
      </c>
      <c r="L123" s="2" t="inlineStr">
        <is>
          <t>None</t>
        </is>
      </c>
      <c r="M123" s="2" t="inlineStr">
        <is>
          <t>Released</t>
        </is>
      </c>
      <c r="N123" s="2" t="inlineStr">
        <is>
          <t>Corrective</t>
        </is>
      </c>
      <c r="O123" s="2" t="n">
        <v>428.71</v>
      </c>
      <c r="P123" s="2" t="n">
        <v>37.9</v>
      </c>
      <c r="Q123" s="2" t="n">
        <v>5876.2</v>
      </c>
      <c r="R123" s="2" t="n">
        <v>7.46</v>
      </c>
      <c r="S123" s="5">
        <f>G123/F123</f>
        <v/>
      </c>
      <c r="T123" s="5">
        <f>MAX(0,1/K123/8)</f>
        <v/>
      </c>
      <c r="U123" s="5">
        <f>IFERROR(G123/(F123*T123),0)</f>
        <v/>
      </c>
      <c r="V123" s="5">
        <f>IFERROR(H123/G123,0)</f>
        <v/>
      </c>
      <c r="W123" s="5">
        <f>T123*U123*V123</f>
        <v/>
      </c>
      <c r="X123" s="5">
        <f>IFERROR(G123/J123,0)</f>
        <v/>
      </c>
      <c r="Y123" s="5">
        <f>IFERROR(I123/G123,0)</f>
        <v/>
      </c>
      <c r="Z123" s="6">
        <f>IFERROR(G123/P123,0)</f>
        <v/>
      </c>
      <c r="AA123" s="7">
        <f>IFERROR(Q123/G123,0)</f>
        <v/>
      </c>
      <c r="AB123" s="8">
        <f>R123+K123</f>
        <v/>
      </c>
    </row>
    <row r="124">
      <c r="A124" s="2" t="n">
        <v>120</v>
      </c>
      <c r="B124" s="4" t="n">
        <v>46082</v>
      </c>
      <c r="C124" s="2" t="inlineStr">
        <is>
          <t>Solid Dose Line 2</t>
        </is>
      </c>
      <c r="D124" s="2" t="inlineStr">
        <is>
          <t>Product A</t>
        </is>
      </c>
      <c r="E124" s="2" t="inlineStr">
        <is>
          <t>Night</t>
        </is>
      </c>
      <c r="F124" s="2" t="n">
        <v>11148</v>
      </c>
      <c r="G124" s="2" t="n">
        <v>8022.6</v>
      </c>
      <c r="H124" s="2" t="n">
        <v>7954.9</v>
      </c>
      <c r="I124" s="2" t="n">
        <v>67.7</v>
      </c>
      <c r="J124" s="2" t="n">
        <v>8066.9</v>
      </c>
      <c r="K124" s="2" t="n">
        <v>1.59</v>
      </c>
      <c r="L124" s="2" t="inlineStr">
        <is>
          <t>None</t>
        </is>
      </c>
      <c r="M124" s="2" t="inlineStr">
        <is>
          <t>Released</t>
        </is>
      </c>
      <c r="N124" s="2" t="inlineStr">
        <is>
          <t>None</t>
        </is>
      </c>
      <c r="O124" s="2" t="n">
        <v>0</v>
      </c>
      <c r="P124" s="2" t="n">
        <v>47.4</v>
      </c>
      <c r="Q124" s="2" t="n">
        <v>4038.9</v>
      </c>
      <c r="R124" s="2" t="n">
        <v>7.78</v>
      </c>
      <c r="S124" s="5">
        <f>G124/F124</f>
        <v/>
      </c>
      <c r="T124" s="5">
        <f>MAX(0,1/K124/8)</f>
        <v/>
      </c>
      <c r="U124" s="5">
        <f>IFERROR(G124/(F124*T124),0)</f>
        <v/>
      </c>
      <c r="V124" s="5">
        <f>IFERROR(H124/G124,0)</f>
        <v/>
      </c>
      <c r="W124" s="5">
        <f>T124*U124*V124</f>
        <v/>
      </c>
      <c r="X124" s="5">
        <f>IFERROR(G124/J124,0)</f>
        <v/>
      </c>
      <c r="Y124" s="5">
        <f>IFERROR(I124/G124,0)</f>
        <v/>
      </c>
      <c r="Z124" s="6">
        <f>IFERROR(G124/P124,0)</f>
        <v/>
      </c>
      <c r="AA124" s="7">
        <f>IFERROR(Q124/G124,0)</f>
        <v/>
      </c>
      <c r="AB124" s="8">
        <f>R124+K124</f>
        <v/>
      </c>
    </row>
    <row r="125">
      <c r="A125" s="2" t="n">
        <v>121</v>
      </c>
      <c r="B125" s="4" t="n">
        <v>46083</v>
      </c>
      <c r="C125" s="2" t="inlineStr">
        <is>
          <t>Solid Dose Line 1</t>
        </is>
      </c>
      <c r="D125" s="2" t="inlineStr">
        <is>
          <t>Product B</t>
        </is>
      </c>
      <c r="E125" s="2" t="inlineStr">
        <is>
          <t>Evening</t>
        </is>
      </c>
      <c r="F125" s="2" t="n">
        <v>11201</v>
      </c>
      <c r="G125" s="2" t="n">
        <v>9335.200000000001</v>
      </c>
      <c r="H125" s="2" t="n">
        <v>9237.700000000001</v>
      </c>
      <c r="I125" s="2" t="n">
        <v>97.5</v>
      </c>
      <c r="J125" s="2" t="n">
        <v>9517.799999999999</v>
      </c>
      <c r="K125" s="2" t="n">
        <v>0.19</v>
      </c>
      <c r="L125" s="2" t="inlineStr">
        <is>
          <t>None</t>
        </is>
      </c>
      <c r="M125" s="2" t="inlineStr">
        <is>
          <t>Released</t>
        </is>
      </c>
      <c r="N125" s="2" t="inlineStr">
        <is>
          <t>None</t>
        </is>
      </c>
      <c r="O125" s="2" t="n">
        <v>0</v>
      </c>
      <c r="P125" s="2" t="n">
        <v>51.4</v>
      </c>
      <c r="Q125" s="2" t="n">
        <v>4676.2</v>
      </c>
      <c r="R125" s="2" t="n">
        <v>7.34</v>
      </c>
      <c r="S125" s="5">
        <f>G125/F125</f>
        <v/>
      </c>
      <c r="T125" s="5">
        <f>MAX(0,1/K125/8)</f>
        <v/>
      </c>
      <c r="U125" s="5">
        <f>IFERROR(G125/(F125*T125),0)</f>
        <v/>
      </c>
      <c r="V125" s="5">
        <f>IFERROR(H125/G125,0)</f>
        <v/>
      </c>
      <c r="W125" s="5">
        <f>T125*U125*V125</f>
        <v/>
      </c>
      <c r="X125" s="5">
        <f>IFERROR(G125/J125,0)</f>
        <v/>
      </c>
      <c r="Y125" s="5">
        <f>IFERROR(I125/G125,0)</f>
        <v/>
      </c>
      <c r="Z125" s="6">
        <f>IFERROR(G125/P125,0)</f>
        <v/>
      </c>
      <c r="AA125" s="7">
        <f>IFERROR(Q125/G125,0)</f>
        <v/>
      </c>
      <c r="AB125" s="8">
        <f>R125+K125</f>
        <v/>
      </c>
    </row>
    <row r="126">
      <c r="A126" s="2" t="n">
        <v>122</v>
      </c>
      <c r="B126" s="4" t="n">
        <v>46083</v>
      </c>
      <c r="C126" s="2" t="inlineStr">
        <is>
          <t>Solid Dose Line 2</t>
        </is>
      </c>
      <c r="D126" s="2" t="inlineStr">
        <is>
          <t>Product A</t>
        </is>
      </c>
      <c r="E126" s="2" t="inlineStr">
        <is>
          <t>Evening</t>
        </is>
      </c>
      <c r="F126" s="2" t="n">
        <v>10974</v>
      </c>
      <c r="G126" s="2" t="n">
        <v>7082.6</v>
      </c>
      <c r="H126" s="2" t="n">
        <v>7007.5</v>
      </c>
      <c r="I126" s="2" t="n">
        <v>75.09999999999999</v>
      </c>
      <c r="J126" s="2" t="n">
        <v>7137.3</v>
      </c>
      <c r="K126" s="2" t="n">
        <v>2.78</v>
      </c>
      <c r="L126" s="2" t="inlineStr">
        <is>
          <t>None</t>
        </is>
      </c>
      <c r="M126" s="2" t="inlineStr">
        <is>
          <t>Released</t>
        </is>
      </c>
      <c r="N126" s="2" t="inlineStr">
        <is>
          <t>None</t>
        </is>
      </c>
      <c r="O126" s="2" t="n">
        <v>0</v>
      </c>
      <c r="P126" s="2" t="n">
        <v>33.9</v>
      </c>
      <c r="Q126" s="2" t="n">
        <v>3362.3</v>
      </c>
      <c r="R126" s="2" t="n">
        <v>7.74</v>
      </c>
      <c r="S126" s="5">
        <f>G126/F126</f>
        <v/>
      </c>
      <c r="T126" s="5">
        <f>MAX(0,1/K126/8)</f>
        <v/>
      </c>
      <c r="U126" s="5">
        <f>IFERROR(G126/(F126*T126),0)</f>
        <v/>
      </c>
      <c r="V126" s="5">
        <f>IFERROR(H126/G126,0)</f>
        <v/>
      </c>
      <c r="W126" s="5">
        <f>T126*U126*V126</f>
        <v/>
      </c>
      <c r="X126" s="5">
        <f>IFERROR(G126/J126,0)</f>
        <v/>
      </c>
      <c r="Y126" s="5">
        <f>IFERROR(I126/G126,0)</f>
        <v/>
      </c>
      <c r="Z126" s="6">
        <f>IFERROR(G126/P126,0)</f>
        <v/>
      </c>
      <c r="AA126" s="7">
        <f>IFERROR(Q126/G126,0)</f>
        <v/>
      </c>
      <c r="AB126" s="8">
        <f>R126+K126</f>
        <v/>
      </c>
    </row>
    <row r="127">
      <c r="A127" s="2" t="n">
        <v>123</v>
      </c>
      <c r="B127" s="4" t="n">
        <v>46084</v>
      </c>
      <c r="C127" s="2" t="inlineStr">
        <is>
          <t>Solid Dose Line 1</t>
        </is>
      </c>
      <c r="D127" s="2" t="inlineStr">
        <is>
          <t>Product C</t>
        </is>
      </c>
      <c r="E127" s="2" t="inlineStr">
        <is>
          <t>Evening</t>
        </is>
      </c>
      <c r="F127" s="2" t="n">
        <v>11867</v>
      </c>
      <c r="G127" s="2" t="n">
        <v>7474.3</v>
      </c>
      <c r="H127" s="2" t="n">
        <v>7327.8</v>
      </c>
      <c r="I127" s="2" t="n">
        <v>146.5</v>
      </c>
      <c r="J127" s="2" t="n">
        <v>7554.1</v>
      </c>
      <c r="K127" s="2" t="n">
        <v>2.67</v>
      </c>
      <c r="L127" s="2" t="inlineStr">
        <is>
          <t>None</t>
        </is>
      </c>
      <c r="M127" s="2" t="inlineStr">
        <is>
          <t>Released</t>
        </is>
      </c>
      <c r="N127" s="2" t="inlineStr">
        <is>
          <t>None</t>
        </is>
      </c>
      <c r="O127" s="2" t="n">
        <v>0</v>
      </c>
      <c r="P127" s="2" t="n">
        <v>39.1</v>
      </c>
      <c r="Q127" s="2" t="n">
        <v>4234.8</v>
      </c>
      <c r="R127" s="2" t="n">
        <v>7.38</v>
      </c>
      <c r="S127" s="5">
        <f>G127/F127</f>
        <v/>
      </c>
      <c r="T127" s="5">
        <f>MAX(0,1/K127/8)</f>
        <v/>
      </c>
      <c r="U127" s="5">
        <f>IFERROR(G127/(F127*T127),0)</f>
        <v/>
      </c>
      <c r="V127" s="5">
        <f>IFERROR(H127/G127,0)</f>
        <v/>
      </c>
      <c r="W127" s="5">
        <f>T127*U127*V127</f>
        <v/>
      </c>
      <c r="X127" s="5">
        <f>IFERROR(G127/J127,0)</f>
        <v/>
      </c>
      <c r="Y127" s="5">
        <f>IFERROR(I127/G127,0)</f>
        <v/>
      </c>
      <c r="Z127" s="6">
        <f>IFERROR(G127/P127,0)</f>
        <v/>
      </c>
      <c r="AA127" s="7">
        <f>IFERROR(Q127/G127,0)</f>
        <v/>
      </c>
      <c r="AB127" s="8">
        <f>R127+K127</f>
        <v/>
      </c>
    </row>
    <row r="128">
      <c r="A128" s="2" t="n">
        <v>124</v>
      </c>
      <c r="B128" s="4" t="n">
        <v>46084</v>
      </c>
      <c r="C128" s="2" t="inlineStr">
        <is>
          <t>Solid Dose Line 2</t>
        </is>
      </c>
      <c r="D128" s="2" t="inlineStr">
        <is>
          <t>Product A</t>
        </is>
      </c>
      <c r="E128" s="2" t="inlineStr">
        <is>
          <t>Night</t>
        </is>
      </c>
      <c r="F128" s="2" t="n">
        <v>10489</v>
      </c>
      <c r="G128" s="2" t="n">
        <v>8255.799999999999</v>
      </c>
      <c r="H128" s="2" t="n">
        <v>8150.7</v>
      </c>
      <c r="I128" s="2" t="n">
        <v>105</v>
      </c>
      <c r="J128" s="2" t="n">
        <v>8405.200000000001</v>
      </c>
      <c r="K128" s="2" t="n">
        <v>1.63</v>
      </c>
      <c r="L128" s="2" t="inlineStr">
        <is>
          <t>None</t>
        </is>
      </c>
      <c r="M128" s="2" t="inlineStr">
        <is>
          <t>Released</t>
        </is>
      </c>
      <c r="N128" s="2" t="inlineStr">
        <is>
          <t>None</t>
        </is>
      </c>
      <c r="O128" s="2" t="n">
        <v>0</v>
      </c>
      <c r="P128" s="2" t="n">
        <v>51.2</v>
      </c>
      <c r="Q128" s="2" t="n">
        <v>4523.9</v>
      </c>
      <c r="R128" s="2" t="n">
        <v>6.59</v>
      </c>
      <c r="S128" s="5">
        <f>G128/F128</f>
        <v/>
      </c>
      <c r="T128" s="5">
        <f>MAX(0,1/K128/8)</f>
        <v/>
      </c>
      <c r="U128" s="5">
        <f>IFERROR(G128/(F128*T128),0)</f>
        <v/>
      </c>
      <c r="V128" s="5">
        <f>IFERROR(H128/G128,0)</f>
        <v/>
      </c>
      <c r="W128" s="5">
        <f>T128*U128*V128</f>
        <v/>
      </c>
      <c r="X128" s="5">
        <f>IFERROR(G128/J128,0)</f>
        <v/>
      </c>
      <c r="Y128" s="5">
        <f>IFERROR(I128/G128,0)</f>
        <v/>
      </c>
      <c r="Z128" s="6">
        <f>IFERROR(G128/P128,0)</f>
        <v/>
      </c>
      <c r="AA128" s="7">
        <f>IFERROR(Q128/G128,0)</f>
        <v/>
      </c>
      <c r="AB128" s="8">
        <f>R128+K128</f>
        <v/>
      </c>
    </row>
    <row r="129">
      <c r="A129" s="2" t="n">
        <v>125</v>
      </c>
      <c r="B129" s="4" t="n">
        <v>46085</v>
      </c>
      <c r="C129" s="2" t="inlineStr">
        <is>
          <t>Solid Dose Line 1</t>
        </is>
      </c>
      <c r="D129" s="2" t="inlineStr">
        <is>
          <t>Product A</t>
        </is>
      </c>
      <c r="E129" s="2" t="inlineStr">
        <is>
          <t>Night</t>
        </is>
      </c>
      <c r="F129" s="2" t="n">
        <v>9446</v>
      </c>
      <c r="G129" s="2" t="n">
        <v>8626.1</v>
      </c>
      <c r="H129" s="2" t="n">
        <v>8523.799999999999</v>
      </c>
      <c r="I129" s="2" t="n">
        <v>102.3</v>
      </c>
      <c r="J129" s="2" t="n">
        <v>8794.9</v>
      </c>
      <c r="K129" s="2" t="n">
        <v>0</v>
      </c>
      <c r="L129" s="2" t="inlineStr">
        <is>
          <t>None</t>
        </is>
      </c>
      <c r="M129" s="2" t="inlineStr">
        <is>
          <t>Released</t>
        </is>
      </c>
      <c r="N129" s="2" t="inlineStr">
        <is>
          <t>None</t>
        </is>
      </c>
      <c r="O129" s="2" t="n">
        <v>0</v>
      </c>
      <c r="P129" s="2" t="n">
        <v>49.7</v>
      </c>
      <c r="Q129" s="2" t="n">
        <v>5046</v>
      </c>
      <c r="R129" s="2" t="n">
        <v>6.65</v>
      </c>
      <c r="S129" s="5">
        <f>G129/F129</f>
        <v/>
      </c>
      <c r="T129" s="5">
        <f>MAX(0,1/K129/8)</f>
        <v/>
      </c>
      <c r="U129" s="5">
        <f>IFERROR(G129/(F129*T129),0)</f>
        <v/>
      </c>
      <c r="V129" s="5">
        <f>IFERROR(H129/G129,0)</f>
        <v/>
      </c>
      <c r="W129" s="5">
        <f>T129*U129*V129</f>
        <v/>
      </c>
      <c r="X129" s="5">
        <f>IFERROR(G129/J129,0)</f>
        <v/>
      </c>
      <c r="Y129" s="5">
        <f>IFERROR(I129/G129,0)</f>
        <v/>
      </c>
      <c r="Z129" s="6">
        <f>IFERROR(G129/P129,0)</f>
        <v/>
      </c>
      <c r="AA129" s="7">
        <f>IFERROR(Q129/G129,0)</f>
        <v/>
      </c>
      <c r="AB129" s="8">
        <f>R129+K129</f>
        <v/>
      </c>
    </row>
    <row r="130">
      <c r="A130" s="2" t="n">
        <v>126</v>
      </c>
      <c r="B130" s="4" t="n">
        <v>46085</v>
      </c>
      <c r="C130" s="2" t="inlineStr">
        <is>
          <t>Solid Dose Line 2</t>
        </is>
      </c>
      <c r="D130" s="2" t="inlineStr">
        <is>
          <t>Product A</t>
        </is>
      </c>
      <c r="E130" s="2" t="inlineStr">
        <is>
          <t>Night</t>
        </is>
      </c>
      <c r="F130" s="2" t="n">
        <v>10796</v>
      </c>
      <c r="G130" s="2" t="n">
        <v>6500.1</v>
      </c>
      <c r="H130" s="2" t="n">
        <v>6365.6</v>
      </c>
      <c r="I130" s="2" t="n">
        <v>134.5</v>
      </c>
      <c r="J130" s="2" t="n">
        <v>6606.4</v>
      </c>
      <c r="K130" s="2" t="n">
        <v>2.88</v>
      </c>
      <c r="L130" s="2" t="inlineStr">
        <is>
          <t>None</t>
        </is>
      </c>
      <c r="M130" s="2" t="inlineStr">
        <is>
          <t>Released</t>
        </is>
      </c>
      <c r="N130" s="2" t="inlineStr">
        <is>
          <t>None</t>
        </is>
      </c>
      <c r="O130" s="2" t="n">
        <v>0</v>
      </c>
      <c r="P130" s="2" t="n">
        <v>48.8</v>
      </c>
      <c r="Q130" s="2" t="n">
        <v>3482.4</v>
      </c>
      <c r="R130" s="2" t="n">
        <v>6.83</v>
      </c>
      <c r="S130" s="5">
        <f>G130/F130</f>
        <v/>
      </c>
      <c r="T130" s="5">
        <f>MAX(0,1/K130/8)</f>
        <v/>
      </c>
      <c r="U130" s="5">
        <f>IFERROR(G130/(F130*T130),0)</f>
        <v/>
      </c>
      <c r="V130" s="5">
        <f>IFERROR(H130/G130,0)</f>
        <v/>
      </c>
      <c r="W130" s="5">
        <f>T130*U130*V130</f>
        <v/>
      </c>
      <c r="X130" s="5">
        <f>IFERROR(G130/J130,0)</f>
        <v/>
      </c>
      <c r="Y130" s="5">
        <f>IFERROR(I130/G130,0)</f>
        <v/>
      </c>
      <c r="Z130" s="6">
        <f>IFERROR(G130/P130,0)</f>
        <v/>
      </c>
      <c r="AA130" s="7">
        <f>IFERROR(Q130/G130,0)</f>
        <v/>
      </c>
      <c r="AB130" s="8">
        <f>R130+K130</f>
        <v/>
      </c>
    </row>
    <row r="131">
      <c r="A131" s="2" t="n">
        <v>127</v>
      </c>
      <c r="B131" s="4" t="n">
        <v>46086</v>
      </c>
      <c r="C131" s="2" t="inlineStr">
        <is>
          <t>Solid Dose Line 1</t>
        </is>
      </c>
      <c r="D131" s="2" t="inlineStr">
        <is>
          <t>Product B</t>
        </is>
      </c>
      <c r="E131" s="2" t="inlineStr">
        <is>
          <t>Evening</t>
        </is>
      </c>
      <c r="F131" s="2" t="n">
        <v>9037</v>
      </c>
      <c r="G131" s="2" t="n">
        <v>6715.8</v>
      </c>
      <c r="H131" s="2" t="n">
        <v>6597.9</v>
      </c>
      <c r="I131" s="2" t="n">
        <v>117.8</v>
      </c>
      <c r="J131" s="2" t="n">
        <v>6861.3</v>
      </c>
      <c r="K131" s="2" t="n">
        <v>1.13</v>
      </c>
      <c r="L131" s="2" t="inlineStr">
        <is>
          <t>None</t>
        </is>
      </c>
      <c r="M131" s="2" t="inlineStr">
        <is>
          <t>Released</t>
        </is>
      </c>
      <c r="N131" s="2" t="inlineStr">
        <is>
          <t>Preventive</t>
        </is>
      </c>
      <c r="O131" s="2" t="n">
        <v>368.93</v>
      </c>
      <c r="P131" s="2" t="n">
        <v>50.8</v>
      </c>
      <c r="Q131" s="2" t="n">
        <v>3408.2</v>
      </c>
      <c r="R131" s="2" t="n">
        <v>7.95</v>
      </c>
      <c r="S131" s="5">
        <f>G131/F131</f>
        <v/>
      </c>
      <c r="T131" s="5">
        <f>MAX(0,1/K131/8)</f>
        <v/>
      </c>
      <c r="U131" s="5">
        <f>IFERROR(G131/(F131*T131),0)</f>
        <v/>
      </c>
      <c r="V131" s="5">
        <f>IFERROR(H131/G131,0)</f>
        <v/>
      </c>
      <c r="W131" s="5">
        <f>T131*U131*V131</f>
        <v/>
      </c>
      <c r="X131" s="5">
        <f>IFERROR(G131/J131,0)</f>
        <v/>
      </c>
      <c r="Y131" s="5">
        <f>IFERROR(I131/G131,0)</f>
        <v/>
      </c>
      <c r="Z131" s="6">
        <f>IFERROR(G131/P131,0)</f>
        <v/>
      </c>
      <c r="AA131" s="7">
        <f>IFERROR(Q131/G131,0)</f>
        <v/>
      </c>
      <c r="AB131" s="8">
        <f>R131+K131</f>
        <v/>
      </c>
    </row>
    <row r="132">
      <c r="A132" s="2" t="n">
        <v>128</v>
      </c>
      <c r="B132" s="4" t="n">
        <v>46086</v>
      </c>
      <c r="C132" s="2" t="inlineStr">
        <is>
          <t>Solid Dose Line 2</t>
        </is>
      </c>
      <c r="D132" s="2" t="inlineStr">
        <is>
          <t>Product B</t>
        </is>
      </c>
      <c r="E132" s="2" t="inlineStr">
        <is>
          <t>Day</t>
        </is>
      </c>
      <c r="F132" s="2" t="n">
        <v>9499</v>
      </c>
      <c r="G132" s="2" t="n">
        <v>8095.5</v>
      </c>
      <c r="H132" s="2" t="n">
        <v>8052.8</v>
      </c>
      <c r="I132" s="2" t="n">
        <v>42.7</v>
      </c>
      <c r="J132" s="2" t="n">
        <v>8216</v>
      </c>
      <c r="K132" s="2" t="n">
        <v>0.54</v>
      </c>
      <c r="L132" s="2" t="inlineStr">
        <is>
          <t>None</t>
        </is>
      </c>
      <c r="M132" s="2" t="inlineStr">
        <is>
          <t>Released</t>
        </is>
      </c>
      <c r="N132" s="2" t="inlineStr">
        <is>
          <t>None</t>
        </is>
      </c>
      <c r="O132" s="2" t="n">
        <v>0</v>
      </c>
      <c r="P132" s="2" t="n">
        <v>36.1</v>
      </c>
      <c r="Q132" s="2" t="n">
        <v>4343.3</v>
      </c>
      <c r="R132" s="2" t="n">
        <v>7.49</v>
      </c>
      <c r="S132" s="5">
        <f>G132/F132</f>
        <v/>
      </c>
      <c r="T132" s="5">
        <f>MAX(0,1/K132/8)</f>
        <v/>
      </c>
      <c r="U132" s="5">
        <f>IFERROR(G132/(F132*T132),0)</f>
        <v/>
      </c>
      <c r="V132" s="5">
        <f>IFERROR(H132/G132,0)</f>
        <v/>
      </c>
      <c r="W132" s="5">
        <f>T132*U132*V132</f>
        <v/>
      </c>
      <c r="X132" s="5">
        <f>IFERROR(G132/J132,0)</f>
        <v/>
      </c>
      <c r="Y132" s="5">
        <f>IFERROR(I132/G132,0)</f>
        <v/>
      </c>
      <c r="Z132" s="6">
        <f>IFERROR(G132/P132,0)</f>
        <v/>
      </c>
      <c r="AA132" s="7">
        <f>IFERROR(Q132/G132,0)</f>
        <v/>
      </c>
      <c r="AB132" s="8">
        <f>R132+K132</f>
        <v/>
      </c>
    </row>
    <row r="133">
      <c r="A133" s="2" t="n">
        <v>129</v>
      </c>
      <c r="B133" s="4" t="n">
        <v>46087</v>
      </c>
      <c r="C133" s="2" t="inlineStr">
        <is>
          <t>Solid Dose Line 1</t>
        </is>
      </c>
      <c r="D133" s="2" t="inlineStr">
        <is>
          <t>Product C</t>
        </is>
      </c>
      <c r="E133" s="2" t="inlineStr">
        <is>
          <t>Evening</t>
        </is>
      </c>
      <c r="F133" s="2" t="n">
        <v>9603</v>
      </c>
      <c r="G133" s="2" t="n">
        <v>5897.7</v>
      </c>
      <c r="H133" s="2" t="n">
        <v>5807.4</v>
      </c>
      <c r="I133" s="2" t="n">
        <v>90.3</v>
      </c>
      <c r="J133" s="2" t="n">
        <v>5962.9</v>
      </c>
      <c r="K133" s="2" t="n">
        <v>5.82</v>
      </c>
      <c r="L133" s="2" t="inlineStr">
        <is>
          <t>Process</t>
        </is>
      </c>
      <c r="M133" s="2" t="inlineStr">
        <is>
          <t>Released</t>
        </is>
      </c>
      <c r="N133" s="2" t="inlineStr">
        <is>
          <t>None</t>
        </is>
      </c>
      <c r="O133" s="2" t="n">
        <v>0</v>
      </c>
      <c r="P133" s="2" t="n">
        <v>46.6</v>
      </c>
      <c r="Q133" s="2" t="n">
        <v>2805.6</v>
      </c>
      <c r="R133" s="2" t="n">
        <v>7.7</v>
      </c>
      <c r="S133" s="5">
        <f>G133/F133</f>
        <v/>
      </c>
      <c r="T133" s="5">
        <f>MAX(0,1/K133/8)</f>
        <v/>
      </c>
      <c r="U133" s="5">
        <f>IFERROR(G133/(F133*T133),0)</f>
        <v/>
      </c>
      <c r="V133" s="5">
        <f>IFERROR(H133/G133,0)</f>
        <v/>
      </c>
      <c r="W133" s="5">
        <f>T133*U133*V133</f>
        <v/>
      </c>
      <c r="X133" s="5">
        <f>IFERROR(G133/J133,0)</f>
        <v/>
      </c>
      <c r="Y133" s="5">
        <f>IFERROR(I133/G133,0)</f>
        <v/>
      </c>
      <c r="Z133" s="6">
        <f>IFERROR(G133/P133,0)</f>
        <v/>
      </c>
      <c r="AA133" s="7">
        <f>IFERROR(Q133/G133,0)</f>
        <v/>
      </c>
      <c r="AB133" s="8">
        <f>R133+K133</f>
        <v/>
      </c>
    </row>
    <row r="134">
      <c r="A134" s="2" t="n">
        <v>130</v>
      </c>
      <c r="B134" s="4" t="n">
        <v>46087</v>
      </c>
      <c r="C134" s="2" t="inlineStr">
        <is>
          <t>Solid Dose Line 2</t>
        </is>
      </c>
      <c r="D134" s="2" t="inlineStr">
        <is>
          <t>Product B</t>
        </is>
      </c>
      <c r="E134" s="2" t="inlineStr">
        <is>
          <t>Day</t>
        </is>
      </c>
      <c r="F134" s="2" t="n">
        <v>9023</v>
      </c>
      <c r="G134" s="2" t="n">
        <v>7761.6</v>
      </c>
      <c r="H134" s="2" t="n">
        <v>7705.3</v>
      </c>
      <c r="I134" s="2" t="n">
        <v>56.3</v>
      </c>
      <c r="J134" s="2" t="n">
        <v>7804.6</v>
      </c>
      <c r="K134" s="2" t="n">
        <v>0.53</v>
      </c>
      <c r="L134" s="2" t="inlineStr">
        <is>
          <t>None</t>
        </is>
      </c>
      <c r="M134" s="2" t="inlineStr">
        <is>
          <t>Released</t>
        </is>
      </c>
      <c r="N134" s="2" t="inlineStr">
        <is>
          <t>None</t>
        </is>
      </c>
      <c r="O134" s="2" t="n">
        <v>0</v>
      </c>
      <c r="P134" s="2" t="n">
        <v>34.6</v>
      </c>
      <c r="Q134" s="2" t="n">
        <v>4311.1</v>
      </c>
      <c r="R134" s="2" t="n">
        <v>7.82</v>
      </c>
      <c r="S134" s="5">
        <f>G134/F134</f>
        <v/>
      </c>
      <c r="T134" s="5">
        <f>MAX(0,1/K134/8)</f>
        <v/>
      </c>
      <c r="U134" s="5">
        <f>IFERROR(G134/(F134*T134),0)</f>
        <v/>
      </c>
      <c r="V134" s="5">
        <f>IFERROR(H134/G134,0)</f>
        <v/>
      </c>
      <c r="W134" s="5">
        <f>T134*U134*V134</f>
        <v/>
      </c>
      <c r="X134" s="5">
        <f>IFERROR(G134/J134,0)</f>
        <v/>
      </c>
      <c r="Y134" s="5">
        <f>IFERROR(I134/G134,0)</f>
        <v/>
      </c>
      <c r="Z134" s="6">
        <f>IFERROR(G134/P134,0)</f>
        <v/>
      </c>
      <c r="AA134" s="7">
        <f>IFERROR(Q134/G134,0)</f>
        <v/>
      </c>
      <c r="AB134" s="8">
        <f>R134+K134</f>
        <v/>
      </c>
    </row>
    <row r="135">
      <c r="A135" s="2" t="n">
        <v>131</v>
      </c>
      <c r="B135" s="4" t="n">
        <v>46088</v>
      </c>
      <c r="C135" s="2" t="inlineStr">
        <is>
          <t>Solid Dose Line 1</t>
        </is>
      </c>
      <c r="D135" s="2" t="inlineStr">
        <is>
          <t>Product A</t>
        </is>
      </c>
      <c r="E135" s="2" t="inlineStr">
        <is>
          <t>Day</t>
        </is>
      </c>
      <c r="F135" s="2" t="n">
        <v>11260</v>
      </c>
      <c r="G135" s="2" t="n">
        <v>11297.6</v>
      </c>
      <c r="H135" s="2" t="n">
        <v>11097.4</v>
      </c>
      <c r="I135" s="2" t="n">
        <v>200.2</v>
      </c>
      <c r="J135" s="2" t="n">
        <v>11503.2</v>
      </c>
      <c r="K135" s="2" t="n">
        <v>0</v>
      </c>
      <c r="L135" s="2" t="inlineStr">
        <is>
          <t>None</t>
        </is>
      </c>
      <c r="M135" s="2" t="inlineStr">
        <is>
          <t>Released</t>
        </is>
      </c>
      <c r="N135" s="2" t="inlineStr">
        <is>
          <t>Preventive</t>
        </is>
      </c>
      <c r="O135" s="2" t="n">
        <v>355.13</v>
      </c>
      <c r="P135" s="2" t="n">
        <v>37.5</v>
      </c>
      <c r="Q135" s="2" t="n">
        <v>6201.9</v>
      </c>
      <c r="R135" s="2" t="n">
        <v>7.32</v>
      </c>
      <c r="S135" s="5">
        <f>G135/F135</f>
        <v/>
      </c>
      <c r="T135" s="5">
        <f>MAX(0,1/K135/8)</f>
        <v/>
      </c>
      <c r="U135" s="5">
        <f>IFERROR(G135/(F135*T135),0)</f>
        <v/>
      </c>
      <c r="V135" s="5">
        <f>IFERROR(H135/G135,0)</f>
        <v/>
      </c>
      <c r="W135" s="5">
        <f>T135*U135*V135</f>
        <v/>
      </c>
      <c r="X135" s="5">
        <f>IFERROR(G135/J135,0)</f>
        <v/>
      </c>
      <c r="Y135" s="5">
        <f>IFERROR(I135/G135,0)</f>
        <v/>
      </c>
      <c r="Z135" s="6">
        <f>IFERROR(G135/P135,0)</f>
        <v/>
      </c>
      <c r="AA135" s="7">
        <f>IFERROR(Q135/G135,0)</f>
        <v/>
      </c>
      <c r="AB135" s="8">
        <f>R135+K135</f>
        <v/>
      </c>
    </row>
    <row r="136">
      <c r="A136" s="2" t="n">
        <v>132</v>
      </c>
      <c r="B136" s="4" t="n">
        <v>46088</v>
      </c>
      <c r="C136" s="2" t="inlineStr">
        <is>
          <t>Solid Dose Line 2</t>
        </is>
      </c>
      <c r="D136" s="2" t="inlineStr">
        <is>
          <t>Product A</t>
        </is>
      </c>
      <c r="E136" s="2" t="inlineStr">
        <is>
          <t>Day</t>
        </is>
      </c>
      <c r="F136" s="2" t="n">
        <v>10390</v>
      </c>
      <c r="G136" s="2" t="n">
        <v>6460.2</v>
      </c>
      <c r="H136" s="2" t="n">
        <v>6350</v>
      </c>
      <c r="I136" s="2" t="n">
        <v>110.2</v>
      </c>
      <c r="J136" s="2" t="n">
        <v>6624.6</v>
      </c>
      <c r="K136" s="2" t="n">
        <v>2.45</v>
      </c>
      <c r="L136" s="2" t="inlineStr">
        <is>
          <t>None</t>
        </is>
      </c>
      <c r="M136" s="2" t="inlineStr">
        <is>
          <t>Released</t>
        </is>
      </c>
      <c r="N136" s="2" t="inlineStr">
        <is>
          <t>None</t>
        </is>
      </c>
      <c r="O136" s="2" t="n">
        <v>0</v>
      </c>
      <c r="P136" s="2" t="n">
        <v>51</v>
      </c>
      <c r="Q136" s="2" t="n">
        <v>3630.1</v>
      </c>
      <c r="R136" s="2" t="n">
        <v>7.65</v>
      </c>
      <c r="S136" s="5">
        <f>G136/F136</f>
        <v/>
      </c>
      <c r="T136" s="5">
        <f>MAX(0,1/K136/8)</f>
        <v/>
      </c>
      <c r="U136" s="5">
        <f>IFERROR(G136/(F136*T136),0)</f>
        <v/>
      </c>
      <c r="V136" s="5">
        <f>IFERROR(H136/G136,0)</f>
        <v/>
      </c>
      <c r="W136" s="5">
        <f>T136*U136*V136</f>
        <v/>
      </c>
      <c r="X136" s="5">
        <f>IFERROR(G136/J136,0)</f>
        <v/>
      </c>
      <c r="Y136" s="5">
        <f>IFERROR(I136/G136,0)</f>
        <v/>
      </c>
      <c r="Z136" s="6">
        <f>IFERROR(G136/P136,0)</f>
        <v/>
      </c>
      <c r="AA136" s="7">
        <f>IFERROR(Q136/G136,0)</f>
        <v/>
      </c>
      <c r="AB136" s="8">
        <f>R136+K136</f>
        <v/>
      </c>
    </row>
    <row r="137">
      <c r="A137" s="2" t="n">
        <v>133</v>
      </c>
      <c r="B137" s="4" t="n">
        <v>46089</v>
      </c>
      <c r="C137" s="2" t="inlineStr">
        <is>
          <t>Solid Dose Line 1</t>
        </is>
      </c>
      <c r="D137" s="2" t="inlineStr">
        <is>
          <t>Product B</t>
        </is>
      </c>
      <c r="E137" s="2" t="inlineStr">
        <is>
          <t>Evening</t>
        </is>
      </c>
      <c r="F137" s="2" t="n">
        <v>11400</v>
      </c>
      <c r="G137" s="2" t="n">
        <v>9314.200000000001</v>
      </c>
      <c r="H137" s="2" t="n">
        <v>9185.4</v>
      </c>
      <c r="I137" s="2" t="n">
        <v>128.8</v>
      </c>
      <c r="J137" s="2" t="n">
        <v>9388</v>
      </c>
      <c r="K137" s="2" t="n">
        <v>1.08</v>
      </c>
      <c r="L137" s="2" t="inlineStr">
        <is>
          <t>None</t>
        </is>
      </c>
      <c r="M137" s="2" t="inlineStr">
        <is>
          <t>Released</t>
        </is>
      </c>
      <c r="N137" s="2" t="inlineStr">
        <is>
          <t>None</t>
        </is>
      </c>
      <c r="O137" s="2" t="n">
        <v>0</v>
      </c>
      <c r="P137" s="2" t="n">
        <v>48.3</v>
      </c>
      <c r="Q137" s="2" t="n">
        <v>4593.1</v>
      </c>
      <c r="R137" s="2" t="n">
        <v>7.57</v>
      </c>
      <c r="S137" s="5">
        <f>G137/F137</f>
        <v/>
      </c>
      <c r="T137" s="5">
        <f>MAX(0,1/K137/8)</f>
        <v/>
      </c>
      <c r="U137" s="5">
        <f>IFERROR(G137/(F137*T137),0)</f>
        <v/>
      </c>
      <c r="V137" s="5">
        <f>IFERROR(H137/G137,0)</f>
        <v/>
      </c>
      <c r="W137" s="5">
        <f>T137*U137*V137</f>
        <v/>
      </c>
      <c r="X137" s="5">
        <f>IFERROR(G137/J137,0)</f>
        <v/>
      </c>
      <c r="Y137" s="5">
        <f>IFERROR(I137/G137,0)</f>
        <v/>
      </c>
      <c r="Z137" s="6">
        <f>IFERROR(G137/P137,0)</f>
        <v/>
      </c>
      <c r="AA137" s="7">
        <f>IFERROR(Q137/G137,0)</f>
        <v/>
      </c>
      <c r="AB137" s="8">
        <f>R137+K137</f>
        <v/>
      </c>
    </row>
    <row r="138">
      <c r="A138" s="2" t="n">
        <v>134</v>
      </c>
      <c r="B138" s="4" t="n">
        <v>46089</v>
      </c>
      <c r="C138" s="2" t="inlineStr">
        <is>
          <t>Solid Dose Line 2</t>
        </is>
      </c>
      <c r="D138" s="2" t="inlineStr">
        <is>
          <t>Product C</t>
        </is>
      </c>
      <c r="E138" s="2" t="inlineStr">
        <is>
          <t>Day</t>
        </is>
      </c>
      <c r="F138" s="2" t="n">
        <v>9432</v>
      </c>
      <c r="G138" s="2" t="n">
        <v>7156.8</v>
      </c>
      <c r="H138" s="2" t="n">
        <v>7123.6</v>
      </c>
      <c r="I138" s="2" t="n">
        <v>33.1</v>
      </c>
      <c r="J138" s="2" t="n">
        <v>7298.6</v>
      </c>
      <c r="K138" s="2" t="n">
        <v>1.42</v>
      </c>
      <c r="L138" s="2" t="inlineStr">
        <is>
          <t>None</t>
        </is>
      </c>
      <c r="M138" s="2" t="inlineStr">
        <is>
          <t>Released</t>
        </is>
      </c>
      <c r="N138" s="2" t="inlineStr">
        <is>
          <t>None</t>
        </is>
      </c>
      <c r="O138" s="2" t="n">
        <v>0</v>
      </c>
      <c r="P138" s="2" t="n">
        <v>40</v>
      </c>
      <c r="Q138" s="2" t="n">
        <v>3845.6</v>
      </c>
      <c r="R138" s="2" t="n">
        <v>6.8</v>
      </c>
      <c r="S138" s="5">
        <f>G138/F138</f>
        <v/>
      </c>
      <c r="T138" s="5">
        <f>MAX(0,1/K138/8)</f>
        <v/>
      </c>
      <c r="U138" s="5">
        <f>IFERROR(G138/(F138*T138),0)</f>
        <v/>
      </c>
      <c r="V138" s="5">
        <f>IFERROR(H138/G138,0)</f>
        <v/>
      </c>
      <c r="W138" s="5">
        <f>T138*U138*V138</f>
        <v/>
      </c>
      <c r="X138" s="5">
        <f>IFERROR(G138/J138,0)</f>
        <v/>
      </c>
      <c r="Y138" s="5">
        <f>IFERROR(I138/G138,0)</f>
        <v/>
      </c>
      <c r="Z138" s="6">
        <f>IFERROR(G138/P138,0)</f>
        <v/>
      </c>
      <c r="AA138" s="7">
        <f>IFERROR(Q138/G138,0)</f>
        <v/>
      </c>
      <c r="AB138" s="8">
        <f>R138+K138</f>
        <v/>
      </c>
    </row>
    <row r="139">
      <c r="A139" s="2" t="n">
        <v>135</v>
      </c>
      <c r="B139" s="4" t="n">
        <v>46090</v>
      </c>
      <c r="C139" s="2" t="inlineStr">
        <is>
          <t>Solid Dose Line 1</t>
        </is>
      </c>
      <c r="D139" s="2" t="inlineStr">
        <is>
          <t>Product C</t>
        </is>
      </c>
      <c r="E139" s="2" t="inlineStr">
        <is>
          <t>Evening</t>
        </is>
      </c>
      <c r="F139" s="2" t="n">
        <v>11925</v>
      </c>
      <c r="G139" s="2" t="n">
        <v>9074.700000000001</v>
      </c>
      <c r="H139" s="2" t="n">
        <v>8927.799999999999</v>
      </c>
      <c r="I139" s="2" t="n">
        <v>147</v>
      </c>
      <c r="J139" s="2" t="n">
        <v>9303.299999999999</v>
      </c>
      <c r="K139" s="2" t="n">
        <v>1.8</v>
      </c>
      <c r="L139" s="2" t="inlineStr">
        <is>
          <t>None</t>
        </is>
      </c>
      <c r="M139" s="2" t="inlineStr">
        <is>
          <t>Released</t>
        </is>
      </c>
      <c r="N139" s="2" t="inlineStr">
        <is>
          <t>None</t>
        </is>
      </c>
      <c r="O139" s="2" t="n">
        <v>0</v>
      </c>
      <c r="P139" s="2" t="n">
        <v>35.4</v>
      </c>
      <c r="Q139" s="2" t="n">
        <v>4712.6</v>
      </c>
      <c r="R139" s="2" t="n">
        <v>6.65</v>
      </c>
      <c r="S139" s="5">
        <f>G139/F139</f>
        <v/>
      </c>
      <c r="T139" s="5">
        <f>MAX(0,1/K139/8)</f>
        <v/>
      </c>
      <c r="U139" s="5">
        <f>IFERROR(G139/(F139*T139),0)</f>
        <v/>
      </c>
      <c r="V139" s="5">
        <f>IFERROR(H139/G139,0)</f>
        <v/>
      </c>
      <c r="W139" s="5">
        <f>T139*U139*V139</f>
        <v/>
      </c>
      <c r="X139" s="5">
        <f>IFERROR(G139/J139,0)</f>
        <v/>
      </c>
      <c r="Y139" s="5">
        <f>IFERROR(I139/G139,0)</f>
        <v/>
      </c>
      <c r="Z139" s="6">
        <f>IFERROR(G139/P139,0)</f>
        <v/>
      </c>
      <c r="AA139" s="7">
        <f>IFERROR(Q139/G139,0)</f>
        <v/>
      </c>
      <c r="AB139" s="8">
        <f>R139+K139</f>
        <v/>
      </c>
    </row>
    <row r="140">
      <c r="A140" s="2" t="n">
        <v>136</v>
      </c>
      <c r="B140" s="4" t="n">
        <v>46090</v>
      </c>
      <c r="C140" s="2" t="inlineStr">
        <is>
          <t>Solid Dose Line 2</t>
        </is>
      </c>
      <c r="D140" s="2" t="inlineStr">
        <is>
          <t>Product C</t>
        </is>
      </c>
      <c r="E140" s="2" t="inlineStr">
        <is>
          <t>Evening</t>
        </is>
      </c>
      <c r="F140" s="2" t="n">
        <v>11517</v>
      </c>
      <c r="G140" s="2" t="n">
        <v>7540</v>
      </c>
      <c r="H140" s="2" t="n">
        <v>7503.5</v>
      </c>
      <c r="I140" s="2" t="n">
        <v>36.4</v>
      </c>
      <c r="J140" s="2" t="n">
        <v>7615.1</v>
      </c>
      <c r="K140" s="2" t="n">
        <v>2.48</v>
      </c>
      <c r="L140" s="2" t="inlineStr">
        <is>
          <t>Environmental</t>
        </is>
      </c>
      <c r="M140" s="2" t="inlineStr">
        <is>
          <t>Released</t>
        </is>
      </c>
      <c r="N140" s="2" t="inlineStr">
        <is>
          <t>Corrective</t>
        </is>
      </c>
      <c r="O140" s="2" t="n">
        <v>778.25</v>
      </c>
      <c r="P140" s="2" t="n">
        <v>47.3</v>
      </c>
      <c r="Q140" s="2" t="n">
        <v>3943.9</v>
      </c>
      <c r="R140" s="2" t="n">
        <v>7.19</v>
      </c>
      <c r="S140" s="5">
        <f>G140/F140</f>
        <v/>
      </c>
      <c r="T140" s="5">
        <f>MAX(0,1/K140/8)</f>
        <v/>
      </c>
      <c r="U140" s="5">
        <f>IFERROR(G140/(F140*T140),0)</f>
        <v/>
      </c>
      <c r="V140" s="5">
        <f>IFERROR(H140/G140,0)</f>
        <v/>
      </c>
      <c r="W140" s="5">
        <f>T140*U140*V140</f>
        <v/>
      </c>
      <c r="X140" s="5">
        <f>IFERROR(G140/J140,0)</f>
        <v/>
      </c>
      <c r="Y140" s="5">
        <f>IFERROR(I140/G140,0)</f>
        <v/>
      </c>
      <c r="Z140" s="6">
        <f>IFERROR(G140/P140,0)</f>
        <v/>
      </c>
      <c r="AA140" s="7">
        <f>IFERROR(Q140/G140,0)</f>
        <v/>
      </c>
      <c r="AB140" s="8">
        <f>R140+K140</f>
        <v/>
      </c>
    </row>
    <row r="141">
      <c r="A141" s="2" t="n">
        <v>137</v>
      </c>
      <c r="B141" s="4" t="n">
        <v>46091</v>
      </c>
      <c r="C141" s="2" t="inlineStr">
        <is>
          <t>Solid Dose Line 1</t>
        </is>
      </c>
      <c r="D141" s="2" t="inlineStr">
        <is>
          <t>Product B</t>
        </is>
      </c>
      <c r="E141" s="2" t="inlineStr">
        <is>
          <t>Night</t>
        </is>
      </c>
      <c r="F141" s="2" t="n">
        <v>11701</v>
      </c>
      <c r="G141" s="2" t="n">
        <v>8055.3</v>
      </c>
      <c r="H141" s="2" t="n">
        <v>7930.3</v>
      </c>
      <c r="I141" s="2" t="n">
        <v>125</v>
      </c>
      <c r="J141" s="2" t="n">
        <v>8038.2</v>
      </c>
      <c r="K141" s="2" t="n">
        <v>3.36</v>
      </c>
      <c r="L141" s="2" t="inlineStr">
        <is>
          <t>None</t>
        </is>
      </c>
      <c r="M141" s="2" t="inlineStr">
        <is>
          <t>Released</t>
        </is>
      </c>
      <c r="N141" s="2" t="inlineStr">
        <is>
          <t>Corrective</t>
        </is>
      </c>
      <c r="O141" s="2" t="n">
        <v>1004.08</v>
      </c>
      <c r="P141" s="2" t="n">
        <v>44.8</v>
      </c>
      <c r="Q141" s="2" t="n">
        <v>4467.9</v>
      </c>
      <c r="R141" s="2" t="n">
        <v>7.93</v>
      </c>
      <c r="S141" s="5">
        <f>G141/F141</f>
        <v/>
      </c>
      <c r="T141" s="5">
        <f>MAX(0,1/K141/8)</f>
        <v/>
      </c>
      <c r="U141" s="5">
        <f>IFERROR(G141/(F141*T141),0)</f>
        <v/>
      </c>
      <c r="V141" s="5">
        <f>IFERROR(H141/G141,0)</f>
        <v/>
      </c>
      <c r="W141" s="5">
        <f>T141*U141*V141</f>
        <v/>
      </c>
      <c r="X141" s="5">
        <f>IFERROR(G141/J141,0)</f>
        <v/>
      </c>
      <c r="Y141" s="5">
        <f>IFERROR(I141/G141,0)</f>
        <v/>
      </c>
      <c r="Z141" s="6">
        <f>IFERROR(G141/P141,0)</f>
        <v/>
      </c>
      <c r="AA141" s="7">
        <f>IFERROR(Q141/G141,0)</f>
        <v/>
      </c>
      <c r="AB141" s="8">
        <f>R141+K141</f>
        <v/>
      </c>
    </row>
    <row r="142">
      <c r="A142" s="2" t="n">
        <v>138</v>
      </c>
      <c r="B142" s="4" t="n">
        <v>46091</v>
      </c>
      <c r="C142" s="2" t="inlineStr">
        <is>
          <t>Solid Dose Line 2</t>
        </is>
      </c>
      <c r="D142" s="2" t="inlineStr">
        <is>
          <t>Product A</t>
        </is>
      </c>
      <c r="E142" s="2" t="inlineStr">
        <is>
          <t>Night</t>
        </is>
      </c>
      <c r="F142" s="2" t="n">
        <v>9374</v>
      </c>
      <c r="G142" s="2" t="n">
        <v>8528.200000000001</v>
      </c>
      <c r="H142" s="2" t="n">
        <v>8401.5</v>
      </c>
      <c r="I142" s="2" t="n">
        <v>126.7</v>
      </c>
      <c r="J142" s="2" t="n">
        <v>8595.9</v>
      </c>
      <c r="K142" s="2" t="n">
        <v>0.39</v>
      </c>
      <c r="L142" s="2" t="inlineStr">
        <is>
          <t>None</t>
        </is>
      </c>
      <c r="M142" s="2" t="inlineStr">
        <is>
          <t>Released</t>
        </is>
      </c>
      <c r="N142" s="2" t="inlineStr">
        <is>
          <t>None</t>
        </is>
      </c>
      <c r="O142" s="2" t="n">
        <v>0</v>
      </c>
      <c r="P142" s="2" t="n">
        <v>34.2</v>
      </c>
      <c r="Q142" s="2" t="n">
        <v>4246.7</v>
      </c>
      <c r="R142" s="2" t="n">
        <v>6.73</v>
      </c>
      <c r="S142" s="5">
        <f>G142/F142</f>
        <v/>
      </c>
      <c r="T142" s="5">
        <f>MAX(0,1/K142/8)</f>
        <v/>
      </c>
      <c r="U142" s="5">
        <f>IFERROR(G142/(F142*T142),0)</f>
        <v/>
      </c>
      <c r="V142" s="5">
        <f>IFERROR(H142/G142,0)</f>
        <v/>
      </c>
      <c r="W142" s="5">
        <f>T142*U142*V142</f>
        <v/>
      </c>
      <c r="X142" s="5">
        <f>IFERROR(G142/J142,0)</f>
        <v/>
      </c>
      <c r="Y142" s="5">
        <f>IFERROR(I142/G142,0)</f>
        <v/>
      </c>
      <c r="Z142" s="6">
        <f>IFERROR(G142/P142,0)</f>
        <v/>
      </c>
      <c r="AA142" s="7">
        <f>IFERROR(Q142/G142,0)</f>
        <v/>
      </c>
      <c r="AB142" s="8">
        <f>R142+K142</f>
        <v/>
      </c>
    </row>
    <row r="143">
      <c r="A143" s="2" t="n">
        <v>139</v>
      </c>
      <c r="B143" s="4" t="n">
        <v>46092</v>
      </c>
      <c r="C143" s="2" t="inlineStr">
        <is>
          <t>Solid Dose Line 1</t>
        </is>
      </c>
      <c r="D143" s="2" t="inlineStr">
        <is>
          <t>Product A</t>
        </is>
      </c>
      <c r="E143" s="2" t="inlineStr">
        <is>
          <t>Day</t>
        </is>
      </c>
      <c r="F143" s="2" t="n">
        <v>11993</v>
      </c>
      <c r="G143" s="2" t="n">
        <v>9635.200000000001</v>
      </c>
      <c r="H143" s="2" t="n">
        <v>9565.4</v>
      </c>
      <c r="I143" s="2" t="n">
        <v>69.7</v>
      </c>
      <c r="J143" s="2" t="n">
        <v>9852.6</v>
      </c>
      <c r="K143" s="2" t="n">
        <v>1.3</v>
      </c>
      <c r="L143" s="2" t="inlineStr">
        <is>
          <t>None</t>
        </is>
      </c>
      <c r="M143" s="2" t="inlineStr">
        <is>
          <t>Released</t>
        </is>
      </c>
      <c r="N143" s="2" t="inlineStr">
        <is>
          <t>None</t>
        </is>
      </c>
      <c r="O143" s="2" t="n">
        <v>0</v>
      </c>
      <c r="P143" s="2" t="n">
        <v>49.3</v>
      </c>
      <c r="Q143" s="2" t="n">
        <v>5007.8</v>
      </c>
      <c r="R143" s="2" t="n">
        <v>7.97</v>
      </c>
      <c r="S143" s="5">
        <f>G143/F143</f>
        <v/>
      </c>
      <c r="T143" s="5">
        <f>MAX(0,1/K143/8)</f>
        <v/>
      </c>
      <c r="U143" s="5">
        <f>IFERROR(G143/(F143*T143),0)</f>
        <v/>
      </c>
      <c r="V143" s="5">
        <f>IFERROR(H143/G143,0)</f>
        <v/>
      </c>
      <c r="W143" s="5">
        <f>T143*U143*V143</f>
        <v/>
      </c>
      <c r="X143" s="5">
        <f>IFERROR(G143/J143,0)</f>
        <v/>
      </c>
      <c r="Y143" s="5">
        <f>IFERROR(I143/G143,0)</f>
        <v/>
      </c>
      <c r="Z143" s="6">
        <f>IFERROR(G143/P143,0)</f>
        <v/>
      </c>
      <c r="AA143" s="7">
        <f>IFERROR(Q143/G143,0)</f>
        <v/>
      </c>
      <c r="AB143" s="8">
        <f>R143+K143</f>
        <v/>
      </c>
    </row>
    <row r="144">
      <c r="A144" s="2" t="n">
        <v>140</v>
      </c>
      <c r="B144" s="4" t="n">
        <v>46092</v>
      </c>
      <c r="C144" s="2" t="inlineStr">
        <is>
          <t>Solid Dose Line 2</t>
        </is>
      </c>
      <c r="D144" s="2" t="inlineStr">
        <is>
          <t>Product B</t>
        </is>
      </c>
      <c r="E144" s="2" t="inlineStr">
        <is>
          <t>Night</t>
        </is>
      </c>
      <c r="F144" s="2" t="n">
        <v>9368</v>
      </c>
      <c r="G144" s="2" t="n">
        <v>6631.1</v>
      </c>
      <c r="H144" s="2" t="n">
        <v>6581.2</v>
      </c>
      <c r="I144" s="2" t="n">
        <v>49.9</v>
      </c>
      <c r="J144" s="2" t="n">
        <v>6734.9</v>
      </c>
      <c r="K144" s="2" t="n">
        <v>1.78</v>
      </c>
      <c r="L144" s="2" t="inlineStr">
        <is>
          <t>None</t>
        </is>
      </c>
      <c r="M144" s="2" t="inlineStr">
        <is>
          <t>Released</t>
        </is>
      </c>
      <c r="N144" s="2" t="inlineStr">
        <is>
          <t>Corrective</t>
        </is>
      </c>
      <c r="O144" s="2" t="n">
        <v>843.36</v>
      </c>
      <c r="P144" s="2" t="n">
        <v>48.6</v>
      </c>
      <c r="Q144" s="2" t="n">
        <v>3520.2</v>
      </c>
      <c r="R144" s="2" t="n">
        <v>7.87</v>
      </c>
      <c r="S144" s="5">
        <f>G144/F144</f>
        <v/>
      </c>
      <c r="T144" s="5">
        <f>MAX(0,1/K144/8)</f>
        <v/>
      </c>
      <c r="U144" s="5">
        <f>IFERROR(G144/(F144*T144),0)</f>
        <v/>
      </c>
      <c r="V144" s="5">
        <f>IFERROR(H144/G144,0)</f>
        <v/>
      </c>
      <c r="W144" s="5">
        <f>T144*U144*V144</f>
        <v/>
      </c>
      <c r="X144" s="5">
        <f>IFERROR(G144/J144,0)</f>
        <v/>
      </c>
      <c r="Y144" s="5">
        <f>IFERROR(I144/G144,0)</f>
        <v/>
      </c>
      <c r="Z144" s="6">
        <f>IFERROR(G144/P144,0)</f>
        <v/>
      </c>
      <c r="AA144" s="7">
        <f>IFERROR(Q144/G144,0)</f>
        <v/>
      </c>
      <c r="AB144" s="8">
        <f>R144+K144</f>
        <v/>
      </c>
    </row>
    <row r="145">
      <c r="A145" s="2" t="n">
        <v>141</v>
      </c>
      <c r="B145" s="4" t="n">
        <v>46093</v>
      </c>
      <c r="C145" s="2" t="inlineStr">
        <is>
          <t>Solid Dose Line 1</t>
        </is>
      </c>
      <c r="D145" s="2" t="inlineStr">
        <is>
          <t>Product B</t>
        </is>
      </c>
      <c r="E145" s="2" t="inlineStr">
        <is>
          <t>Evening</t>
        </is>
      </c>
      <c r="F145" s="2" t="n">
        <v>11680</v>
      </c>
      <c r="G145" s="2" t="n">
        <v>8301.700000000001</v>
      </c>
      <c r="H145" s="2" t="n">
        <v>8175.8</v>
      </c>
      <c r="I145" s="2" t="n">
        <v>125.9</v>
      </c>
      <c r="J145" s="2" t="n">
        <v>8445.6</v>
      </c>
      <c r="K145" s="2" t="n">
        <v>1.41</v>
      </c>
      <c r="L145" s="2" t="inlineStr">
        <is>
          <t>None</t>
        </is>
      </c>
      <c r="M145" s="2" t="inlineStr">
        <is>
          <t>Released</t>
        </is>
      </c>
      <c r="N145" s="2" t="inlineStr">
        <is>
          <t>None</t>
        </is>
      </c>
      <c r="O145" s="2" t="n">
        <v>0</v>
      </c>
      <c r="P145" s="2" t="n">
        <v>46</v>
      </c>
      <c r="Q145" s="2" t="n">
        <v>3911.2</v>
      </c>
      <c r="R145" s="2" t="n">
        <v>7.46</v>
      </c>
      <c r="S145" s="5">
        <f>G145/F145</f>
        <v/>
      </c>
      <c r="T145" s="5">
        <f>MAX(0,1/K145/8)</f>
        <v/>
      </c>
      <c r="U145" s="5">
        <f>IFERROR(G145/(F145*T145),0)</f>
        <v/>
      </c>
      <c r="V145" s="5">
        <f>IFERROR(H145/G145,0)</f>
        <v/>
      </c>
      <c r="W145" s="5">
        <f>T145*U145*V145</f>
        <v/>
      </c>
      <c r="X145" s="5">
        <f>IFERROR(G145/J145,0)</f>
        <v/>
      </c>
      <c r="Y145" s="5">
        <f>IFERROR(I145/G145,0)</f>
        <v/>
      </c>
      <c r="Z145" s="6">
        <f>IFERROR(G145/P145,0)</f>
        <v/>
      </c>
      <c r="AA145" s="7">
        <f>IFERROR(Q145/G145,0)</f>
        <v/>
      </c>
      <c r="AB145" s="8">
        <f>R145+K145</f>
        <v/>
      </c>
    </row>
    <row r="146">
      <c r="A146" s="2" t="n">
        <v>142</v>
      </c>
      <c r="B146" s="4" t="n">
        <v>46093</v>
      </c>
      <c r="C146" s="2" t="inlineStr">
        <is>
          <t>Solid Dose Line 2</t>
        </is>
      </c>
      <c r="D146" s="2" t="inlineStr">
        <is>
          <t>Product C</t>
        </is>
      </c>
      <c r="E146" s="2" t="inlineStr">
        <is>
          <t>Night</t>
        </is>
      </c>
      <c r="F146" s="2" t="n">
        <v>11218</v>
      </c>
      <c r="G146" s="2" t="n">
        <v>9974.4</v>
      </c>
      <c r="H146" s="2" t="n">
        <v>9826.6</v>
      </c>
      <c r="I146" s="2" t="n">
        <v>147.9</v>
      </c>
      <c r="J146" s="2" t="n">
        <v>10241.2</v>
      </c>
      <c r="K146" s="2" t="n">
        <v>0.02</v>
      </c>
      <c r="L146" s="2" t="inlineStr">
        <is>
          <t>None</t>
        </is>
      </c>
      <c r="M146" s="2" t="inlineStr">
        <is>
          <t>Released</t>
        </is>
      </c>
      <c r="N146" s="2" t="inlineStr">
        <is>
          <t>None</t>
        </is>
      </c>
      <c r="O146" s="2" t="n">
        <v>0</v>
      </c>
      <c r="P146" s="2" t="n">
        <v>50.4</v>
      </c>
      <c r="Q146" s="2" t="n">
        <v>5104.4</v>
      </c>
      <c r="R146" s="2" t="n">
        <v>6.85</v>
      </c>
      <c r="S146" s="5">
        <f>G146/F146</f>
        <v/>
      </c>
      <c r="T146" s="5">
        <f>MAX(0,1/K146/8)</f>
        <v/>
      </c>
      <c r="U146" s="5">
        <f>IFERROR(G146/(F146*T146),0)</f>
        <v/>
      </c>
      <c r="V146" s="5">
        <f>IFERROR(H146/G146,0)</f>
        <v/>
      </c>
      <c r="W146" s="5">
        <f>T146*U146*V146</f>
        <v/>
      </c>
      <c r="X146" s="5">
        <f>IFERROR(G146/J146,0)</f>
        <v/>
      </c>
      <c r="Y146" s="5">
        <f>IFERROR(I146/G146,0)</f>
        <v/>
      </c>
      <c r="Z146" s="6">
        <f>IFERROR(G146/P146,0)</f>
        <v/>
      </c>
      <c r="AA146" s="7">
        <f>IFERROR(Q146/G146,0)</f>
        <v/>
      </c>
      <c r="AB146" s="8">
        <f>R146+K146</f>
        <v/>
      </c>
    </row>
    <row r="147">
      <c r="A147" s="2" t="n">
        <v>143</v>
      </c>
      <c r="B147" s="4" t="n">
        <v>46094</v>
      </c>
      <c r="C147" s="2" t="inlineStr">
        <is>
          <t>Solid Dose Line 1</t>
        </is>
      </c>
      <c r="D147" s="2" t="inlineStr">
        <is>
          <t>Product A</t>
        </is>
      </c>
      <c r="E147" s="2" t="inlineStr">
        <is>
          <t>Night</t>
        </is>
      </c>
      <c r="F147" s="2" t="n">
        <v>9567</v>
      </c>
      <c r="G147" s="2" t="n">
        <v>8986.6</v>
      </c>
      <c r="H147" s="2" t="n">
        <v>8851.9</v>
      </c>
      <c r="I147" s="2" t="n">
        <v>134.7</v>
      </c>
      <c r="J147" s="2" t="n">
        <v>9096.200000000001</v>
      </c>
      <c r="K147" s="2" t="n">
        <v>0</v>
      </c>
      <c r="L147" s="2" t="inlineStr">
        <is>
          <t>None</t>
        </is>
      </c>
      <c r="M147" s="2" t="inlineStr">
        <is>
          <t>Released</t>
        </is>
      </c>
      <c r="N147" s="2" t="inlineStr">
        <is>
          <t>None</t>
        </is>
      </c>
      <c r="O147" s="2" t="n">
        <v>0</v>
      </c>
      <c r="P147" s="2" t="n">
        <v>36.2</v>
      </c>
      <c r="Q147" s="2" t="n">
        <v>4593.1</v>
      </c>
      <c r="R147" s="2" t="n">
        <v>7.29</v>
      </c>
      <c r="S147" s="5">
        <f>G147/F147</f>
        <v/>
      </c>
      <c r="T147" s="5">
        <f>MAX(0,1/K147/8)</f>
        <v/>
      </c>
      <c r="U147" s="5">
        <f>IFERROR(G147/(F147*T147),0)</f>
        <v/>
      </c>
      <c r="V147" s="5">
        <f>IFERROR(H147/G147,0)</f>
        <v/>
      </c>
      <c r="W147" s="5">
        <f>T147*U147*V147</f>
        <v/>
      </c>
      <c r="X147" s="5">
        <f>IFERROR(G147/J147,0)</f>
        <v/>
      </c>
      <c r="Y147" s="5">
        <f>IFERROR(I147/G147,0)</f>
        <v/>
      </c>
      <c r="Z147" s="6">
        <f>IFERROR(G147/P147,0)</f>
        <v/>
      </c>
      <c r="AA147" s="7">
        <f>IFERROR(Q147/G147,0)</f>
        <v/>
      </c>
      <c r="AB147" s="8">
        <f>R147+K147</f>
        <v/>
      </c>
    </row>
    <row r="148">
      <c r="A148" s="2" t="n">
        <v>144</v>
      </c>
      <c r="B148" s="4" t="n">
        <v>46094</v>
      </c>
      <c r="C148" s="2" t="inlineStr">
        <is>
          <t>Solid Dose Line 2</t>
        </is>
      </c>
      <c r="D148" s="2" t="inlineStr">
        <is>
          <t>Product A</t>
        </is>
      </c>
      <c r="E148" s="2" t="inlineStr">
        <is>
          <t>Evening</t>
        </is>
      </c>
      <c r="F148" s="2" t="n">
        <v>10572</v>
      </c>
      <c r="G148" s="2" t="n">
        <v>6942.4</v>
      </c>
      <c r="H148" s="2" t="n">
        <v>6900.8</v>
      </c>
      <c r="I148" s="2" t="n">
        <v>41.6</v>
      </c>
      <c r="J148" s="2" t="n">
        <v>7039.1</v>
      </c>
      <c r="K148" s="2" t="n">
        <v>1.99</v>
      </c>
      <c r="L148" s="2" t="inlineStr">
        <is>
          <t>Equipment</t>
        </is>
      </c>
      <c r="M148" s="2" t="inlineStr">
        <is>
          <t>Released</t>
        </is>
      </c>
      <c r="N148" s="2" t="inlineStr">
        <is>
          <t>Corrective</t>
        </is>
      </c>
      <c r="O148" s="2" t="n">
        <v>431.38</v>
      </c>
      <c r="P148" s="2" t="n">
        <v>44.6</v>
      </c>
      <c r="Q148" s="2" t="n">
        <v>3530.2</v>
      </c>
      <c r="R148" s="2" t="n">
        <v>6.5</v>
      </c>
      <c r="S148" s="5">
        <f>G148/F148</f>
        <v/>
      </c>
      <c r="T148" s="5">
        <f>MAX(0,1/K148/8)</f>
        <v/>
      </c>
      <c r="U148" s="5">
        <f>IFERROR(G148/(F148*T148),0)</f>
        <v/>
      </c>
      <c r="V148" s="5">
        <f>IFERROR(H148/G148,0)</f>
        <v/>
      </c>
      <c r="W148" s="5">
        <f>T148*U148*V148</f>
        <v/>
      </c>
      <c r="X148" s="5">
        <f>IFERROR(G148/J148,0)</f>
        <v/>
      </c>
      <c r="Y148" s="5">
        <f>IFERROR(I148/G148,0)</f>
        <v/>
      </c>
      <c r="Z148" s="6">
        <f>IFERROR(G148/P148,0)</f>
        <v/>
      </c>
      <c r="AA148" s="7">
        <f>IFERROR(Q148/G148,0)</f>
        <v/>
      </c>
      <c r="AB148" s="8">
        <f>R148+K148</f>
        <v/>
      </c>
    </row>
    <row r="149">
      <c r="A149" s="2" t="n">
        <v>145</v>
      </c>
      <c r="B149" s="4" t="n">
        <v>46095</v>
      </c>
      <c r="C149" s="2" t="inlineStr">
        <is>
          <t>Solid Dose Line 1</t>
        </is>
      </c>
      <c r="D149" s="2" t="inlineStr">
        <is>
          <t>Product A</t>
        </is>
      </c>
      <c r="E149" s="2" t="inlineStr">
        <is>
          <t>Night</t>
        </is>
      </c>
      <c r="F149" s="2" t="n">
        <v>10140</v>
      </c>
      <c r="G149" s="2" t="n">
        <v>6794.2</v>
      </c>
      <c r="H149" s="2" t="n">
        <v>6647.9</v>
      </c>
      <c r="I149" s="2" t="n">
        <v>146.2</v>
      </c>
      <c r="J149" s="2" t="n">
        <v>6924.2</v>
      </c>
      <c r="K149" s="2" t="n">
        <v>4.97</v>
      </c>
      <c r="L149" s="2" t="inlineStr">
        <is>
          <t>Equipment</t>
        </is>
      </c>
      <c r="M149" s="2" t="inlineStr">
        <is>
          <t>Released</t>
        </is>
      </c>
      <c r="N149" s="2" t="inlineStr">
        <is>
          <t>Emergency</t>
        </is>
      </c>
      <c r="O149" s="2" t="n">
        <v>912.54</v>
      </c>
      <c r="P149" s="2" t="n">
        <v>35.3</v>
      </c>
      <c r="Q149" s="2" t="n">
        <v>3431.7</v>
      </c>
      <c r="R149" s="2" t="n">
        <v>7.78</v>
      </c>
      <c r="S149" s="5">
        <f>G149/F149</f>
        <v/>
      </c>
      <c r="T149" s="5">
        <f>MAX(0,1/K149/8)</f>
        <v/>
      </c>
      <c r="U149" s="5">
        <f>IFERROR(G149/(F149*T149),0)</f>
        <v/>
      </c>
      <c r="V149" s="5">
        <f>IFERROR(H149/G149,0)</f>
        <v/>
      </c>
      <c r="W149" s="5">
        <f>T149*U149*V149</f>
        <v/>
      </c>
      <c r="X149" s="5">
        <f>IFERROR(G149/J149,0)</f>
        <v/>
      </c>
      <c r="Y149" s="5">
        <f>IFERROR(I149/G149,0)</f>
        <v/>
      </c>
      <c r="Z149" s="6">
        <f>IFERROR(G149/P149,0)</f>
        <v/>
      </c>
      <c r="AA149" s="7">
        <f>IFERROR(Q149/G149,0)</f>
        <v/>
      </c>
      <c r="AB149" s="8">
        <f>R149+K149</f>
        <v/>
      </c>
    </row>
    <row r="150">
      <c r="A150" s="2" t="n">
        <v>146</v>
      </c>
      <c r="B150" s="4" t="n">
        <v>46095</v>
      </c>
      <c r="C150" s="2" t="inlineStr">
        <is>
          <t>Solid Dose Line 2</t>
        </is>
      </c>
      <c r="D150" s="2" t="inlineStr">
        <is>
          <t>Product A</t>
        </is>
      </c>
      <c r="E150" s="2" t="inlineStr">
        <is>
          <t>Evening</t>
        </is>
      </c>
      <c r="F150" s="2" t="n">
        <v>9226</v>
      </c>
      <c r="G150" s="2" t="n">
        <v>6750.8</v>
      </c>
      <c r="H150" s="2" t="n">
        <v>6659.9</v>
      </c>
      <c r="I150" s="2" t="n">
        <v>90.90000000000001</v>
      </c>
      <c r="J150" s="2" t="n">
        <v>6856.3</v>
      </c>
      <c r="K150" s="2" t="n">
        <v>1.54</v>
      </c>
      <c r="L150" s="2" t="inlineStr">
        <is>
          <t>None</t>
        </is>
      </c>
      <c r="M150" s="2" t="inlineStr">
        <is>
          <t>Released</t>
        </is>
      </c>
      <c r="N150" s="2" t="inlineStr">
        <is>
          <t>None</t>
        </is>
      </c>
      <c r="O150" s="2" t="n">
        <v>0</v>
      </c>
      <c r="P150" s="2" t="n">
        <v>47.6</v>
      </c>
      <c r="Q150" s="2" t="n">
        <v>3625.1</v>
      </c>
      <c r="R150" s="2" t="n">
        <v>6.62</v>
      </c>
      <c r="S150" s="5">
        <f>G150/F150</f>
        <v/>
      </c>
      <c r="T150" s="5">
        <f>MAX(0,1/K150/8)</f>
        <v/>
      </c>
      <c r="U150" s="5">
        <f>IFERROR(G150/(F150*T150),0)</f>
        <v/>
      </c>
      <c r="V150" s="5">
        <f>IFERROR(H150/G150,0)</f>
        <v/>
      </c>
      <c r="W150" s="5">
        <f>T150*U150*V150</f>
        <v/>
      </c>
      <c r="X150" s="5">
        <f>IFERROR(G150/J150,0)</f>
        <v/>
      </c>
      <c r="Y150" s="5">
        <f>IFERROR(I150/G150,0)</f>
        <v/>
      </c>
      <c r="Z150" s="6">
        <f>IFERROR(G150/P150,0)</f>
        <v/>
      </c>
      <c r="AA150" s="7">
        <f>IFERROR(Q150/G150,0)</f>
        <v/>
      </c>
      <c r="AB150" s="8">
        <f>R150+K150</f>
        <v/>
      </c>
    </row>
    <row r="151">
      <c r="A151" s="2" t="n">
        <v>147</v>
      </c>
      <c r="B151" s="4" t="n">
        <v>46096</v>
      </c>
      <c r="C151" s="2" t="inlineStr">
        <is>
          <t>Solid Dose Line 1</t>
        </is>
      </c>
      <c r="D151" s="2" t="inlineStr">
        <is>
          <t>Product C</t>
        </is>
      </c>
      <c r="E151" s="2" t="inlineStr">
        <is>
          <t>Evening</t>
        </is>
      </c>
      <c r="F151" s="2" t="n">
        <v>11767</v>
      </c>
      <c r="G151" s="2" t="n">
        <v>10577.6</v>
      </c>
      <c r="H151" s="2" t="n">
        <v>10471.9</v>
      </c>
      <c r="I151" s="2" t="n">
        <v>105.6</v>
      </c>
      <c r="J151" s="2" t="n">
        <v>10631.5</v>
      </c>
      <c r="K151" s="2" t="n">
        <v>0.05</v>
      </c>
      <c r="L151" s="2" t="inlineStr">
        <is>
          <t>None</t>
        </is>
      </c>
      <c r="M151" s="2" t="inlineStr">
        <is>
          <t>Released</t>
        </is>
      </c>
      <c r="N151" s="2" t="inlineStr">
        <is>
          <t>Corrective</t>
        </is>
      </c>
      <c r="O151" s="2" t="n">
        <v>1079.05</v>
      </c>
      <c r="P151" s="2" t="n">
        <v>38.5</v>
      </c>
      <c r="Q151" s="2" t="n">
        <v>5698.2</v>
      </c>
      <c r="R151" s="2" t="n">
        <v>6.85</v>
      </c>
      <c r="S151" s="5">
        <f>G151/F151</f>
        <v/>
      </c>
      <c r="T151" s="5">
        <f>MAX(0,1/K151/8)</f>
        <v/>
      </c>
      <c r="U151" s="5">
        <f>IFERROR(G151/(F151*T151),0)</f>
        <v/>
      </c>
      <c r="V151" s="5">
        <f>IFERROR(H151/G151,0)</f>
        <v/>
      </c>
      <c r="W151" s="5">
        <f>T151*U151*V151</f>
        <v/>
      </c>
      <c r="X151" s="5">
        <f>IFERROR(G151/J151,0)</f>
        <v/>
      </c>
      <c r="Y151" s="5">
        <f>IFERROR(I151/G151,0)</f>
        <v/>
      </c>
      <c r="Z151" s="6">
        <f>IFERROR(G151/P151,0)</f>
        <v/>
      </c>
      <c r="AA151" s="7">
        <f>IFERROR(Q151/G151,0)</f>
        <v/>
      </c>
      <c r="AB151" s="8">
        <f>R151+K151</f>
        <v/>
      </c>
    </row>
    <row r="152">
      <c r="A152" s="2" t="n">
        <v>148</v>
      </c>
      <c r="B152" s="4" t="n">
        <v>46096</v>
      </c>
      <c r="C152" s="2" t="inlineStr">
        <is>
          <t>Solid Dose Line 2</t>
        </is>
      </c>
      <c r="D152" s="2" t="inlineStr">
        <is>
          <t>Product A</t>
        </is>
      </c>
      <c r="E152" s="2" t="inlineStr">
        <is>
          <t>Night</t>
        </is>
      </c>
      <c r="F152" s="2" t="n">
        <v>11773</v>
      </c>
      <c r="G152" s="2" t="n">
        <v>7638.6</v>
      </c>
      <c r="H152" s="2" t="n">
        <v>7498.6</v>
      </c>
      <c r="I152" s="2" t="n">
        <v>140</v>
      </c>
      <c r="J152" s="2" t="n">
        <v>7833.1</v>
      </c>
      <c r="K152" s="2" t="n">
        <v>2.24</v>
      </c>
      <c r="L152" s="2" t="inlineStr">
        <is>
          <t>None</t>
        </is>
      </c>
      <c r="M152" s="2" t="inlineStr">
        <is>
          <t>Released</t>
        </is>
      </c>
      <c r="N152" s="2" t="inlineStr">
        <is>
          <t>Preventive</t>
        </is>
      </c>
      <c r="O152" s="2" t="n">
        <v>278.38</v>
      </c>
      <c r="P152" s="2" t="n">
        <v>49.5</v>
      </c>
      <c r="Q152" s="2" t="n">
        <v>4008.8</v>
      </c>
      <c r="R152" s="2" t="n">
        <v>6.68</v>
      </c>
      <c r="S152" s="5">
        <f>G152/F152</f>
        <v/>
      </c>
      <c r="T152" s="5">
        <f>MAX(0,1/K152/8)</f>
        <v/>
      </c>
      <c r="U152" s="5">
        <f>IFERROR(G152/(F152*T152),0)</f>
        <v/>
      </c>
      <c r="V152" s="5">
        <f>IFERROR(H152/G152,0)</f>
        <v/>
      </c>
      <c r="W152" s="5">
        <f>T152*U152*V152</f>
        <v/>
      </c>
      <c r="X152" s="5">
        <f>IFERROR(G152/J152,0)</f>
        <v/>
      </c>
      <c r="Y152" s="5">
        <f>IFERROR(I152/G152,0)</f>
        <v/>
      </c>
      <c r="Z152" s="6">
        <f>IFERROR(G152/P152,0)</f>
        <v/>
      </c>
      <c r="AA152" s="7">
        <f>IFERROR(Q152/G152,0)</f>
        <v/>
      </c>
      <c r="AB152" s="8">
        <f>R152+K152</f>
        <v/>
      </c>
    </row>
    <row r="153">
      <c r="A153" s="2" t="n">
        <v>149</v>
      </c>
      <c r="B153" s="4" t="n">
        <v>46097</v>
      </c>
      <c r="C153" s="2" t="inlineStr">
        <is>
          <t>Solid Dose Line 1</t>
        </is>
      </c>
      <c r="D153" s="2" t="inlineStr">
        <is>
          <t>Product B</t>
        </is>
      </c>
      <c r="E153" s="2" t="inlineStr">
        <is>
          <t>Day</t>
        </is>
      </c>
      <c r="F153" s="2" t="n">
        <v>10224</v>
      </c>
      <c r="G153" s="2" t="n">
        <v>8920.9</v>
      </c>
      <c r="H153" s="2" t="n">
        <v>8768.700000000001</v>
      </c>
      <c r="I153" s="2" t="n">
        <v>152.2</v>
      </c>
      <c r="J153" s="2" t="n">
        <v>9036.4</v>
      </c>
      <c r="K153" s="2" t="n">
        <v>0.13</v>
      </c>
      <c r="L153" s="2" t="inlineStr">
        <is>
          <t>None</t>
        </is>
      </c>
      <c r="M153" s="2" t="inlineStr">
        <is>
          <t>Released</t>
        </is>
      </c>
      <c r="N153" s="2" t="inlineStr">
        <is>
          <t>Corrective</t>
        </is>
      </c>
      <c r="O153" s="2" t="n">
        <v>598.79</v>
      </c>
      <c r="P153" s="2" t="n">
        <v>50.6</v>
      </c>
      <c r="Q153" s="2" t="n">
        <v>4338.5</v>
      </c>
      <c r="R153" s="2" t="n">
        <v>7.59</v>
      </c>
      <c r="S153" s="5">
        <f>G153/F153</f>
        <v/>
      </c>
      <c r="T153" s="5">
        <f>MAX(0,1/K153/8)</f>
        <v/>
      </c>
      <c r="U153" s="5">
        <f>IFERROR(G153/(F153*T153),0)</f>
        <v/>
      </c>
      <c r="V153" s="5">
        <f>IFERROR(H153/G153,0)</f>
        <v/>
      </c>
      <c r="W153" s="5">
        <f>T153*U153*V153</f>
        <v/>
      </c>
      <c r="X153" s="5">
        <f>IFERROR(G153/J153,0)</f>
        <v/>
      </c>
      <c r="Y153" s="5">
        <f>IFERROR(I153/G153,0)</f>
        <v/>
      </c>
      <c r="Z153" s="6">
        <f>IFERROR(G153/P153,0)</f>
        <v/>
      </c>
      <c r="AA153" s="7">
        <f>IFERROR(Q153/G153,0)</f>
        <v/>
      </c>
      <c r="AB153" s="8">
        <f>R153+K153</f>
        <v/>
      </c>
    </row>
    <row r="154">
      <c r="A154" s="2" t="n">
        <v>150</v>
      </c>
      <c r="B154" s="4" t="n">
        <v>46097</v>
      </c>
      <c r="C154" s="2" t="inlineStr">
        <is>
          <t>Solid Dose Line 2</t>
        </is>
      </c>
      <c r="D154" s="2" t="inlineStr">
        <is>
          <t>Product B</t>
        </is>
      </c>
      <c r="E154" s="2" t="inlineStr">
        <is>
          <t>Day</t>
        </is>
      </c>
      <c r="F154" s="2" t="n">
        <v>9357</v>
      </c>
      <c r="G154" s="2" t="n">
        <v>5887</v>
      </c>
      <c r="H154" s="2" t="n">
        <v>5835.1</v>
      </c>
      <c r="I154" s="2" t="n">
        <v>51.9</v>
      </c>
      <c r="J154" s="2" t="n">
        <v>5961.7</v>
      </c>
      <c r="K154" s="2" t="n">
        <v>3.02</v>
      </c>
      <c r="L154" s="2" t="inlineStr">
        <is>
          <t>Equipment</t>
        </is>
      </c>
      <c r="M154" s="2" t="inlineStr">
        <is>
          <t>Released</t>
        </is>
      </c>
      <c r="N154" s="2" t="inlineStr">
        <is>
          <t>None</t>
        </is>
      </c>
      <c r="O154" s="2" t="n">
        <v>0</v>
      </c>
      <c r="P154" s="2" t="n">
        <v>40.6</v>
      </c>
      <c r="Q154" s="2" t="n">
        <v>3331.4</v>
      </c>
      <c r="R154" s="2" t="n">
        <v>7.8</v>
      </c>
      <c r="S154" s="5">
        <f>G154/F154</f>
        <v/>
      </c>
      <c r="T154" s="5">
        <f>MAX(0,1/K154/8)</f>
        <v/>
      </c>
      <c r="U154" s="5">
        <f>IFERROR(G154/(F154*T154),0)</f>
        <v/>
      </c>
      <c r="V154" s="5">
        <f>IFERROR(H154/G154,0)</f>
        <v/>
      </c>
      <c r="W154" s="5">
        <f>T154*U154*V154</f>
        <v/>
      </c>
      <c r="X154" s="5">
        <f>IFERROR(G154/J154,0)</f>
        <v/>
      </c>
      <c r="Y154" s="5">
        <f>IFERROR(I154/G154,0)</f>
        <v/>
      </c>
      <c r="Z154" s="6">
        <f>IFERROR(G154/P154,0)</f>
        <v/>
      </c>
      <c r="AA154" s="7">
        <f>IFERROR(Q154/G154,0)</f>
        <v/>
      </c>
      <c r="AB154" s="8">
        <f>R154+K154</f>
        <v/>
      </c>
    </row>
    <row r="155">
      <c r="A155" s="2" t="n">
        <v>151</v>
      </c>
      <c r="B155" s="4" t="n">
        <v>46098</v>
      </c>
      <c r="C155" s="2" t="inlineStr">
        <is>
          <t>Solid Dose Line 1</t>
        </is>
      </c>
      <c r="D155" s="2" t="inlineStr">
        <is>
          <t>Product C</t>
        </is>
      </c>
      <c r="E155" s="2" t="inlineStr">
        <is>
          <t>Evening</t>
        </is>
      </c>
      <c r="F155" s="2" t="n">
        <v>9218</v>
      </c>
      <c r="G155" s="2" t="n">
        <v>7165.7</v>
      </c>
      <c r="H155" s="2" t="n">
        <v>7015.8</v>
      </c>
      <c r="I155" s="2" t="n">
        <v>149.9</v>
      </c>
      <c r="J155" s="2" t="n">
        <v>7193.8</v>
      </c>
      <c r="K155" s="2" t="n">
        <v>1.34</v>
      </c>
      <c r="L155" s="2" t="inlineStr">
        <is>
          <t>None</t>
        </is>
      </c>
      <c r="M155" s="2" t="inlineStr">
        <is>
          <t>Released</t>
        </is>
      </c>
      <c r="N155" s="2" t="inlineStr">
        <is>
          <t>None</t>
        </is>
      </c>
      <c r="O155" s="2" t="n">
        <v>0</v>
      </c>
      <c r="P155" s="2" t="n">
        <v>43.1</v>
      </c>
      <c r="Q155" s="2" t="n">
        <v>3540.5</v>
      </c>
      <c r="R155" s="2" t="n">
        <v>6.63</v>
      </c>
      <c r="S155" s="5">
        <f>G155/F155</f>
        <v/>
      </c>
      <c r="T155" s="5">
        <f>MAX(0,1/K155/8)</f>
        <v/>
      </c>
      <c r="U155" s="5">
        <f>IFERROR(G155/(F155*T155),0)</f>
        <v/>
      </c>
      <c r="V155" s="5">
        <f>IFERROR(H155/G155,0)</f>
        <v/>
      </c>
      <c r="W155" s="5">
        <f>T155*U155*V155</f>
        <v/>
      </c>
      <c r="X155" s="5">
        <f>IFERROR(G155/J155,0)</f>
        <v/>
      </c>
      <c r="Y155" s="5">
        <f>IFERROR(I155/G155,0)</f>
        <v/>
      </c>
      <c r="Z155" s="6">
        <f>IFERROR(G155/P155,0)</f>
        <v/>
      </c>
      <c r="AA155" s="7">
        <f>IFERROR(Q155/G155,0)</f>
        <v/>
      </c>
      <c r="AB155" s="8">
        <f>R155+K155</f>
        <v/>
      </c>
    </row>
    <row r="156">
      <c r="A156" s="2" t="n">
        <v>152</v>
      </c>
      <c r="B156" s="4" t="n">
        <v>46098</v>
      </c>
      <c r="C156" s="2" t="inlineStr">
        <is>
          <t>Solid Dose Line 2</t>
        </is>
      </c>
      <c r="D156" s="2" t="inlineStr">
        <is>
          <t>Product B</t>
        </is>
      </c>
      <c r="E156" s="2" t="inlineStr">
        <is>
          <t>Evening</t>
        </is>
      </c>
      <c r="F156" s="2" t="n">
        <v>10554</v>
      </c>
      <c r="G156" s="2" t="n">
        <v>8504.200000000001</v>
      </c>
      <c r="H156" s="2" t="n">
        <v>8285.5</v>
      </c>
      <c r="I156" s="2" t="n">
        <v>218.6</v>
      </c>
      <c r="J156" s="2" t="n">
        <v>8639.299999999999</v>
      </c>
      <c r="K156" s="2" t="n">
        <v>0.9</v>
      </c>
      <c r="L156" s="2" t="inlineStr">
        <is>
          <t>None</t>
        </is>
      </c>
      <c r="M156" s="2" t="inlineStr">
        <is>
          <t>Released</t>
        </is>
      </c>
      <c r="N156" s="2" t="inlineStr">
        <is>
          <t>None</t>
        </is>
      </c>
      <c r="O156" s="2" t="n">
        <v>0</v>
      </c>
      <c r="P156" s="2" t="n">
        <v>50.7</v>
      </c>
      <c r="Q156" s="2" t="n">
        <v>4420.6</v>
      </c>
      <c r="R156" s="2" t="n">
        <v>7.31</v>
      </c>
      <c r="S156" s="5">
        <f>G156/F156</f>
        <v/>
      </c>
      <c r="T156" s="5">
        <f>MAX(0,1/K156/8)</f>
        <v/>
      </c>
      <c r="U156" s="5">
        <f>IFERROR(G156/(F156*T156),0)</f>
        <v/>
      </c>
      <c r="V156" s="5">
        <f>IFERROR(H156/G156,0)</f>
        <v/>
      </c>
      <c r="W156" s="5">
        <f>T156*U156*V156</f>
        <v/>
      </c>
      <c r="X156" s="5">
        <f>IFERROR(G156/J156,0)</f>
        <v/>
      </c>
      <c r="Y156" s="5">
        <f>IFERROR(I156/G156,0)</f>
        <v/>
      </c>
      <c r="Z156" s="6">
        <f>IFERROR(G156/P156,0)</f>
        <v/>
      </c>
      <c r="AA156" s="7">
        <f>IFERROR(Q156/G156,0)</f>
        <v/>
      </c>
      <c r="AB156" s="8">
        <f>R156+K156</f>
        <v/>
      </c>
    </row>
    <row r="157">
      <c r="A157" s="2" t="n">
        <v>153</v>
      </c>
      <c r="B157" s="4" t="n">
        <v>46099</v>
      </c>
      <c r="C157" s="2" t="inlineStr">
        <is>
          <t>Solid Dose Line 1</t>
        </is>
      </c>
      <c r="D157" s="2" t="inlineStr">
        <is>
          <t>Product B</t>
        </is>
      </c>
      <c r="E157" s="2" t="inlineStr">
        <is>
          <t>Evening</t>
        </is>
      </c>
      <c r="F157" s="2" t="n">
        <v>10108</v>
      </c>
      <c r="G157" s="2" t="n">
        <v>7819.1</v>
      </c>
      <c r="H157" s="2" t="n">
        <v>7741.4</v>
      </c>
      <c r="I157" s="2" t="n">
        <v>77.8</v>
      </c>
      <c r="J157" s="2" t="n">
        <v>7948.7</v>
      </c>
      <c r="K157" s="2" t="n">
        <v>1.13</v>
      </c>
      <c r="L157" s="2" t="inlineStr">
        <is>
          <t>None</t>
        </is>
      </c>
      <c r="M157" s="2" t="inlineStr">
        <is>
          <t>Released</t>
        </is>
      </c>
      <c r="N157" s="2" t="inlineStr">
        <is>
          <t>None</t>
        </is>
      </c>
      <c r="O157" s="2" t="n">
        <v>0</v>
      </c>
      <c r="P157" s="2" t="n">
        <v>39.5</v>
      </c>
      <c r="Q157" s="2" t="n">
        <v>3872.3</v>
      </c>
      <c r="R157" s="2" t="n">
        <v>6.56</v>
      </c>
      <c r="S157" s="5">
        <f>G157/F157</f>
        <v/>
      </c>
      <c r="T157" s="5">
        <f>MAX(0,1/K157/8)</f>
        <v/>
      </c>
      <c r="U157" s="5">
        <f>IFERROR(G157/(F157*T157),0)</f>
        <v/>
      </c>
      <c r="V157" s="5">
        <f>IFERROR(H157/G157,0)</f>
        <v/>
      </c>
      <c r="W157" s="5">
        <f>T157*U157*V157</f>
        <v/>
      </c>
      <c r="X157" s="5">
        <f>IFERROR(G157/J157,0)</f>
        <v/>
      </c>
      <c r="Y157" s="5">
        <f>IFERROR(I157/G157,0)</f>
        <v/>
      </c>
      <c r="Z157" s="6">
        <f>IFERROR(G157/P157,0)</f>
        <v/>
      </c>
      <c r="AA157" s="7">
        <f>IFERROR(Q157/G157,0)</f>
        <v/>
      </c>
      <c r="AB157" s="8">
        <f>R157+K157</f>
        <v/>
      </c>
    </row>
    <row r="158">
      <c r="A158" s="2" t="n">
        <v>154</v>
      </c>
      <c r="B158" s="4" t="n">
        <v>46099</v>
      </c>
      <c r="C158" s="2" t="inlineStr">
        <is>
          <t>Solid Dose Line 2</t>
        </is>
      </c>
      <c r="D158" s="2" t="inlineStr">
        <is>
          <t>Product B</t>
        </is>
      </c>
      <c r="E158" s="2" t="inlineStr">
        <is>
          <t>Day</t>
        </is>
      </c>
      <c r="F158" s="2" t="n">
        <v>10244</v>
      </c>
      <c r="G158" s="2" t="n">
        <v>7084.1</v>
      </c>
      <c r="H158" s="2" t="n">
        <v>6940.6</v>
      </c>
      <c r="I158" s="2" t="n">
        <v>143.5</v>
      </c>
      <c r="J158" s="2" t="n">
        <v>7118.2</v>
      </c>
      <c r="K158" s="2" t="n">
        <v>1.94</v>
      </c>
      <c r="L158" s="2" t="inlineStr">
        <is>
          <t>Process</t>
        </is>
      </c>
      <c r="M158" s="2" t="inlineStr">
        <is>
          <t>Released</t>
        </is>
      </c>
      <c r="N158" s="2" t="inlineStr">
        <is>
          <t>None</t>
        </is>
      </c>
      <c r="O158" s="2" t="n">
        <v>0</v>
      </c>
      <c r="P158" s="2" t="n">
        <v>51.4</v>
      </c>
      <c r="Q158" s="2" t="n">
        <v>3924.8</v>
      </c>
      <c r="R158" s="2" t="n">
        <v>6.57</v>
      </c>
      <c r="S158" s="5">
        <f>G158/F158</f>
        <v/>
      </c>
      <c r="T158" s="5">
        <f>MAX(0,1/K158/8)</f>
        <v/>
      </c>
      <c r="U158" s="5">
        <f>IFERROR(G158/(F158*T158),0)</f>
        <v/>
      </c>
      <c r="V158" s="5">
        <f>IFERROR(H158/G158,0)</f>
        <v/>
      </c>
      <c r="W158" s="5">
        <f>T158*U158*V158</f>
        <v/>
      </c>
      <c r="X158" s="5">
        <f>IFERROR(G158/J158,0)</f>
        <v/>
      </c>
      <c r="Y158" s="5">
        <f>IFERROR(I158/G158,0)</f>
        <v/>
      </c>
      <c r="Z158" s="6">
        <f>IFERROR(G158/P158,0)</f>
        <v/>
      </c>
      <c r="AA158" s="7">
        <f>IFERROR(Q158/G158,0)</f>
        <v/>
      </c>
      <c r="AB158" s="8">
        <f>R158+K158</f>
        <v/>
      </c>
    </row>
    <row r="159">
      <c r="A159" s="2" t="n">
        <v>155</v>
      </c>
      <c r="B159" s="4" t="n">
        <v>46100</v>
      </c>
      <c r="C159" s="2" t="inlineStr">
        <is>
          <t>Solid Dose Line 1</t>
        </is>
      </c>
      <c r="D159" s="2" t="inlineStr">
        <is>
          <t>Product C</t>
        </is>
      </c>
      <c r="E159" s="2" t="inlineStr">
        <is>
          <t>Evening</t>
        </is>
      </c>
      <c r="F159" s="2" t="n">
        <v>11240</v>
      </c>
      <c r="G159" s="2" t="n">
        <v>7733.9</v>
      </c>
      <c r="H159" s="2" t="n">
        <v>7669.3</v>
      </c>
      <c r="I159" s="2" t="n">
        <v>64.59999999999999</v>
      </c>
      <c r="J159" s="2" t="n">
        <v>7903.2</v>
      </c>
      <c r="K159" s="2" t="n">
        <v>1.91</v>
      </c>
      <c r="L159" s="2" t="inlineStr">
        <is>
          <t>Documentation</t>
        </is>
      </c>
      <c r="M159" s="2" t="inlineStr">
        <is>
          <t>Released</t>
        </is>
      </c>
      <c r="N159" s="2" t="inlineStr">
        <is>
          <t>None</t>
        </is>
      </c>
      <c r="O159" s="2" t="n">
        <v>0</v>
      </c>
      <c r="P159" s="2" t="n">
        <v>34.1</v>
      </c>
      <c r="Q159" s="2" t="n">
        <v>4033.9</v>
      </c>
      <c r="R159" s="2" t="n">
        <v>7.28</v>
      </c>
      <c r="S159" s="5">
        <f>G159/F159</f>
        <v/>
      </c>
      <c r="T159" s="5">
        <f>MAX(0,1/K159/8)</f>
        <v/>
      </c>
      <c r="U159" s="5">
        <f>IFERROR(G159/(F159*T159),0)</f>
        <v/>
      </c>
      <c r="V159" s="5">
        <f>IFERROR(H159/G159,0)</f>
        <v/>
      </c>
      <c r="W159" s="5">
        <f>T159*U159*V159</f>
        <v/>
      </c>
      <c r="X159" s="5">
        <f>IFERROR(G159/J159,0)</f>
        <v/>
      </c>
      <c r="Y159" s="5">
        <f>IFERROR(I159/G159,0)</f>
        <v/>
      </c>
      <c r="Z159" s="6">
        <f>IFERROR(G159/P159,0)</f>
        <v/>
      </c>
      <c r="AA159" s="7">
        <f>IFERROR(Q159/G159,0)</f>
        <v/>
      </c>
      <c r="AB159" s="8">
        <f>R159+K159</f>
        <v/>
      </c>
    </row>
    <row r="160">
      <c r="A160" s="2" t="n">
        <v>156</v>
      </c>
      <c r="B160" s="4" t="n">
        <v>46100</v>
      </c>
      <c r="C160" s="2" t="inlineStr">
        <is>
          <t>Solid Dose Line 2</t>
        </is>
      </c>
      <c r="D160" s="2" t="inlineStr">
        <is>
          <t>Product A</t>
        </is>
      </c>
      <c r="E160" s="2" t="inlineStr">
        <is>
          <t>Evening</t>
        </is>
      </c>
      <c r="F160" s="2" t="n">
        <v>11306</v>
      </c>
      <c r="G160" s="2" t="n">
        <v>8780.9</v>
      </c>
      <c r="H160" s="2" t="n">
        <v>8605.5</v>
      </c>
      <c r="I160" s="2" t="n">
        <v>175.4</v>
      </c>
      <c r="J160" s="2" t="n">
        <v>9039.6</v>
      </c>
      <c r="K160" s="2" t="n">
        <v>1.02</v>
      </c>
      <c r="L160" s="2" t="inlineStr">
        <is>
          <t>None</t>
        </is>
      </c>
      <c r="M160" s="2" t="inlineStr">
        <is>
          <t>Released</t>
        </is>
      </c>
      <c r="N160" s="2" t="inlineStr">
        <is>
          <t>None</t>
        </is>
      </c>
      <c r="O160" s="2" t="n">
        <v>0</v>
      </c>
      <c r="P160" s="2" t="n">
        <v>41.1</v>
      </c>
      <c r="Q160" s="2" t="n">
        <v>5192.9</v>
      </c>
      <c r="R160" s="2" t="n">
        <v>7.78</v>
      </c>
      <c r="S160" s="5">
        <f>G160/F160</f>
        <v/>
      </c>
      <c r="T160" s="5">
        <f>MAX(0,1/K160/8)</f>
        <v/>
      </c>
      <c r="U160" s="5">
        <f>IFERROR(G160/(F160*T160),0)</f>
        <v/>
      </c>
      <c r="V160" s="5">
        <f>IFERROR(H160/G160,0)</f>
        <v/>
      </c>
      <c r="W160" s="5">
        <f>T160*U160*V160</f>
        <v/>
      </c>
      <c r="X160" s="5">
        <f>IFERROR(G160/J160,0)</f>
        <v/>
      </c>
      <c r="Y160" s="5">
        <f>IFERROR(I160/G160,0)</f>
        <v/>
      </c>
      <c r="Z160" s="6">
        <f>IFERROR(G160/P160,0)</f>
        <v/>
      </c>
      <c r="AA160" s="7">
        <f>IFERROR(Q160/G160,0)</f>
        <v/>
      </c>
      <c r="AB160" s="8">
        <f>R160+K160</f>
        <v/>
      </c>
    </row>
    <row r="161">
      <c r="A161" s="2" t="n">
        <v>157</v>
      </c>
      <c r="B161" s="4" t="n">
        <v>46101</v>
      </c>
      <c r="C161" s="2" t="inlineStr">
        <is>
          <t>Solid Dose Line 1</t>
        </is>
      </c>
      <c r="D161" s="2" t="inlineStr">
        <is>
          <t>Product B</t>
        </is>
      </c>
      <c r="E161" s="2" t="inlineStr">
        <is>
          <t>Day</t>
        </is>
      </c>
      <c r="F161" s="2" t="n">
        <v>9444</v>
      </c>
      <c r="G161" s="2" t="n">
        <v>6458.1</v>
      </c>
      <c r="H161" s="2" t="n">
        <v>6398.2</v>
      </c>
      <c r="I161" s="2" t="n">
        <v>59.9</v>
      </c>
      <c r="J161" s="2" t="n">
        <v>6564.8</v>
      </c>
      <c r="K161" s="2" t="n">
        <v>2.48</v>
      </c>
      <c r="L161" s="2" t="inlineStr">
        <is>
          <t>None</t>
        </is>
      </c>
      <c r="M161" s="2" t="inlineStr">
        <is>
          <t>Released</t>
        </is>
      </c>
      <c r="N161" s="2" t="inlineStr">
        <is>
          <t>Preventive</t>
        </is>
      </c>
      <c r="O161" s="2" t="n">
        <v>287.44</v>
      </c>
      <c r="P161" s="2" t="n">
        <v>40.3</v>
      </c>
      <c r="Q161" s="2" t="n">
        <v>3225.8</v>
      </c>
      <c r="R161" s="2" t="n">
        <v>6.95</v>
      </c>
      <c r="S161" s="5">
        <f>G161/F161</f>
        <v/>
      </c>
      <c r="T161" s="5">
        <f>MAX(0,1/K161/8)</f>
        <v/>
      </c>
      <c r="U161" s="5">
        <f>IFERROR(G161/(F161*T161),0)</f>
        <v/>
      </c>
      <c r="V161" s="5">
        <f>IFERROR(H161/G161,0)</f>
        <v/>
      </c>
      <c r="W161" s="5">
        <f>T161*U161*V161</f>
        <v/>
      </c>
      <c r="X161" s="5">
        <f>IFERROR(G161/J161,0)</f>
        <v/>
      </c>
      <c r="Y161" s="5">
        <f>IFERROR(I161/G161,0)</f>
        <v/>
      </c>
      <c r="Z161" s="6">
        <f>IFERROR(G161/P161,0)</f>
        <v/>
      </c>
      <c r="AA161" s="7">
        <f>IFERROR(Q161/G161,0)</f>
        <v/>
      </c>
      <c r="AB161" s="8">
        <f>R161+K161</f>
        <v/>
      </c>
    </row>
    <row r="162">
      <c r="A162" s="2" t="n">
        <v>158</v>
      </c>
      <c r="B162" s="4" t="n">
        <v>46101</v>
      </c>
      <c r="C162" s="2" t="inlineStr">
        <is>
          <t>Solid Dose Line 2</t>
        </is>
      </c>
      <c r="D162" s="2" t="inlineStr">
        <is>
          <t>Product A</t>
        </is>
      </c>
      <c r="E162" s="2" t="inlineStr">
        <is>
          <t>Day</t>
        </is>
      </c>
      <c r="F162" s="2" t="n">
        <v>11774</v>
      </c>
      <c r="G162" s="2" t="n">
        <v>9088.4</v>
      </c>
      <c r="H162" s="2" t="n">
        <v>8854.9</v>
      </c>
      <c r="I162" s="2" t="n">
        <v>233.5</v>
      </c>
      <c r="J162" s="2" t="n">
        <v>9139.700000000001</v>
      </c>
      <c r="K162" s="2" t="n">
        <v>1.22</v>
      </c>
      <c r="L162" s="2" t="inlineStr">
        <is>
          <t>None</t>
        </is>
      </c>
      <c r="M162" s="2" t="inlineStr">
        <is>
          <t>Released</t>
        </is>
      </c>
      <c r="N162" s="2" t="inlineStr">
        <is>
          <t>Corrective</t>
        </is>
      </c>
      <c r="O162" s="2" t="n">
        <v>863.3099999999999</v>
      </c>
      <c r="P162" s="2" t="n">
        <v>35.2</v>
      </c>
      <c r="Q162" s="2" t="n">
        <v>4863.9</v>
      </c>
      <c r="R162" s="2" t="n">
        <v>7.31</v>
      </c>
      <c r="S162" s="5">
        <f>G162/F162</f>
        <v/>
      </c>
      <c r="T162" s="5">
        <f>MAX(0,1/K162/8)</f>
        <v/>
      </c>
      <c r="U162" s="5">
        <f>IFERROR(G162/(F162*T162),0)</f>
        <v/>
      </c>
      <c r="V162" s="5">
        <f>IFERROR(H162/G162,0)</f>
        <v/>
      </c>
      <c r="W162" s="5">
        <f>T162*U162*V162</f>
        <v/>
      </c>
      <c r="X162" s="5">
        <f>IFERROR(G162/J162,0)</f>
        <v/>
      </c>
      <c r="Y162" s="5">
        <f>IFERROR(I162/G162,0)</f>
        <v/>
      </c>
      <c r="Z162" s="6">
        <f>IFERROR(G162/P162,0)</f>
        <v/>
      </c>
      <c r="AA162" s="7">
        <f>IFERROR(Q162/G162,0)</f>
        <v/>
      </c>
      <c r="AB162" s="8">
        <f>R162+K162</f>
        <v/>
      </c>
    </row>
    <row r="163">
      <c r="A163" s="2" t="n">
        <v>159</v>
      </c>
      <c r="B163" s="4" t="n">
        <v>46102</v>
      </c>
      <c r="C163" s="2" t="inlineStr">
        <is>
          <t>Solid Dose Line 1</t>
        </is>
      </c>
      <c r="D163" s="2" t="inlineStr">
        <is>
          <t>Product B</t>
        </is>
      </c>
      <c r="E163" s="2" t="inlineStr">
        <is>
          <t>Day</t>
        </is>
      </c>
      <c r="F163" s="2" t="n">
        <v>10029</v>
      </c>
      <c r="G163" s="2" t="n">
        <v>7134.8</v>
      </c>
      <c r="H163" s="2" t="n">
        <v>7056.2</v>
      </c>
      <c r="I163" s="2" t="n">
        <v>78.59999999999999</v>
      </c>
      <c r="J163" s="2" t="n">
        <v>7171.7</v>
      </c>
      <c r="K163" s="2" t="n">
        <v>1.92</v>
      </c>
      <c r="L163" s="2" t="inlineStr">
        <is>
          <t>None</t>
        </is>
      </c>
      <c r="M163" s="2" t="inlineStr">
        <is>
          <t>Released</t>
        </is>
      </c>
      <c r="N163" s="2" t="inlineStr">
        <is>
          <t>None</t>
        </is>
      </c>
      <c r="O163" s="2" t="n">
        <v>0</v>
      </c>
      <c r="P163" s="2" t="n">
        <v>38.2</v>
      </c>
      <c r="Q163" s="2" t="n">
        <v>3323.6</v>
      </c>
      <c r="R163" s="2" t="n">
        <v>7.55</v>
      </c>
      <c r="S163" s="5">
        <f>G163/F163</f>
        <v/>
      </c>
      <c r="T163" s="5">
        <f>MAX(0,1/K163/8)</f>
        <v/>
      </c>
      <c r="U163" s="5">
        <f>IFERROR(G163/(F163*T163),0)</f>
        <v/>
      </c>
      <c r="V163" s="5">
        <f>IFERROR(H163/G163,0)</f>
        <v/>
      </c>
      <c r="W163" s="5">
        <f>T163*U163*V163</f>
        <v/>
      </c>
      <c r="X163" s="5">
        <f>IFERROR(G163/J163,0)</f>
        <v/>
      </c>
      <c r="Y163" s="5">
        <f>IFERROR(I163/G163,0)</f>
        <v/>
      </c>
      <c r="Z163" s="6">
        <f>IFERROR(G163/P163,0)</f>
        <v/>
      </c>
      <c r="AA163" s="7">
        <f>IFERROR(Q163/G163,0)</f>
        <v/>
      </c>
      <c r="AB163" s="8">
        <f>R163+K163</f>
        <v/>
      </c>
    </row>
    <row r="164">
      <c r="A164" s="2" t="n">
        <v>160</v>
      </c>
      <c r="B164" s="4" t="n">
        <v>46102</v>
      </c>
      <c r="C164" s="2" t="inlineStr">
        <is>
          <t>Solid Dose Line 2</t>
        </is>
      </c>
      <c r="D164" s="2" t="inlineStr">
        <is>
          <t>Product B</t>
        </is>
      </c>
      <c r="E164" s="2" t="inlineStr">
        <is>
          <t>Night</t>
        </is>
      </c>
      <c r="F164" s="2" t="n">
        <v>11820</v>
      </c>
      <c r="G164" s="2" t="n">
        <v>7474.2</v>
      </c>
      <c r="H164" s="2" t="n">
        <v>7353.5</v>
      </c>
      <c r="I164" s="2" t="n">
        <v>120.7</v>
      </c>
      <c r="J164" s="2" t="n">
        <v>7590.4</v>
      </c>
      <c r="K164" s="2" t="n">
        <v>3.66</v>
      </c>
      <c r="L164" s="2" t="inlineStr">
        <is>
          <t>Equipment</t>
        </is>
      </c>
      <c r="M164" s="2" t="inlineStr">
        <is>
          <t>Released</t>
        </is>
      </c>
      <c r="N164" s="2" t="inlineStr">
        <is>
          <t>None</t>
        </is>
      </c>
      <c r="O164" s="2" t="n">
        <v>0</v>
      </c>
      <c r="P164" s="2" t="n">
        <v>44.6</v>
      </c>
      <c r="Q164" s="2" t="n">
        <v>4031.2</v>
      </c>
      <c r="R164" s="2" t="n">
        <v>6.69</v>
      </c>
      <c r="S164" s="5">
        <f>G164/F164</f>
        <v/>
      </c>
      <c r="T164" s="5">
        <f>MAX(0,1/K164/8)</f>
        <v/>
      </c>
      <c r="U164" s="5">
        <f>IFERROR(G164/(F164*T164),0)</f>
        <v/>
      </c>
      <c r="V164" s="5">
        <f>IFERROR(H164/G164,0)</f>
        <v/>
      </c>
      <c r="W164" s="5">
        <f>T164*U164*V164</f>
        <v/>
      </c>
      <c r="X164" s="5">
        <f>IFERROR(G164/J164,0)</f>
        <v/>
      </c>
      <c r="Y164" s="5">
        <f>IFERROR(I164/G164,0)</f>
        <v/>
      </c>
      <c r="Z164" s="6">
        <f>IFERROR(G164/P164,0)</f>
        <v/>
      </c>
      <c r="AA164" s="7">
        <f>IFERROR(Q164/G164,0)</f>
        <v/>
      </c>
      <c r="AB164" s="8">
        <f>R164+K164</f>
        <v/>
      </c>
    </row>
    <row r="165">
      <c r="A165" s="2" t="n">
        <v>161</v>
      </c>
      <c r="B165" s="4" t="n">
        <v>46103</v>
      </c>
      <c r="C165" s="2" t="inlineStr">
        <is>
          <t>Solid Dose Line 1</t>
        </is>
      </c>
      <c r="D165" s="2" t="inlineStr">
        <is>
          <t>Product A</t>
        </is>
      </c>
      <c r="E165" s="2" t="inlineStr">
        <is>
          <t>Day</t>
        </is>
      </c>
      <c r="F165" s="2" t="n">
        <v>10649</v>
      </c>
      <c r="G165" s="2" t="n">
        <v>8255.1</v>
      </c>
      <c r="H165" s="2" t="n">
        <v>8173.9</v>
      </c>
      <c r="I165" s="2" t="n">
        <v>81.2</v>
      </c>
      <c r="J165" s="2" t="n">
        <v>8323.9</v>
      </c>
      <c r="K165" s="2" t="n">
        <v>1.29</v>
      </c>
      <c r="L165" s="2" t="inlineStr">
        <is>
          <t>Process</t>
        </is>
      </c>
      <c r="M165" s="2" t="inlineStr">
        <is>
          <t>Released</t>
        </is>
      </c>
      <c r="N165" s="2" t="inlineStr">
        <is>
          <t>None</t>
        </is>
      </c>
      <c r="O165" s="2" t="n">
        <v>0</v>
      </c>
      <c r="P165" s="2" t="n">
        <v>42.6</v>
      </c>
      <c r="Q165" s="2" t="n">
        <v>4321.2</v>
      </c>
      <c r="R165" s="2" t="n">
        <v>8</v>
      </c>
      <c r="S165" s="5">
        <f>G165/F165</f>
        <v/>
      </c>
      <c r="T165" s="5">
        <f>MAX(0,1/K165/8)</f>
        <v/>
      </c>
      <c r="U165" s="5">
        <f>IFERROR(G165/(F165*T165),0)</f>
        <v/>
      </c>
      <c r="V165" s="5">
        <f>IFERROR(H165/G165,0)</f>
        <v/>
      </c>
      <c r="W165" s="5">
        <f>T165*U165*V165</f>
        <v/>
      </c>
      <c r="X165" s="5">
        <f>IFERROR(G165/J165,0)</f>
        <v/>
      </c>
      <c r="Y165" s="5">
        <f>IFERROR(I165/G165,0)</f>
        <v/>
      </c>
      <c r="Z165" s="6">
        <f>IFERROR(G165/P165,0)</f>
        <v/>
      </c>
      <c r="AA165" s="7">
        <f>IFERROR(Q165/G165,0)</f>
        <v/>
      </c>
      <c r="AB165" s="8">
        <f>R165+K165</f>
        <v/>
      </c>
    </row>
    <row r="166">
      <c r="A166" s="2" t="n">
        <v>162</v>
      </c>
      <c r="B166" s="4" t="n">
        <v>46103</v>
      </c>
      <c r="C166" s="2" t="inlineStr">
        <is>
          <t>Solid Dose Line 2</t>
        </is>
      </c>
      <c r="D166" s="2" t="inlineStr">
        <is>
          <t>Product A</t>
        </is>
      </c>
      <c r="E166" s="2" t="inlineStr">
        <is>
          <t>Evening</t>
        </is>
      </c>
      <c r="F166" s="2" t="n">
        <v>11423</v>
      </c>
      <c r="G166" s="2" t="n">
        <v>8374.5</v>
      </c>
      <c r="H166" s="2" t="n">
        <v>8260.799999999999</v>
      </c>
      <c r="I166" s="2" t="n">
        <v>113.8</v>
      </c>
      <c r="J166" s="2" t="n">
        <v>8600.299999999999</v>
      </c>
      <c r="K166" s="2" t="n">
        <v>1.53</v>
      </c>
      <c r="L166" s="2" t="inlineStr">
        <is>
          <t>Material</t>
        </is>
      </c>
      <c r="M166" s="2" t="inlineStr">
        <is>
          <t>Released</t>
        </is>
      </c>
      <c r="N166" s="2" t="inlineStr">
        <is>
          <t>None</t>
        </is>
      </c>
      <c r="O166" s="2" t="n">
        <v>0</v>
      </c>
      <c r="P166" s="2" t="n">
        <v>46.5</v>
      </c>
      <c r="Q166" s="2" t="n">
        <v>4407.9</v>
      </c>
      <c r="R166" s="2" t="n">
        <v>7.14</v>
      </c>
      <c r="S166" s="5">
        <f>G166/F166</f>
        <v/>
      </c>
      <c r="T166" s="5">
        <f>MAX(0,1/K166/8)</f>
        <v/>
      </c>
      <c r="U166" s="5">
        <f>IFERROR(G166/(F166*T166),0)</f>
        <v/>
      </c>
      <c r="V166" s="5">
        <f>IFERROR(H166/G166,0)</f>
        <v/>
      </c>
      <c r="W166" s="5">
        <f>T166*U166*V166</f>
        <v/>
      </c>
      <c r="X166" s="5">
        <f>IFERROR(G166/J166,0)</f>
        <v/>
      </c>
      <c r="Y166" s="5">
        <f>IFERROR(I166/G166,0)</f>
        <v/>
      </c>
      <c r="Z166" s="6">
        <f>IFERROR(G166/P166,0)</f>
        <v/>
      </c>
      <c r="AA166" s="7">
        <f>IFERROR(Q166/G166,0)</f>
        <v/>
      </c>
      <c r="AB166" s="8">
        <f>R166+K166</f>
        <v/>
      </c>
    </row>
    <row r="167">
      <c r="A167" s="2" t="n">
        <v>163</v>
      </c>
      <c r="B167" s="4" t="n">
        <v>46104</v>
      </c>
      <c r="C167" s="2" t="inlineStr">
        <is>
          <t>Solid Dose Line 1</t>
        </is>
      </c>
      <c r="D167" s="2" t="inlineStr">
        <is>
          <t>Product B</t>
        </is>
      </c>
      <c r="E167" s="2" t="inlineStr">
        <is>
          <t>Day</t>
        </is>
      </c>
      <c r="F167" s="2" t="n">
        <v>9956</v>
      </c>
      <c r="G167" s="2" t="n">
        <v>6400.3</v>
      </c>
      <c r="H167" s="2" t="n">
        <v>6306.4</v>
      </c>
      <c r="I167" s="2" t="n">
        <v>93.90000000000001</v>
      </c>
      <c r="J167" s="2" t="n">
        <v>6461.6</v>
      </c>
      <c r="K167" s="2" t="n">
        <v>2.61</v>
      </c>
      <c r="L167" s="2" t="inlineStr">
        <is>
          <t>Equipment</t>
        </is>
      </c>
      <c r="M167" s="2" t="inlineStr">
        <is>
          <t>Released</t>
        </is>
      </c>
      <c r="N167" s="2" t="inlineStr">
        <is>
          <t>None</t>
        </is>
      </c>
      <c r="O167" s="2" t="n">
        <v>0</v>
      </c>
      <c r="P167" s="2" t="n">
        <v>44.1</v>
      </c>
      <c r="Q167" s="2" t="n">
        <v>3229.7</v>
      </c>
      <c r="R167" s="2" t="n">
        <v>6.71</v>
      </c>
      <c r="S167" s="5">
        <f>G167/F167</f>
        <v/>
      </c>
      <c r="T167" s="5">
        <f>MAX(0,1/K167/8)</f>
        <v/>
      </c>
      <c r="U167" s="5">
        <f>IFERROR(G167/(F167*T167),0)</f>
        <v/>
      </c>
      <c r="V167" s="5">
        <f>IFERROR(H167/G167,0)</f>
        <v/>
      </c>
      <c r="W167" s="5">
        <f>T167*U167*V167</f>
        <v/>
      </c>
      <c r="X167" s="5">
        <f>IFERROR(G167/J167,0)</f>
        <v/>
      </c>
      <c r="Y167" s="5">
        <f>IFERROR(I167/G167,0)</f>
        <v/>
      </c>
      <c r="Z167" s="6">
        <f>IFERROR(G167/P167,0)</f>
        <v/>
      </c>
      <c r="AA167" s="7">
        <f>IFERROR(Q167/G167,0)</f>
        <v/>
      </c>
      <c r="AB167" s="8">
        <f>R167+K167</f>
        <v/>
      </c>
    </row>
    <row r="168">
      <c r="A168" s="2" t="n">
        <v>164</v>
      </c>
      <c r="B168" s="4" t="n">
        <v>46104</v>
      </c>
      <c r="C168" s="2" t="inlineStr">
        <is>
          <t>Solid Dose Line 2</t>
        </is>
      </c>
      <c r="D168" s="2" t="inlineStr">
        <is>
          <t>Product B</t>
        </is>
      </c>
      <c r="E168" s="2" t="inlineStr">
        <is>
          <t>Evening</t>
        </is>
      </c>
      <c r="F168" s="2" t="n">
        <v>11196</v>
      </c>
      <c r="G168" s="2" t="n">
        <v>7798</v>
      </c>
      <c r="H168" s="2" t="n">
        <v>7713.5</v>
      </c>
      <c r="I168" s="2" t="n">
        <v>84.40000000000001</v>
      </c>
      <c r="J168" s="2" t="n">
        <v>7924.9</v>
      </c>
      <c r="K168" s="2" t="n">
        <v>2.16</v>
      </c>
      <c r="L168" s="2" t="inlineStr">
        <is>
          <t>None</t>
        </is>
      </c>
      <c r="M168" s="2" t="inlineStr">
        <is>
          <t>Released</t>
        </is>
      </c>
      <c r="N168" s="2" t="inlineStr">
        <is>
          <t>None</t>
        </is>
      </c>
      <c r="O168" s="2" t="n">
        <v>0</v>
      </c>
      <c r="P168" s="2" t="n">
        <v>47.7</v>
      </c>
      <c r="Q168" s="2" t="n">
        <v>4394.6</v>
      </c>
      <c r="R168" s="2" t="n">
        <v>7.83</v>
      </c>
      <c r="S168" s="5">
        <f>G168/F168</f>
        <v/>
      </c>
      <c r="T168" s="5">
        <f>MAX(0,1/K168/8)</f>
        <v/>
      </c>
      <c r="U168" s="5">
        <f>IFERROR(G168/(F168*T168),0)</f>
        <v/>
      </c>
      <c r="V168" s="5">
        <f>IFERROR(H168/G168,0)</f>
        <v/>
      </c>
      <c r="W168" s="5">
        <f>T168*U168*V168</f>
        <v/>
      </c>
      <c r="X168" s="5">
        <f>IFERROR(G168/J168,0)</f>
        <v/>
      </c>
      <c r="Y168" s="5">
        <f>IFERROR(I168/G168,0)</f>
        <v/>
      </c>
      <c r="Z168" s="6">
        <f>IFERROR(G168/P168,0)</f>
        <v/>
      </c>
      <c r="AA168" s="7">
        <f>IFERROR(Q168/G168,0)</f>
        <v/>
      </c>
      <c r="AB168" s="8">
        <f>R168+K168</f>
        <v/>
      </c>
    </row>
    <row r="169">
      <c r="A169" s="2" t="n">
        <v>165</v>
      </c>
      <c r="B169" s="4" t="n">
        <v>46105</v>
      </c>
      <c r="C169" s="2" t="inlineStr">
        <is>
          <t>Solid Dose Line 1</t>
        </is>
      </c>
      <c r="D169" s="2" t="inlineStr">
        <is>
          <t>Product A</t>
        </is>
      </c>
      <c r="E169" s="2" t="inlineStr">
        <is>
          <t>Day</t>
        </is>
      </c>
      <c r="F169" s="2" t="n">
        <v>9935</v>
      </c>
      <c r="G169" s="2" t="n">
        <v>8421.1</v>
      </c>
      <c r="H169" s="2" t="n">
        <v>8272.5</v>
      </c>
      <c r="I169" s="2" t="n">
        <v>148.6</v>
      </c>
      <c r="J169" s="2" t="n">
        <v>8507</v>
      </c>
      <c r="K169" s="2" t="n">
        <v>1.1</v>
      </c>
      <c r="L169" s="2" t="inlineStr">
        <is>
          <t>None</t>
        </is>
      </c>
      <c r="M169" s="2" t="inlineStr">
        <is>
          <t>Released</t>
        </is>
      </c>
      <c r="N169" s="2" t="inlineStr">
        <is>
          <t>Corrective</t>
        </is>
      </c>
      <c r="O169" s="2" t="n">
        <v>746.11</v>
      </c>
      <c r="P169" s="2" t="n">
        <v>44.6</v>
      </c>
      <c r="Q169" s="2" t="n">
        <v>3903.6</v>
      </c>
      <c r="R169" s="2" t="n">
        <v>7.6</v>
      </c>
      <c r="S169" s="5">
        <f>G169/F169</f>
        <v/>
      </c>
      <c r="T169" s="5">
        <f>MAX(0,1/K169/8)</f>
        <v/>
      </c>
      <c r="U169" s="5">
        <f>IFERROR(G169/(F169*T169),0)</f>
        <v/>
      </c>
      <c r="V169" s="5">
        <f>IFERROR(H169/G169,0)</f>
        <v/>
      </c>
      <c r="W169" s="5">
        <f>T169*U169*V169</f>
        <v/>
      </c>
      <c r="X169" s="5">
        <f>IFERROR(G169/J169,0)</f>
        <v/>
      </c>
      <c r="Y169" s="5">
        <f>IFERROR(I169/G169,0)</f>
        <v/>
      </c>
      <c r="Z169" s="6">
        <f>IFERROR(G169/P169,0)</f>
        <v/>
      </c>
      <c r="AA169" s="7">
        <f>IFERROR(Q169/G169,0)</f>
        <v/>
      </c>
      <c r="AB169" s="8">
        <f>R169+K169</f>
        <v/>
      </c>
    </row>
    <row r="170">
      <c r="A170" s="2" t="n">
        <v>166</v>
      </c>
      <c r="B170" s="4" t="n">
        <v>46105</v>
      </c>
      <c r="C170" s="2" t="inlineStr">
        <is>
          <t>Solid Dose Line 2</t>
        </is>
      </c>
      <c r="D170" s="2" t="inlineStr">
        <is>
          <t>Product B</t>
        </is>
      </c>
      <c r="E170" s="2" t="inlineStr">
        <is>
          <t>Night</t>
        </is>
      </c>
      <c r="F170" s="2" t="n">
        <v>10031</v>
      </c>
      <c r="G170" s="2" t="n">
        <v>6761.8</v>
      </c>
      <c r="H170" s="2" t="n">
        <v>6618.1</v>
      </c>
      <c r="I170" s="2" t="n">
        <v>143.7</v>
      </c>
      <c r="J170" s="2" t="n">
        <v>6794.1</v>
      </c>
      <c r="K170" s="2" t="n">
        <v>1.86</v>
      </c>
      <c r="L170" s="2" t="inlineStr">
        <is>
          <t>None</t>
        </is>
      </c>
      <c r="M170" s="2" t="inlineStr">
        <is>
          <t>Released</t>
        </is>
      </c>
      <c r="N170" s="2" t="inlineStr">
        <is>
          <t>None</t>
        </is>
      </c>
      <c r="O170" s="2" t="n">
        <v>0</v>
      </c>
      <c r="P170" s="2" t="n">
        <v>34.8</v>
      </c>
      <c r="Q170" s="2" t="n">
        <v>3427.5</v>
      </c>
      <c r="R170" s="2" t="n">
        <v>6.79</v>
      </c>
      <c r="S170" s="5">
        <f>G170/F170</f>
        <v/>
      </c>
      <c r="T170" s="5">
        <f>MAX(0,1/K170/8)</f>
        <v/>
      </c>
      <c r="U170" s="5">
        <f>IFERROR(G170/(F170*T170),0)</f>
        <v/>
      </c>
      <c r="V170" s="5">
        <f>IFERROR(H170/G170,0)</f>
        <v/>
      </c>
      <c r="W170" s="5">
        <f>T170*U170*V170</f>
        <v/>
      </c>
      <c r="X170" s="5">
        <f>IFERROR(G170/J170,0)</f>
        <v/>
      </c>
      <c r="Y170" s="5">
        <f>IFERROR(I170/G170,0)</f>
        <v/>
      </c>
      <c r="Z170" s="6">
        <f>IFERROR(G170/P170,0)</f>
        <v/>
      </c>
      <c r="AA170" s="7">
        <f>IFERROR(Q170/G170,0)</f>
        <v/>
      </c>
      <c r="AB170" s="8">
        <f>R170+K170</f>
        <v/>
      </c>
    </row>
    <row r="171">
      <c r="A171" s="2" t="n">
        <v>167</v>
      </c>
      <c r="B171" s="4" t="n">
        <v>46106</v>
      </c>
      <c r="C171" s="2" t="inlineStr">
        <is>
          <t>Solid Dose Line 1</t>
        </is>
      </c>
      <c r="D171" s="2" t="inlineStr">
        <is>
          <t>Product B</t>
        </is>
      </c>
      <c r="E171" s="2" t="inlineStr">
        <is>
          <t>Evening</t>
        </is>
      </c>
      <c r="F171" s="2" t="n">
        <v>11551</v>
      </c>
      <c r="G171" s="2" t="n">
        <v>7397</v>
      </c>
      <c r="H171" s="2" t="n">
        <v>7296.6</v>
      </c>
      <c r="I171" s="2" t="n">
        <v>100.5</v>
      </c>
      <c r="J171" s="2" t="n">
        <v>7429.1</v>
      </c>
      <c r="K171" s="2" t="n">
        <v>3.27</v>
      </c>
      <c r="L171" s="2" t="inlineStr">
        <is>
          <t>Process</t>
        </is>
      </c>
      <c r="M171" s="2" t="inlineStr">
        <is>
          <t>Released</t>
        </is>
      </c>
      <c r="N171" s="2" t="inlineStr">
        <is>
          <t>None</t>
        </is>
      </c>
      <c r="O171" s="2" t="n">
        <v>0</v>
      </c>
      <c r="P171" s="2" t="n">
        <v>44.9</v>
      </c>
      <c r="Q171" s="2" t="n">
        <v>3748</v>
      </c>
      <c r="R171" s="2" t="n">
        <v>7.31</v>
      </c>
      <c r="S171" s="5">
        <f>G171/F171</f>
        <v/>
      </c>
      <c r="T171" s="5">
        <f>MAX(0,1/K171/8)</f>
        <v/>
      </c>
      <c r="U171" s="5">
        <f>IFERROR(G171/(F171*T171),0)</f>
        <v/>
      </c>
      <c r="V171" s="5">
        <f>IFERROR(H171/G171,0)</f>
        <v/>
      </c>
      <c r="W171" s="5">
        <f>T171*U171*V171</f>
        <v/>
      </c>
      <c r="X171" s="5">
        <f>IFERROR(G171/J171,0)</f>
        <v/>
      </c>
      <c r="Y171" s="5">
        <f>IFERROR(I171/G171,0)</f>
        <v/>
      </c>
      <c r="Z171" s="6">
        <f>IFERROR(G171/P171,0)</f>
        <v/>
      </c>
      <c r="AA171" s="7">
        <f>IFERROR(Q171/G171,0)</f>
        <v/>
      </c>
      <c r="AB171" s="8">
        <f>R171+K171</f>
        <v/>
      </c>
    </row>
    <row r="172">
      <c r="A172" s="2" t="n">
        <v>168</v>
      </c>
      <c r="B172" s="4" t="n">
        <v>46106</v>
      </c>
      <c r="C172" s="2" t="inlineStr">
        <is>
          <t>Solid Dose Line 2</t>
        </is>
      </c>
      <c r="D172" s="2" t="inlineStr">
        <is>
          <t>Product A</t>
        </is>
      </c>
      <c r="E172" s="2" t="inlineStr">
        <is>
          <t>Day</t>
        </is>
      </c>
      <c r="F172" s="2" t="n">
        <v>9995</v>
      </c>
      <c r="G172" s="2" t="n">
        <v>6494.5</v>
      </c>
      <c r="H172" s="2" t="n">
        <v>6388.1</v>
      </c>
      <c r="I172" s="2" t="n">
        <v>106.4</v>
      </c>
      <c r="J172" s="2" t="n">
        <v>6671</v>
      </c>
      <c r="K172" s="2" t="n">
        <v>3.3</v>
      </c>
      <c r="L172" s="2" t="inlineStr">
        <is>
          <t>Material</t>
        </is>
      </c>
      <c r="M172" s="2" t="inlineStr">
        <is>
          <t>Released</t>
        </is>
      </c>
      <c r="N172" s="2" t="inlineStr">
        <is>
          <t>None</t>
        </is>
      </c>
      <c r="O172" s="2" t="n">
        <v>0</v>
      </c>
      <c r="P172" s="2" t="n">
        <v>43</v>
      </c>
      <c r="Q172" s="2" t="n">
        <v>3565.3</v>
      </c>
      <c r="R172" s="2" t="n">
        <v>7.8</v>
      </c>
      <c r="S172" s="5">
        <f>G172/F172</f>
        <v/>
      </c>
      <c r="T172" s="5">
        <f>MAX(0,1/K172/8)</f>
        <v/>
      </c>
      <c r="U172" s="5">
        <f>IFERROR(G172/(F172*T172),0)</f>
        <v/>
      </c>
      <c r="V172" s="5">
        <f>IFERROR(H172/G172,0)</f>
        <v/>
      </c>
      <c r="W172" s="5">
        <f>T172*U172*V172</f>
        <v/>
      </c>
      <c r="X172" s="5">
        <f>IFERROR(G172/J172,0)</f>
        <v/>
      </c>
      <c r="Y172" s="5">
        <f>IFERROR(I172/G172,0)</f>
        <v/>
      </c>
      <c r="Z172" s="6">
        <f>IFERROR(G172/P172,0)</f>
        <v/>
      </c>
      <c r="AA172" s="7">
        <f>IFERROR(Q172/G172,0)</f>
        <v/>
      </c>
      <c r="AB172" s="8">
        <f>R172+K172</f>
        <v/>
      </c>
    </row>
    <row r="173">
      <c r="A173" s="2" t="n">
        <v>169</v>
      </c>
      <c r="B173" s="4" t="n">
        <v>46107</v>
      </c>
      <c r="C173" s="2" t="inlineStr">
        <is>
          <t>Solid Dose Line 1</t>
        </is>
      </c>
      <c r="D173" s="2" t="inlineStr">
        <is>
          <t>Product C</t>
        </is>
      </c>
      <c r="E173" s="2" t="inlineStr">
        <is>
          <t>Evening</t>
        </is>
      </c>
      <c r="F173" s="2" t="n">
        <v>9544</v>
      </c>
      <c r="G173" s="2" t="n">
        <v>8344.6</v>
      </c>
      <c r="H173" s="2" t="n">
        <v>8208.200000000001</v>
      </c>
      <c r="I173" s="2" t="n">
        <v>136.5</v>
      </c>
      <c r="J173" s="2" t="n">
        <v>8442.5</v>
      </c>
      <c r="K173" s="2" t="n">
        <v>0.27</v>
      </c>
      <c r="L173" s="2" t="inlineStr">
        <is>
          <t>None</t>
        </is>
      </c>
      <c r="M173" s="2" t="inlineStr">
        <is>
          <t>Under Review</t>
        </is>
      </c>
      <c r="N173" s="2" t="inlineStr">
        <is>
          <t>None</t>
        </is>
      </c>
      <c r="O173" s="2" t="n">
        <v>0</v>
      </c>
      <c r="P173" s="2" t="n">
        <v>46.3</v>
      </c>
      <c r="Q173" s="2" t="n">
        <v>4589.8</v>
      </c>
      <c r="R173" s="2" t="n">
        <v>6.59</v>
      </c>
      <c r="S173" s="5">
        <f>G173/F173</f>
        <v/>
      </c>
      <c r="T173" s="5">
        <f>MAX(0,1/K173/8)</f>
        <v/>
      </c>
      <c r="U173" s="5">
        <f>IFERROR(G173/(F173*T173),0)</f>
        <v/>
      </c>
      <c r="V173" s="5">
        <f>IFERROR(H173/G173,0)</f>
        <v/>
      </c>
      <c r="W173" s="5">
        <f>T173*U173*V173</f>
        <v/>
      </c>
      <c r="X173" s="5">
        <f>IFERROR(G173/J173,0)</f>
        <v/>
      </c>
      <c r="Y173" s="5">
        <f>IFERROR(I173/G173,0)</f>
        <v/>
      </c>
      <c r="Z173" s="6">
        <f>IFERROR(G173/P173,0)</f>
        <v/>
      </c>
      <c r="AA173" s="7">
        <f>IFERROR(Q173/G173,0)</f>
        <v/>
      </c>
      <c r="AB173" s="8">
        <f>R173+K173</f>
        <v/>
      </c>
    </row>
    <row r="174">
      <c r="A174" s="2" t="n">
        <v>170</v>
      </c>
      <c r="B174" s="4" t="n">
        <v>46107</v>
      </c>
      <c r="C174" s="2" t="inlineStr">
        <is>
          <t>Solid Dose Line 2</t>
        </is>
      </c>
      <c r="D174" s="2" t="inlineStr">
        <is>
          <t>Product A</t>
        </is>
      </c>
      <c r="E174" s="2" t="inlineStr">
        <is>
          <t>Day</t>
        </is>
      </c>
      <c r="F174" s="2" t="n">
        <v>9031</v>
      </c>
      <c r="G174" s="2" t="n">
        <v>6151.2</v>
      </c>
      <c r="H174" s="2" t="n">
        <v>6061.9</v>
      </c>
      <c r="I174" s="2" t="n">
        <v>89.3</v>
      </c>
      <c r="J174" s="2" t="n">
        <v>6231</v>
      </c>
      <c r="K174" s="2" t="n">
        <v>1.61</v>
      </c>
      <c r="L174" s="2" t="inlineStr">
        <is>
          <t>None</t>
        </is>
      </c>
      <c r="M174" s="2" t="inlineStr">
        <is>
          <t>Released</t>
        </is>
      </c>
      <c r="N174" s="2" t="inlineStr">
        <is>
          <t>None</t>
        </is>
      </c>
      <c r="O174" s="2" t="n">
        <v>0</v>
      </c>
      <c r="P174" s="2" t="n">
        <v>37.8</v>
      </c>
      <c r="Q174" s="2" t="n">
        <v>3347.5</v>
      </c>
      <c r="R174" s="2" t="n">
        <v>7.18</v>
      </c>
      <c r="S174" s="5">
        <f>G174/F174</f>
        <v/>
      </c>
      <c r="T174" s="5">
        <f>MAX(0,1/K174/8)</f>
        <v/>
      </c>
      <c r="U174" s="5">
        <f>IFERROR(G174/(F174*T174),0)</f>
        <v/>
      </c>
      <c r="V174" s="5">
        <f>IFERROR(H174/G174,0)</f>
        <v/>
      </c>
      <c r="W174" s="5">
        <f>T174*U174*V174</f>
        <v/>
      </c>
      <c r="X174" s="5">
        <f>IFERROR(G174/J174,0)</f>
        <v/>
      </c>
      <c r="Y174" s="5">
        <f>IFERROR(I174/G174,0)</f>
        <v/>
      </c>
      <c r="Z174" s="6">
        <f>IFERROR(G174/P174,0)</f>
        <v/>
      </c>
      <c r="AA174" s="7">
        <f>IFERROR(Q174/G174,0)</f>
        <v/>
      </c>
      <c r="AB174" s="8">
        <f>R174+K174</f>
        <v/>
      </c>
    </row>
    <row r="175">
      <c r="A175" s="2" t="n">
        <v>171</v>
      </c>
      <c r="B175" s="4" t="n">
        <v>46108</v>
      </c>
      <c r="C175" s="2" t="inlineStr">
        <is>
          <t>Solid Dose Line 1</t>
        </is>
      </c>
      <c r="D175" s="2" t="inlineStr">
        <is>
          <t>Product B</t>
        </is>
      </c>
      <c r="E175" s="2" t="inlineStr">
        <is>
          <t>Evening</t>
        </is>
      </c>
      <c r="F175" s="2" t="n">
        <v>11253</v>
      </c>
      <c r="G175" s="2" t="n">
        <v>8970.299999999999</v>
      </c>
      <c r="H175" s="2" t="n">
        <v>8823.700000000001</v>
      </c>
      <c r="I175" s="2" t="n">
        <v>146.6</v>
      </c>
      <c r="J175" s="2" t="n">
        <v>9173.200000000001</v>
      </c>
      <c r="K175" s="2" t="n">
        <v>0.97</v>
      </c>
      <c r="L175" s="2" t="inlineStr">
        <is>
          <t>None</t>
        </is>
      </c>
      <c r="M175" s="2" t="inlineStr">
        <is>
          <t>Released</t>
        </is>
      </c>
      <c r="N175" s="2" t="inlineStr">
        <is>
          <t>Emergency</t>
        </is>
      </c>
      <c r="O175" s="2" t="n">
        <v>1581.73</v>
      </c>
      <c r="P175" s="2" t="n">
        <v>32.8</v>
      </c>
      <c r="Q175" s="2" t="n">
        <v>4469.2</v>
      </c>
      <c r="R175" s="2" t="n">
        <v>7.02</v>
      </c>
      <c r="S175" s="5">
        <f>G175/F175</f>
        <v/>
      </c>
      <c r="T175" s="5">
        <f>MAX(0,1/K175/8)</f>
        <v/>
      </c>
      <c r="U175" s="5">
        <f>IFERROR(G175/(F175*T175),0)</f>
        <v/>
      </c>
      <c r="V175" s="5">
        <f>IFERROR(H175/G175,0)</f>
        <v/>
      </c>
      <c r="W175" s="5">
        <f>T175*U175*V175</f>
        <v/>
      </c>
      <c r="X175" s="5">
        <f>IFERROR(G175/J175,0)</f>
        <v/>
      </c>
      <c r="Y175" s="5">
        <f>IFERROR(I175/G175,0)</f>
        <v/>
      </c>
      <c r="Z175" s="6">
        <f>IFERROR(G175/P175,0)</f>
        <v/>
      </c>
      <c r="AA175" s="7">
        <f>IFERROR(Q175/G175,0)</f>
        <v/>
      </c>
      <c r="AB175" s="8">
        <f>R175+K175</f>
        <v/>
      </c>
    </row>
    <row r="176">
      <c r="A176" s="2" t="n">
        <v>172</v>
      </c>
      <c r="B176" s="4" t="n">
        <v>46108</v>
      </c>
      <c r="C176" s="2" t="inlineStr">
        <is>
          <t>Solid Dose Line 2</t>
        </is>
      </c>
      <c r="D176" s="2" t="inlineStr">
        <is>
          <t>Product A</t>
        </is>
      </c>
      <c r="E176" s="2" t="inlineStr">
        <is>
          <t>Day</t>
        </is>
      </c>
      <c r="F176" s="2" t="n">
        <v>10464</v>
      </c>
      <c r="G176" s="2" t="n">
        <v>6926.9</v>
      </c>
      <c r="H176" s="2" t="n">
        <v>6911.3</v>
      </c>
      <c r="I176" s="2" t="n">
        <v>15.6</v>
      </c>
      <c r="J176" s="2" t="n">
        <v>6963.7</v>
      </c>
      <c r="K176" s="2" t="n">
        <v>2.25</v>
      </c>
      <c r="L176" s="2" t="inlineStr">
        <is>
          <t>Process</t>
        </is>
      </c>
      <c r="M176" s="2" t="inlineStr">
        <is>
          <t>Released</t>
        </is>
      </c>
      <c r="N176" s="2" t="inlineStr">
        <is>
          <t>None</t>
        </is>
      </c>
      <c r="O176" s="2" t="n">
        <v>0</v>
      </c>
      <c r="P176" s="2" t="n">
        <v>38.3</v>
      </c>
      <c r="Q176" s="2" t="n">
        <v>3987.1</v>
      </c>
      <c r="R176" s="2" t="n">
        <v>7.57</v>
      </c>
      <c r="S176" s="5">
        <f>G176/F176</f>
        <v/>
      </c>
      <c r="T176" s="5">
        <f>MAX(0,1/K176/8)</f>
        <v/>
      </c>
      <c r="U176" s="5">
        <f>IFERROR(G176/(F176*T176),0)</f>
        <v/>
      </c>
      <c r="V176" s="5">
        <f>IFERROR(H176/G176,0)</f>
        <v/>
      </c>
      <c r="W176" s="5">
        <f>T176*U176*V176</f>
        <v/>
      </c>
      <c r="X176" s="5">
        <f>IFERROR(G176/J176,0)</f>
        <v/>
      </c>
      <c r="Y176" s="5">
        <f>IFERROR(I176/G176,0)</f>
        <v/>
      </c>
      <c r="Z176" s="6">
        <f>IFERROR(G176/P176,0)</f>
        <v/>
      </c>
      <c r="AA176" s="7">
        <f>IFERROR(Q176/G176,0)</f>
        <v/>
      </c>
      <c r="AB176" s="8">
        <f>R176+K176</f>
        <v/>
      </c>
    </row>
    <row r="177">
      <c r="A177" s="2" t="n">
        <v>173</v>
      </c>
      <c r="B177" s="4" t="n">
        <v>46109</v>
      </c>
      <c r="C177" s="2" t="inlineStr">
        <is>
          <t>Solid Dose Line 1</t>
        </is>
      </c>
      <c r="D177" s="2" t="inlineStr">
        <is>
          <t>Product A</t>
        </is>
      </c>
      <c r="E177" s="2" t="inlineStr">
        <is>
          <t>Day</t>
        </is>
      </c>
      <c r="F177" s="2" t="n">
        <v>11937</v>
      </c>
      <c r="G177" s="2" t="n">
        <v>10580.5</v>
      </c>
      <c r="H177" s="2" t="n">
        <v>10412.7</v>
      </c>
      <c r="I177" s="2" t="n">
        <v>167.8</v>
      </c>
      <c r="J177" s="2" t="n">
        <v>10638</v>
      </c>
      <c r="K177" s="2" t="n">
        <v>0.13</v>
      </c>
      <c r="L177" s="2" t="inlineStr">
        <is>
          <t>None</t>
        </is>
      </c>
      <c r="M177" s="2" t="inlineStr">
        <is>
          <t>Released</t>
        </is>
      </c>
      <c r="N177" s="2" t="inlineStr">
        <is>
          <t>None</t>
        </is>
      </c>
      <c r="O177" s="2" t="n">
        <v>0</v>
      </c>
      <c r="P177" s="2" t="n">
        <v>35.6</v>
      </c>
      <c r="Q177" s="2" t="n">
        <v>5193.7</v>
      </c>
      <c r="R177" s="2" t="n">
        <v>7.45</v>
      </c>
      <c r="S177" s="5">
        <f>G177/F177</f>
        <v/>
      </c>
      <c r="T177" s="5">
        <f>MAX(0,1/K177/8)</f>
        <v/>
      </c>
      <c r="U177" s="5">
        <f>IFERROR(G177/(F177*T177),0)</f>
        <v/>
      </c>
      <c r="V177" s="5">
        <f>IFERROR(H177/G177,0)</f>
        <v/>
      </c>
      <c r="W177" s="5">
        <f>T177*U177*V177</f>
        <v/>
      </c>
      <c r="X177" s="5">
        <f>IFERROR(G177/J177,0)</f>
        <v/>
      </c>
      <c r="Y177" s="5">
        <f>IFERROR(I177/G177,0)</f>
        <v/>
      </c>
      <c r="Z177" s="6">
        <f>IFERROR(G177/P177,0)</f>
        <v/>
      </c>
      <c r="AA177" s="7">
        <f>IFERROR(Q177/G177,0)</f>
        <v/>
      </c>
      <c r="AB177" s="8">
        <f>R177+K177</f>
        <v/>
      </c>
    </row>
    <row r="178">
      <c r="A178" s="2" t="n">
        <v>174</v>
      </c>
      <c r="B178" s="4" t="n">
        <v>46109</v>
      </c>
      <c r="C178" s="2" t="inlineStr">
        <is>
          <t>Solid Dose Line 2</t>
        </is>
      </c>
      <c r="D178" s="2" t="inlineStr">
        <is>
          <t>Product A</t>
        </is>
      </c>
      <c r="E178" s="2" t="inlineStr">
        <is>
          <t>Day</t>
        </is>
      </c>
      <c r="F178" s="2" t="n">
        <v>10859</v>
      </c>
      <c r="G178" s="2" t="n">
        <v>9981</v>
      </c>
      <c r="H178" s="2" t="n">
        <v>9924.5</v>
      </c>
      <c r="I178" s="2" t="n">
        <v>56.5</v>
      </c>
      <c r="J178" s="2" t="n">
        <v>10153.7</v>
      </c>
      <c r="K178" s="2" t="n">
        <v>0.03</v>
      </c>
      <c r="L178" s="2" t="inlineStr">
        <is>
          <t>None</t>
        </is>
      </c>
      <c r="M178" s="2" t="inlineStr">
        <is>
          <t>Released</t>
        </is>
      </c>
      <c r="N178" s="2" t="inlineStr">
        <is>
          <t>None</t>
        </is>
      </c>
      <c r="O178" s="2" t="n">
        <v>0</v>
      </c>
      <c r="P178" s="2" t="n">
        <v>48.7</v>
      </c>
      <c r="Q178" s="2" t="n">
        <v>5462.4</v>
      </c>
      <c r="R178" s="2" t="n">
        <v>7.04</v>
      </c>
      <c r="S178" s="5">
        <f>G178/F178</f>
        <v/>
      </c>
      <c r="T178" s="5">
        <f>MAX(0,1/K178/8)</f>
        <v/>
      </c>
      <c r="U178" s="5">
        <f>IFERROR(G178/(F178*T178),0)</f>
        <v/>
      </c>
      <c r="V178" s="5">
        <f>IFERROR(H178/G178,0)</f>
        <v/>
      </c>
      <c r="W178" s="5">
        <f>T178*U178*V178</f>
        <v/>
      </c>
      <c r="X178" s="5">
        <f>IFERROR(G178/J178,0)</f>
        <v/>
      </c>
      <c r="Y178" s="5">
        <f>IFERROR(I178/G178,0)</f>
        <v/>
      </c>
      <c r="Z178" s="6">
        <f>IFERROR(G178/P178,0)</f>
        <v/>
      </c>
      <c r="AA178" s="7">
        <f>IFERROR(Q178/G178,0)</f>
        <v/>
      </c>
      <c r="AB178" s="8">
        <f>R178+K178</f>
        <v/>
      </c>
    </row>
    <row r="179">
      <c r="A179" s="2" t="n">
        <v>175</v>
      </c>
      <c r="B179" s="4" t="n">
        <v>46110</v>
      </c>
      <c r="C179" s="2" t="inlineStr">
        <is>
          <t>Solid Dose Line 1</t>
        </is>
      </c>
      <c r="D179" s="2" t="inlineStr">
        <is>
          <t>Product B</t>
        </is>
      </c>
      <c r="E179" s="2" t="inlineStr">
        <is>
          <t>Day</t>
        </is>
      </c>
      <c r="F179" s="2" t="n">
        <v>10386</v>
      </c>
      <c r="G179" s="2" t="n">
        <v>6606</v>
      </c>
      <c r="H179" s="2" t="n">
        <v>6435.3</v>
      </c>
      <c r="I179" s="2" t="n">
        <v>170.7</v>
      </c>
      <c r="J179" s="2" t="n">
        <v>6691.5</v>
      </c>
      <c r="K179" s="2" t="n">
        <v>3.65</v>
      </c>
      <c r="L179" s="2" t="inlineStr">
        <is>
          <t>Process</t>
        </is>
      </c>
      <c r="M179" s="2" t="inlineStr">
        <is>
          <t>Released</t>
        </is>
      </c>
      <c r="N179" s="2" t="inlineStr">
        <is>
          <t>None</t>
        </is>
      </c>
      <c r="O179" s="2" t="n">
        <v>0</v>
      </c>
      <c r="P179" s="2" t="n">
        <v>50.4</v>
      </c>
      <c r="Q179" s="2" t="n">
        <v>3397.6</v>
      </c>
      <c r="R179" s="2" t="n">
        <v>6.72</v>
      </c>
      <c r="S179" s="5">
        <f>G179/F179</f>
        <v/>
      </c>
      <c r="T179" s="5">
        <f>MAX(0,1/K179/8)</f>
        <v/>
      </c>
      <c r="U179" s="5">
        <f>IFERROR(G179/(F179*T179),0)</f>
        <v/>
      </c>
      <c r="V179" s="5">
        <f>IFERROR(H179/G179,0)</f>
        <v/>
      </c>
      <c r="W179" s="5">
        <f>T179*U179*V179</f>
        <v/>
      </c>
      <c r="X179" s="5">
        <f>IFERROR(G179/J179,0)</f>
        <v/>
      </c>
      <c r="Y179" s="5">
        <f>IFERROR(I179/G179,0)</f>
        <v/>
      </c>
      <c r="Z179" s="6">
        <f>IFERROR(G179/P179,0)</f>
        <v/>
      </c>
      <c r="AA179" s="7">
        <f>IFERROR(Q179/G179,0)</f>
        <v/>
      </c>
      <c r="AB179" s="8">
        <f>R179+K179</f>
        <v/>
      </c>
    </row>
    <row r="180">
      <c r="A180" s="2" t="n">
        <v>176</v>
      </c>
      <c r="B180" s="4" t="n">
        <v>46110</v>
      </c>
      <c r="C180" s="2" t="inlineStr">
        <is>
          <t>Solid Dose Line 2</t>
        </is>
      </c>
      <c r="D180" s="2" t="inlineStr">
        <is>
          <t>Product A</t>
        </is>
      </c>
      <c r="E180" s="2" t="inlineStr">
        <is>
          <t>Night</t>
        </is>
      </c>
      <c r="F180" s="2" t="n">
        <v>9514</v>
      </c>
      <c r="G180" s="2" t="n">
        <v>6090</v>
      </c>
      <c r="H180" s="2" t="n">
        <v>5915</v>
      </c>
      <c r="I180" s="2" t="n">
        <v>175</v>
      </c>
      <c r="J180" s="2" t="n">
        <v>6204.3</v>
      </c>
      <c r="K180" s="2" t="n">
        <v>2.54</v>
      </c>
      <c r="L180" s="2" t="inlineStr">
        <is>
          <t>None</t>
        </is>
      </c>
      <c r="M180" s="2" t="inlineStr">
        <is>
          <t>Released</t>
        </is>
      </c>
      <c r="N180" s="2" t="inlineStr">
        <is>
          <t>None</t>
        </is>
      </c>
      <c r="O180" s="2" t="n">
        <v>0</v>
      </c>
      <c r="P180" s="2" t="n">
        <v>38.5</v>
      </c>
      <c r="Q180" s="2" t="n">
        <v>3090.4</v>
      </c>
      <c r="R180" s="2" t="n">
        <v>6.85</v>
      </c>
      <c r="S180" s="5">
        <f>G180/F180</f>
        <v/>
      </c>
      <c r="T180" s="5">
        <f>MAX(0,1/K180/8)</f>
        <v/>
      </c>
      <c r="U180" s="5">
        <f>IFERROR(G180/(F180*T180),0)</f>
        <v/>
      </c>
      <c r="V180" s="5">
        <f>IFERROR(H180/G180,0)</f>
        <v/>
      </c>
      <c r="W180" s="5">
        <f>T180*U180*V180</f>
        <v/>
      </c>
      <c r="X180" s="5">
        <f>IFERROR(G180/J180,0)</f>
        <v/>
      </c>
      <c r="Y180" s="5">
        <f>IFERROR(I180/G180,0)</f>
        <v/>
      </c>
      <c r="Z180" s="6">
        <f>IFERROR(G180/P180,0)</f>
        <v/>
      </c>
      <c r="AA180" s="7">
        <f>IFERROR(Q180/G180,0)</f>
        <v/>
      </c>
      <c r="AB180" s="8">
        <f>R180+K180</f>
        <v/>
      </c>
    </row>
    <row r="181">
      <c r="A181" s="2" t="n">
        <v>177</v>
      </c>
      <c r="B181" s="4" t="n">
        <v>46111</v>
      </c>
      <c r="C181" s="2" t="inlineStr">
        <is>
          <t>Solid Dose Line 1</t>
        </is>
      </c>
      <c r="D181" s="2" t="inlineStr">
        <is>
          <t>Product B</t>
        </is>
      </c>
      <c r="E181" s="2" t="inlineStr">
        <is>
          <t>Evening</t>
        </is>
      </c>
      <c r="F181" s="2" t="n">
        <v>9119</v>
      </c>
      <c r="G181" s="2" t="n">
        <v>6955.8</v>
      </c>
      <c r="H181" s="2" t="n">
        <v>6874.7</v>
      </c>
      <c r="I181" s="2" t="n">
        <v>81.09999999999999</v>
      </c>
      <c r="J181" s="2" t="n">
        <v>6993.6</v>
      </c>
      <c r="K181" s="2" t="n">
        <v>1.34</v>
      </c>
      <c r="L181" s="2" t="inlineStr">
        <is>
          <t>None</t>
        </is>
      </c>
      <c r="M181" s="2" t="inlineStr">
        <is>
          <t>Released</t>
        </is>
      </c>
      <c r="N181" s="2" t="inlineStr">
        <is>
          <t>None</t>
        </is>
      </c>
      <c r="O181" s="2" t="n">
        <v>0</v>
      </c>
      <c r="P181" s="2" t="n">
        <v>49.6</v>
      </c>
      <c r="Q181" s="2" t="n">
        <v>3759.3</v>
      </c>
      <c r="R181" s="2" t="n">
        <v>7.59</v>
      </c>
      <c r="S181" s="5">
        <f>G181/F181</f>
        <v/>
      </c>
      <c r="T181" s="5">
        <f>MAX(0,1/K181/8)</f>
        <v/>
      </c>
      <c r="U181" s="5">
        <f>IFERROR(G181/(F181*T181),0)</f>
        <v/>
      </c>
      <c r="V181" s="5">
        <f>IFERROR(H181/G181,0)</f>
        <v/>
      </c>
      <c r="W181" s="5">
        <f>T181*U181*V181</f>
        <v/>
      </c>
      <c r="X181" s="5">
        <f>IFERROR(G181/J181,0)</f>
        <v/>
      </c>
      <c r="Y181" s="5">
        <f>IFERROR(I181/G181,0)</f>
        <v/>
      </c>
      <c r="Z181" s="6">
        <f>IFERROR(G181/P181,0)</f>
        <v/>
      </c>
      <c r="AA181" s="7">
        <f>IFERROR(Q181/G181,0)</f>
        <v/>
      </c>
      <c r="AB181" s="8">
        <f>R181+K181</f>
        <v/>
      </c>
    </row>
    <row r="182">
      <c r="A182" s="2" t="n">
        <v>178</v>
      </c>
      <c r="B182" s="4" t="n">
        <v>46111</v>
      </c>
      <c r="C182" s="2" t="inlineStr">
        <is>
          <t>Solid Dose Line 2</t>
        </is>
      </c>
      <c r="D182" s="2" t="inlineStr">
        <is>
          <t>Product B</t>
        </is>
      </c>
      <c r="E182" s="2" t="inlineStr">
        <is>
          <t>Night</t>
        </is>
      </c>
      <c r="F182" s="2" t="n">
        <v>11875</v>
      </c>
      <c r="G182" s="2" t="n">
        <v>7757.3</v>
      </c>
      <c r="H182" s="2" t="n">
        <v>7738.5</v>
      </c>
      <c r="I182" s="2" t="n">
        <v>18.8</v>
      </c>
      <c r="J182" s="2" t="n">
        <v>7814.6</v>
      </c>
      <c r="K182" s="2" t="n">
        <v>3.05</v>
      </c>
      <c r="L182" s="2" t="inlineStr">
        <is>
          <t>Process</t>
        </is>
      </c>
      <c r="M182" s="2" t="inlineStr">
        <is>
          <t>Released</t>
        </is>
      </c>
      <c r="N182" s="2" t="inlineStr">
        <is>
          <t>None</t>
        </is>
      </c>
      <c r="O182" s="2" t="n">
        <v>0</v>
      </c>
      <c r="P182" s="2" t="n">
        <v>37.6</v>
      </c>
      <c r="Q182" s="2" t="n">
        <v>3865.4</v>
      </c>
      <c r="R182" s="2" t="n">
        <v>6.74</v>
      </c>
      <c r="S182" s="5">
        <f>G182/F182</f>
        <v/>
      </c>
      <c r="T182" s="5">
        <f>MAX(0,1/K182/8)</f>
        <v/>
      </c>
      <c r="U182" s="5">
        <f>IFERROR(G182/(F182*T182),0)</f>
        <v/>
      </c>
      <c r="V182" s="5">
        <f>IFERROR(H182/G182,0)</f>
        <v/>
      </c>
      <c r="W182" s="5">
        <f>T182*U182*V182</f>
        <v/>
      </c>
      <c r="X182" s="5">
        <f>IFERROR(G182/J182,0)</f>
        <v/>
      </c>
      <c r="Y182" s="5">
        <f>IFERROR(I182/G182,0)</f>
        <v/>
      </c>
      <c r="Z182" s="6">
        <f>IFERROR(G182/P182,0)</f>
        <v/>
      </c>
      <c r="AA182" s="7">
        <f>IFERROR(Q182/G182,0)</f>
        <v/>
      </c>
      <c r="AB182" s="8">
        <f>R182+K182</f>
        <v/>
      </c>
    </row>
    <row r="183">
      <c r="A183" s="2" t="n">
        <v>179</v>
      </c>
      <c r="B183" s="4" t="n">
        <v>46112</v>
      </c>
      <c r="C183" s="2" t="inlineStr">
        <is>
          <t>Solid Dose Line 1</t>
        </is>
      </c>
      <c r="D183" s="2" t="inlineStr">
        <is>
          <t>Product B</t>
        </is>
      </c>
      <c r="E183" s="2" t="inlineStr">
        <is>
          <t>Night</t>
        </is>
      </c>
      <c r="F183" s="2" t="n">
        <v>11426</v>
      </c>
      <c r="G183" s="2" t="n">
        <v>10096.7</v>
      </c>
      <c r="H183" s="2" t="n">
        <v>9986.200000000001</v>
      </c>
      <c r="I183" s="2" t="n">
        <v>110.5</v>
      </c>
      <c r="J183" s="2" t="n">
        <v>10221.7</v>
      </c>
      <c r="K183" s="2" t="n">
        <v>0.9</v>
      </c>
      <c r="L183" s="2" t="inlineStr">
        <is>
          <t>None</t>
        </is>
      </c>
      <c r="M183" s="2" t="inlineStr">
        <is>
          <t>Released</t>
        </is>
      </c>
      <c r="N183" s="2" t="inlineStr">
        <is>
          <t>Preventive</t>
        </is>
      </c>
      <c r="O183" s="2" t="n">
        <v>165.16</v>
      </c>
      <c r="P183" s="2" t="n">
        <v>34.1</v>
      </c>
      <c r="Q183" s="2" t="n">
        <v>5229.1</v>
      </c>
      <c r="R183" s="2" t="n">
        <v>7.65</v>
      </c>
      <c r="S183" s="5">
        <f>G183/F183</f>
        <v/>
      </c>
      <c r="T183" s="5">
        <f>MAX(0,1/K183/8)</f>
        <v/>
      </c>
      <c r="U183" s="5">
        <f>IFERROR(G183/(F183*T183),0)</f>
        <v/>
      </c>
      <c r="V183" s="5">
        <f>IFERROR(H183/G183,0)</f>
        <v/>
      </c>
      <c r="W183" s="5">
        <f>T183*U183*V183</f>
        <v/>
      </c>
      <c r="X183" s="5">
        <f>IFERROR(G183/J183,0)</f>
        <v/>
      </c>
      <c r="Y183" s="5">
        <f>IFERROR(I183/G183,0)</f>
        <v/>
      </c>
      <c r="Z183" s="6">
        <f>IFERROR(G183/P183,0)</f>
        <v/>
      </c>
      <c r="AA183" s="7">
        <f>IFERROR(Q183/G183,0)</f>
        <v/>
      </c>
      <c r="AB183" s="8">
        <f>R183+K183</f>
        <v/>
      </c>
    </row>
    <row r="184">
      <c r="A184" s="2" t="n">
        <v>180</v>
      </c>
      <c r="B184" s="4" t="n">
        <v>46112</v>
      </c>
      <c r="C184" s="2" t="inlineStr">
        <is>
          <t>Solid Dose Line 2</t>
        </is>
      </c>
      <c r="D184" s="2" t="inlineStr">
        <is>
          <t>Product C</t>
        </is>
      </c>
      <c r="E184" s="2" t="inlineStr">
        <is>
          <t>Evening</t>
        </is>
      </c>
      <c r="F184" s="2" t="n">
        <v>11505</v>
      </c>
      <c r="G184" s="2" t="n">
        <v>8664</v>
      </c>
      <c r="H184" s="2" t="n">
        <v>8605.9</v>
      </c>
      <c r="I184" s="2" t="n">
        <v>58.2</v>
      </c>
      <c r="J184" s="2" t="n">
        <v>8684.1</v>
      </c>
      <c r="K184" s="2" t="n">
        <v>1.89</v>
      </c>
      <c r="L184" s="2" t="inlineStr">
        <is>
          <t>None</t>
        </is>
      </c>
      <c r="M184" s="2" t="inlineStr">
        <is>
          <t>Released</t>
        </is>
      </c>
      <c r="N184" s="2" t="inlineStr">
        <is>
          <t>None</t>
        </is>
      </c>
      <c r="O184" s="2" t="n">
        <v>0</v>
      </c>
      <c r="P184" s="2" t="n">
        <v>40.2</v>
      </c>
      <c r="Q184" s="2" t="n">
        <v>4614.7</v>
      </c>
      <c r="R184" s="2" t="n">
        <v>7.09</v>
      </c>
      <c r="S184" s="5">
        <f>G184/F184</f>
        <v/>
      </c>
      <c r="T184" s="5">
        <f>MAX(0,1/K184/8)</f>
        <v/>
      </c>
      <c r="U184" s="5">
        <f>IFERROR(G184/(F184*T184),0)</f>
        <v/>
      </c>
      <c r="V184" s="5">
        <f>IFERROR(H184/G184,0)</f>
        <v/>
      </c>
      <c r="W184" s="5">
        <f>T184*U184*V184</f>
        <v/>
      </c>
      <c r="X184" s="5">
        <f>IFERROR(G184/J184,0)</f>
        <v/>
      </c>
      <c r="Y184" s="5">
        <f>IFERROR(I184/G184,0)</f>
        <v/>
      </c>
      <c r="Z184" s="6">
        <f>IFERROR(G184/P184,0)</f>
        <v/>
      </c>
      <c r="AA184" s="7">
        <f>IFERROR(Q184/G184,0)</f>
        <v/>
      </c>
      <c r="AB184" s="8">
        <f>R184+K184</f>
        <v/>
      </c>
    </row>
    <row r="185">
      <c r="A185" s="2" t="n">
        <v>181</v>
      </c>
      <c r="B185" s="4" t="n">
        <v>46113</v>
      </c>
      <c r="C185" s="2" t="inlineStr">
        <is>
          <t>Solid Dose Line 1</t>
        </is>
      </c>
      <c r="D185" s="2" t="inlineStr">
        <is>
          <t>Product B</t>
        </is>
      </c>
      <c r="E185" s="2" t="inlineStr">
        <is>
          <t>Night</t>
        </is>
      </c>
      <c r="F185" s="2" t="n">
        <v>9647</v>
      </c>
      <c r="G185" s="2" t="n">
        <v>8352</v>
      </c>
      <c r="H185" s="2" t="n">
        <v>8236.799999999999</v>
      </c>
      <c r="I185" s="2" t="n">
        <v>115.2</v>
      </c>
      <c r="J185" s="2" t="n">
        <v>8637</v>
      </c>
      <c r="K185" s="2" t="n">
        <v>0.49</v>
      </c>
      <c r="L185" s="2" t="inlineStr">
        <is>
          <t>None</t>
        </is>
      </c>
      <c r="M185" s="2" t="inlineStr">
        <is>
          <t>Released</t>
        </is>
      </c>
      <c r="N185" s="2" t="inlineStr">
        <is>
          <t>None</t>
        </is>
      </c>
      <c r="O185" s="2" t="n">
        <v>0</v>
      </c>
      <c r="P185" s="2" t="n">
        <v>43.5</v>
      </c>
      <c r="Q185" s="2" t="n">
        <v>4683.3</v>
      </c>
      <c r="R185" s="2" t="n">
        <v>7.26</v>
      </c>
      <c r="S185" s="5">
        <f>G185/F185</f>
        <v/>
      </c>
      <c r="T185" s="5">
        <f>MAX(0,1/K185/8)</f>
        <v/>
      </c>
      <c r="U185" s="5">
        <f>IFERROR(G185/(F185*T185),0)</f>
        <v/>
      </c>
      <c r="V185" s="5">
        <f>IFERROR(H185/G185,0)</f>
        <v/>
      </c>
      <c r="W185" s="5">
        <f>T185*U185*V185</f>
        <v/>
      </c>
      <c r="X185" s="5">
        <f>IFERROR(G185/J185,0)</f>
        <v/>
      </c>
      <c r="Y185" s="5">
        <f>IFERROR(I185/G185,0)</f>
        <v/>
      </c>
      <c r="Z185" s="6">
        <f>IFERROR(G185/P185,0)</f>
        <v/>
      </c>
      <c r="AA185" s="7">
        <f>IFERROR(Q185/G185,0)</f>
        <v/>
      </c>
      <c r="AB185" s="8">
        <f>R185+K185</f>
        <v/>
      </c>
    </row>
    <row r="186">
      <c r="A186" s="2" t="n">
        <v>182</v>
      </c>
      <c r="B186" s="4" t="n">
        <v>46113</v>
      </c>
      <c r="C186" s="2" t="inlineStr">
        <is>
          <t>Solid Dose Line 2</t>
        </is>
      </c>
      <c r="D186" s="2" t="inlineStr">
        <is>
          <t>Product A</t>
        </is>
      </c>
      <c r="E186" s="2" t="inlineStr">
        <is>
          <t>Day</t>
        </is>
      </c>
      <c r="F186" s="2" t="n">
        <v>11849</v>
      </c>
      <c r="G186" s="2" t="n">
        <v>8373.6</v>
      </c>
      <c r="H186" s="2" t="n">
        <v>8202.1</v>
      </c>
      <c r="I186" s="2" t="n">
        <v>171.6</v>
      </c>
      <c r="J186" s="2" t="n">
        <v>8465.4</v>
      </c>
      <c r="K186" s="2" t="n">
        <v>1.66</v>
      </c>
      <c r="L186" s="2" t="inlineStr">
        <is>
          <t>None</t>
        </is>
      </c>
      <c r="M186" s="2" t="inlineStr">
        <is>
          <t>Released</t>
        </is>
      </c>
      <c r="N186" s="2" t="inlineStr">
        <is>
          <t>Corrective</t>
        </is>
      </c>
      <c r="O186" s="2" t="n">
        <v>1011.66</v>
      </c>
      <c r="P186" s="2" t="n">
        <v>38</v>
      </c>
      <c r="Q186" s="2" t="n">
        <v>4495.9</v>
      </c>
      <c r="R186" s="2" t="n">
        <v>7.96</v>
      </c>
      <c r="S186" s="5">
        <f>G186/F186</f>
        <v/>
      </c>
      <c r="T186" s="5">
        <f>MAX(0,1/K186/8)</f>
        <v/>
      </c>
      <c r="U186" s="5">
        <f>IFERROR(G186/(F186*T186),0)</f>
        <v/>
      </c>
      <c r="V186" s="5">
        <f>IFERROR(H186/G186,0)</f>
        <v/>
      </c>
      <c r="W186" s="5">
        <f>T186*U186*V186</f>
        <v/>
      </c>
      <c r="X186" s="5">
        <f>IFERROR(G186/J186,0)</f>
        <v/>
      </c>
      <c r="Y186" s="5">
        <f>IFERROR(I186/G186,0)</f>
        <v/>
      </c>
      <c r="Z186" s="6">
        <f>IFERROR(G186/P186,0)</f>
        <v/>
      </c>
      <c r="AA186" s="7">
        <f>IFERROR(Q186/G186,0)</f>
        <v/>
      </c>
      <c r="AB186" s="8">
        <f>R186+K186</f>
        <v/>
      </c>
    </row>
    <row r="187">
      <c r="A187" s="2" t="n">
        <v>183</v>
      </c>
      <c r="B187" s="4" t="n">
        <v>46114</v>
      </c>
      <c r="C187" s="2" t="inlineStr">
        <is>
          <t>Solid Dose Line 1</t>
        </is>
      </c>
      <c r="D187" s="2" t="inlineStr">
        <is>
          <t>Product C</t>
        </is>
      </c>
      <c r="E187" s="2" t="inlineStr">
        <is>
          <t>Day</t>
        </is>
      </c>
      <c r="F187" s="2" t="n">
        <v>9507</v>
      </c>
      <c r="G187" s="2" t="n">
        <v>7752.9</v>
      </c>
      <c r="H187" s="2" t="n">
        <v>7681</v>
      </c>
      <c r="I187" s="2" t="n">
        <v>72</v>
      </c>
      <c r="J187" s="2" t="n">
        <v>7838.1</v>
      </c>
      <c r="K187" s="2" t="n">
        <v>0.74</v>
      </c>
      <c r="L187" s="2" t="inlineStr">
        <is>
          <t>None</t>
        </is>
      </c>
      <c r="M187" s="2" t="inlineStr">
        <is>
          <t>Released</t>
        </is>
      </c>
      <c r="N187" s="2" t="inlineStr">
        <is>
          <t>Corrective</t>
        </is>
      </c>
      <c r="O187" s="2" t="n">
        <v>839.7</v>
      </c>
      <c r="P187" s="2" t="n">
        <v>45.8</v>
      </c>
      <c r="Q187" s="2" t="n">
        <v>3900.3</v>
      </c>
      <c r="R187" s="2" t="n">
        <v>7.57</v>
      </c>
      <c r="S187" s="5">
        <f>G187/F187</f>
        <v/>
      </c>
      <c r="T187" s="5">
        <f>MAX(0,1/K187/8)</f>
        <v/>
      </c>
      <c r="U187" s="5">
        <f>IFERROR(G187/(F187*T187),0)</f>
        <v/>
      </c>
      <c r="V187" s="5">
        <f>IFERROR(H187/G187,0)</f>
        <v/>
      </c>
      <c r="W187" s="5">
        <f>T187*U187*V187</f>
        <v/>
      </c>
      <c r="X187" s="5">
        <f>IFERROR(G187/J187,0)</f>
        <v/>
      </c>
      <c r="Y187" s="5">
        <f>IFERROR(I187/G187,0)</f>
        <v/>
      </c>
      <c r="Z187" s="6">
        <f>IFERROR(G187/P187,0)</f>
        <v/>
      </c>
      <c r="AA187" s="7">
        <f>IFERROR(Q187/G187,0)</f>
        <v/>
      </c>
      <c r="AB187" s="8">
        <f>R187+K187</f>
        <v/>
      </c>
    </row>
    <row r="188">
      <c r="A188" s="2" t="n">
        <v>184</v>
      </c>
      <c r="B188" s="4" t="n">
        <v>46114</v>
      </c>
      <c r="C188" s="2" t="inlineStr">
        <is>
          <t>Solid Dose Line 2</t>
        </is>
      </c>
      <c r="D188" s="2" t="inlineStr">
        <is>
          <t>Product A</t>
        </is>
      </c>
      <c r="E188" s="2" t="inlineStr">
        <is>
          <t>Night</t>
        </is>
      </c>
      <c r="F188" s="2" t="n">
        <v>10736</v>
      </c>
      <c r="G188" s="2" t="n">
        <v>7103.5</v>
      </c>
      <c r="H188" s="2" t="n">
        <v>7049.3</v>
      </c>
      <c r="I188" s="2" t="n">
        <v>54.2</v>
      </c>
      <c r="J188" s="2" t="n">
        <v>7156.7</v>
      </c>
      <c r="K188" s="2" t="n">
        <v>2.02</v>
      </c>
      <c r="L188" s="2" t="inlineStr">
        <is>
          <t>None</t>
        </is>
      </c>
      <c r="M188" s="2" t="inlineStr">
        <is>
          <t>Released</t>
        </is>
      </c>
      <c r="N188" s="2" t="inlineStr">
        <is>
          <t>None</t>
        </is>
      </c>
      <c r="O188" s="2" t="n">
        <v>0</v>
      </c>
      <c r="P188" s="2" t="n">
        <v>32.4</v>
      </c>
      <c r="Q188" s="2" t="n">
        <v>3637.2</v>
      </c>
      <c r="R188" s="2" t="n">
        <v>7.76</v>
      </c>
      <c r="S188" s="5">
        <f>G188/F188</f>
        <v/>
      </c>
      <c r="T188" s="5">
        <f>MAX(0,1/K188/8)</f>
        <v/>
      </c>
      <c r="U188" s="5">
        <f>IFERROR(G188/(F188*T188),0)</f>
        <v/>
      </c>
      <c r="V188" s="5">
        <f>IFERROR(H188/G188,0)</f>
        <v/>
      </c>
      <c r="W188" s="5">
        <f>T188*U188*V188</f>
        <v/>
      </c>
      <c r="X188" s="5">
        <f>IFERROR(G188/J188,0)</f>
        <v/>
      </c>
      <c r="Y188" s="5">
        <f>IFERROR(I188/G188,0)</f>
        <v/>
      </c>
      <c r="Z188" s="6">
        <f>IFERROR(G188/P188,0)</f>
        <v/>
      </c>
      <c r="AA188" s="7">
        <f>IFERROR(Q188/G188,0)</f>
        <v/>
      </c>
      <c r="AB188" s="8">
        <f>R188+K188</f>
        <v/>
      </c>
    </row>
    <row r="189">
      <c r="A189" s="2" t="n">
        <v>185</v>
      </c>
      <c r="B189" s="4" t="n">
        <v>46115</v>
      </c>
      <c r="C189" s="2" t="inlineStr">
        <is>
          <t>Solid Dose Line 1</t>
        </is>
      </c>
      <c r="D189" s="2" t="inlineStr">
        <is>
          <t>Product A</t>
        </is>
      </c>
      <c r="E189" s="2" t="inlineStr">
        <is>
          <t>Day</t>
        </is>
      </c>
      <c r="F189" s="2" t="n">
        <v>10291</v>
      </c>
      <c r="G189" s="2" t="n">
        <v>8695</v>
      </c>
      <c r="H189" s="2" t="n">
        <v>8570.9</v>
      </c>
      <c r="I189" s="2" t="n">
        <v>124.1</v>
      </c>
      <c r="J189" s="2" t="n">
        <v>8857.9</v>
      </c>
      <c r="K189" s="2" t="n">
        <v>0.38</v>
      </c>
      <c r="L189" s="2" t="inlineStr">
        <is>
          <t>None</t>
        </is>
      </c>
      <c r="M189" s="2" t="inlineStr">
        <is>
          <t>Released</t>
        </is>
      </c>
      <c r="N189" s="2" t="inlineStr">
        <is>
          <t>None</t>
        </is>
      </c>
      <c r="O189" s="2" t="n">
        <v>0</v>
      </c>
      <c r="P189" s="2" t="n">
        <v>45.2</v>
      </c>
      <c r="Q189" s="2" t="n">
        <v>4553.8</v>
      </c>
      <c r="R189" s="2" t="n">
        <v>6.99</v>
      </c>
      <c r="S189" s="5">
        <f>G189/F189</f>
        <v/>
      </c>
      <c r="T189" s="5">
        <f>MAX(0,1/K189/8)</f>
        <v/>
      </c>
      <c r="U189" s="5">
        <f>IFERROR(G189/(F189*T189),0)</f>
        <v/>
      </c>
      <c r="V189" s="5">
        <f>IFERROR(H189/G189,0)</f>
        <v/>
      </c>
      <c r="W189" s="5">
        <f>T189*U189*V189</f>
        <v/>
      </c>
      <c r="X189" s="5">
        <f>IFERROR(G189/J189,0)</f>
        <v/>
      </c>
      <c r="Y189" s="5">
        <f>IFERROR(I189/G189,0)</f>
        <v/>
      </c>
      <c r="Z189" s="6">
        <f>IFERROR(G189/P189,0)</f>
        <v/>
      </c>
      <c r="AA189" s="7">
        <f>IFERROR(Q189/G189,0)</f>
        <v/>
      </c>
      <c r="AB189" s="8">
        <f>R189+K189</f>
        <v/>
      </c>
    </row>
    <row r="190">
      <c r="A190" s="2" t="n">
        <v>186</v>
      </c>
      <c r="B190" s="4" t="n">
        <v>46115</v>
      </c>
      <c r="C190" s="2" t="inlineStr">
        <is>
          <t>Solid Dose Line 2</t>
        </is>
      </c>
      <c r="D190" s="2" t="inlineStr">
        <is>
          <t>Product C</t>
        </is>
      </c>
      <c r="E190" s="2" t="inlineStr">
        <is>
          <t>Evening</t>
        </is>
      </c>
      <c r="F190" s="2" t="n">
        <v>9505</v>
      </c>
      <c r="G190" s="2" t="n">
        <v>6557.6</v>
      </c>
      <c r="H190" s="2" t="n">
        <v>6426.7</v>
      </c>
      <c r="I190" s="2" t="n">
        <v>130.9</v>
      </c>
      <c r="J190" s="2" t="n">
        <v>6644.9</v>
      </c>
      <c r="K190" s="2" t="n">
        <v>1.98</v>
      </c>
      <c r="L190" s="2" t="inlineStr">
        <is>
          <t>None</t>
        </is>
      </c>
      <c r="M190" s="2" t="inlineStr">
        <is>
          <t>Released</t>
        </is>
      </c>
      <c r="N190" s="2" t="inlineStr">
        <is>
          <t>Corrective</t>
        </is>
      </c>
      <c r="O190" s="2" t="n">
        <v>510.41</v>
      </c>
      <c r="P190" s="2" t="n">
        <v>43.5</v>
      </c>
      <c r="Q190" s="2" t="n">
        <v>3326.8</v>
      </c>
      <c r="R190" s="2" t="n">
        <v>6.77</v>
      </c>
      <c r="S190" s="5">
        <f>G190/F190</f>
        <v/>
      </c>
      <c r="T190" s="5">
        <f>MAX(0,1/K190/8)</f>
        <v/>
      </c>
      <c r="U190" s="5">
        <f>IFERROR(G190/(F190*T190),0)</f>
        <v/>
      </c>
      <c r="V190" s="5">
        <f>IFERROR(H190/G190,0)</f>
        <v/>
      </c>
      <c r="W190" s="5">
        <f>T190*U190*V190</f>
        <v/>
      </c>
      <c r="X190" s="5">
        <f>IFERROR(G190/J190,0)</f>
        <v/>
      </c>
      <c r="Y190" s="5">
        <f>IFERROR(I190/G190,0)</f>
        <v/>
      </c>
      <c r="Z190" s="6">
        <f>IFERROR(G190/P190,0)</f>
        <v/>
      </c>
      <c r="AA190" s="7">
        <f>IFERROR(Q190/G190,0)</f>
        <v/>
      </c>
      <c r="AB190" s="8">
        <f>R190+K190</f>
        <v/>
      </c>
    </row>
    <row r="191">
      <c r="A191" s="2" t="n">
        <v>187</v>
      </c>
      <c r="B191" s="4" t="n">
        <v>46116</v>
      </c>
      <c r="C191" s="2" t="inlineStr">
        <is>
          <t>Solid Dose Line 1</t>
        </is>
      </c>
      <c r="D191" s="2" t="inlineStr">
        <is>
          <t>Product A</t>
        </is>
      </c>
      <c r="E191" s="2" t="inlineStr">
        <is>
          <t>Night</t>
        </is>
      </c>
      <c r="F191" s="2" t="n">
        <v>11849</v>
      </c>
      <c r="G191" s="2" t="n">
        <v>7857.7</v>
      </c>
      <c r="H191" s="2" t="n">
        <v>7726.3</v>
      </c>
      <c r="I191" s="2" t="n">
        <v>131.4</v>
      </c>
      <c r="J191" s="2" t="n">
        <v>7960.4</v>
      </c>
      <c r="K191" s="2" t="n">
        <v>2.71</v>
      </c>
      <c r="L191" s="2" t="inlineStr">
        <is>
          <t>None</t>
        </is>
      </c>
      <c r="M191" s="2" t="inlineStr">
        <is>
          <t>Released</t>
        </is>
      </c>
      <c r="N191" s="2" t="inlineStr">
        <is>
          <t>None</t>
        </is>
      </c>
      <c r="O191" s="2" t="n">
        <v>0</v>
      </c>
      <c r="P191" s="2" t="n">
        <v>35.1</v>
      </c>
      <c r="Q191" s="2" t="n">
        <v>3975.8</v>
      </c>
      <c r="R191" s="2" t="n">
        <v>7.13</v>
      </c>
      <c r="S191" s="5">
        <f>G191/F191</f>
        <v/>
      </c>
      <c r="T191" s="5">
        <f>MAX(0,1/K191/8)</f>
        <v/>
      </c>
      <c r="U191" s="5">
        <f>IFERROR(G191/(F191*T191),0)</f>
        <v/>
      </c>
      <c r="V191" s="5">
        <f>IFERROR(H191/G191,0)</f>
        <v/>
      </c>
      <c r="W191" s="5">
        <f>T191*U191*V191</f>
        <v/>
      </c>
      <c r="X191" s="5">
        <f>IFERROR(G191/J191,0)</f>
        <v/>
      </c>
      <c r="Y191" s="5">
        <f>IFERROR(I191/G191,0)</f>
        <v/>
      </c>
      <c r="Z191" s="6">
        <f>IFERROR(G191/P191,0)</f>
        <v/>
      </c>
      <c r="AA191" s="7">
        <f>IFERROR(Q191/G191,0)</f>
        <v/>
      </c>
      <c r="AB191" s="8">
        <f>R191+K191</f>
        <v/>
      </c>
    </row>
    <row r="192">
      <c r="A192" s="2" t="n">
        <v>188</v>
      </c>
      <c r="B192" s="4" t="n">
        <v>46116</v>
      </c>
      <c r="C192" s="2" t="inlineStr">
        <is>
          <t>Solid Dose Line 2</t>
        </is>
      </c>
      <c r="D192" s="2" t="inlineStr">
        <is>
          <t>Product B</t>
        </is>
      </c>
      <c r="E192" s="2" t="inlineStr">
        <is>
          <t>Night</t>
        </is>
      </c>
      <c r="F192" s="2" t="n">
        <v>10585</v>
      </c>
      <c r="G192" s="2" t="n">
        <v>9617.9</v>
      </c>
      <c r="H192" s="2" t="n">
        <v>9471.200000000001</v>
      </c>
      <c r="I192" s="2" t="n">
        <v>146.7</v>
      </c>
      <c r="J192" s="2" t="n">
        <v>9761.299999999999</v>
      </c>
      <c r="K192" s="2" t="n">
        <v>0</v>
      </c>
      <c r="L192" s="2" t="inlineStr">
        <is>
          <t>None</t>
        </is>
      </c>
      <c r="M192" s="2" t="inlineStr">
        <is>
          <t>Released</t>
        </is>
      </c>
      <c r="N192" s="2" t="inlineStr">
        <is>
          <t>None</t>
        </is>
      </c>
      <c r="O192" s="2" t="n">
        <v>0</v>
      </c>
      <c r="P192" s="2" t="n">
        <v>41.2</v>
      </c>
      <c r="Q192" s="2" t="n">
        <v>5025.7</v>
      </c>
      <c r="R192" s="2" t="n">
        <v>7.08</v>
      </c>
      <c r="S192" s="5">
        <f>G192/F192</f>
        <v/>
      </c>
      <c r="T192" s="5">
        <f>MAX(0,1/K192/8)</f>
        <v/>
      </c>
      <c r="U192" s="5">
        <f>IFERROR(G192/(F192*T192),0)</f>
        <v/>
      </c>
      <c r="V192" s="5">
        <f>IFERROR(H192/G192,0)</f>
        <v/>
      </c>
      <c r="W192" s="5">
        <f>T192*U192*V192</f>
        <v/>
      </c>
      <c r="X192" s="5">
        <f>IFERROR(G192/J192,0)</f>
        <v/>
      </c>
      <c r="Y192" s="5">
        <f>IFERROR(I192/G192,0)</f>
        <v/>
      </c>
      <c r="Z192" s="6">
        <f>IFERROR(G192/P192,0)</f>
        <v/>
      </c>
      <c r="AA192" s="7">
        <f>IFERROR(Q192/G192,0)</f>
        <v/>
      </c>
      <c r="AB192" s="8">
        <f>R192+K192</f>
        <v/>
      </c>
    </row>
    <row r="193">
      <c r="A193" s="2" t="n">
        <v>189</v>
      </c>
      <c r="B193" s="4" t="n">
        <v>46117</v>
      </c>
      <c r="C193" s="2" t="inlineStr">
        <is>
          <t>Solid Dose Line 1</t>
        </is>
      </c>
      <c r="D193" s="2" t="inlineStr">
        <is>
          <t>Product A</t>
        </is>
      </c>
      <c r="E193" s="2" t="inlineStr">
        <is>
          <t>Day</t>
        </is>
      </c>
      <c r="F193" s="2" t="n">
        <v>9146</v>
      </c>
      <c r="G193" s="2" t="n">
        <v>7711.5</v>
      </c>
      <c r="H193" s="2" t="n">
        <v>7584.3</v>
      </c>
      <c r="I193" s="2" t="n">
        <v>127.2</v>
      </c>
      <c r="J193" s="2" t="n">
        <v>7786.8</v>
      </c>
      <c r="K193" s="2" t="n">
        <v>0.48</v>
      </c>
      <c r="L193" s="2" t="inlineStr">
        <is>
          <t>None</t>
        </is>
      </c>
      <c r="M193" s="2" t="inlineStr">
        <is>
          <t>Released</t>
        </is>
      </c>
      <c r="N193" s="2" t="inlineStr">
        <is>
          <t>None</t>
        </is>
      </c>
      <c r="O193" s="2" t="n">
        <v>0</v>
      </c>
      <c r="P193" s="2" t="n">
        <v>51.9</v>
      </c>
      <c r="Q193" s="2" t="n">
        <v>4259.7</v>
      </c>
      <c r="R193" s="2" t="n">
        <v>6.83</v>
      </c>
      <c r="S193" s="5">
        <f>G193/F193</f>
        <v/>
      </c>
      <c r="T193" s="5">
        <f>MAX(0,1/K193/8)</f>
        <v/>
      </c>
      <c r="U193" s="5">
        <f>IFERROR(G193/(F193*T193),0)</f>
        <v/>
      </c>
      <c r="V193" s="5">
        <f>IFERROR(H193/G193,0)</f>
        <v/>
      </c>
      <c r="W193" s="5">
        <f>T193*U193*V193</f>
        <v/>
      </c>
      <c r="X193" s="5">
        <f>IFERROR(G193/J193,0)</f>
        <v/>
      </c>
      <c r="Y193" s="5">
        <f>IFERROR(I193/G193,0)</f>
        <v/>
      </c>
      <c r="Z193" s="6">
        <f>IFERROR(G193/P193,0)</f>
        <v/>
      </c>
      <c r="AA193" s="7">
        <f>IFERROR(Q193/G193,0)</f>
        <v/>
      </c>
      <c r="AB193" s="8">
        <f>R193+K193</f>
        <v/>
      </c>
    </row>
    <row r="194">
      <c r="A194" s="2" t="n">
        <v>190</v>
      </c>
      <c r="B194" s="4" t="n">
        <v>46117</v>
      </c>
      <c r="C194" s="2" t="inlineStr">
        <is>
          <t>Solid Dose Line 2</t>
        </is>
      </c>
      <c r="D194" s="2" t="inlineStr">
        <is>
          <t>Product C</t>
        </is>
      </c>
      <c r="E194" s="2" t="inlineStr">
        <is>
          <t>Evening</t>
        </is>
      </c>
      <c r="F194" s="2" t="n">
        <v>10097</v>
      </c>
      <c r="G194" s="2" t="n">
        <v>6516</v>
      </c>
      <c r="H194" s="2" t="n">
        <v>6472.8</v>
      </c>
      <c r="I194" s="2" t="n">
        <v>43.1</v>
      </c>
      <c r="J194" s="2" t="n">
        <v>6634.3</v>
      </c>
      <c r="K194" s="2" t="n">
        <v>2.73</v>
      </c>
      <c r="L194" s="2" t="inlineStr">
        <is>
          <t>None</t>
        </is>
      </c>
      <c r="M194" s="2" t="inlineStr">
        <is>
          <t>Released</t>
        </is>
      </c>
      <c r="N194" s="2" t="inlineStr">
        <is>
          <t>Corrective</t>
        </is>
      </c>
      <c r="O194" s="2" t="n">
        <v>998.86</v>
      </c>
      <c r="P194" s="2" t="n">
        <v>45.9</v>
      </c>
      <c r="Q194" s="2" t="n">
        <v>3510.9</v>
      </c>
      <c r="R194" s="2" t="n">
        <v>7.21</v>
      </c>
      <c r="S194" s="5">
        <f>G194/F194</f>
        <v/>
      </c>
      <c r="T194" s="5">
        <f>MAX(0,1/K194/8)</f>
        <v/>
      </c>
      <c r="U194" s="5">
        <f>IFERROR(G194/(F194*T194),0)</f>
        <v/>
      </c>
      <c r="V194" s="5">
        <f>IFERROR(H194/G194,0)</f>
        <v/>
      </c>
      <c r="W194" s="5">
        <f>T194*U194*V194</f>
        <v/>
      </c>
      <c r="X194" s="5">
        <f>IFERROR(G194/J194,0)</f>
        <v/>
      </c>
      <c r="Y194" s="5">
        <f>IFERROR(I194/G194,0)</f>
        <v/>
      </c>
      <c r="Z194" s="6">
        <f>IFERROR(G194/P194,0)</f>
        <v/>
      </c>
      <c r="AA194" s="7">
        <f>IFERROR(Q194/G194,0)</f>
        <v/>
      </c>
      <c r="AB194" s="8">
        <f>R194+K194</f>
        <v/>
      </c>
    </row>
    <row r="195">
      <c r="A195" s="2" t="n">
        <v>191</v>
      </c>
      <c r="B195" s="4" t="n">
        <v>46118</v>
      </c>
      <c r="C195" s="2" t="inlineStr">
        <is>
          <t>Solid Dose Line 1</t>
        </is>
      </c>
      <c r="D195" s="2" t="inlineStr">
        <is>
          <t>Product B</t>
        </is>
      </c>
      <c r="E195" s="2" t="inlineStr">
        <is>
          <t>Evening</t>
        </is>
      </c>
      <c r="F195" s="2" t="n">
        <v>11160</v>
      </c>
      <c r="G195" s="2" t="n">
        <v>9182.200000000001</v>
      </c>
      <c r="H195" s="2" t="n">
        <v>9076.9</v>
      </c>
      <c r="I195" s="2" t="n">
        <v>105.3</v>
      </c>
      <c r="J195" s="2" t="n">
        <v>9219.9</v>
      </c>
      <c r="K195" s="2" t="n">
        <v>0.77</v>
      </c>
      <c r="L195" s="2" t="inlineStr">
        <is>
          <t>Documentation</t>
        </is>
      </c>
      <c r="M195" s="2" t="inlineStr">
        <is>
          <t>Released</t>
        </is>
      </c>
      <c r="N195" s="2" t="inlineStr">
        <is>
          <t>None</t>
        </is>
      </c>
      <c r="O195" s="2" t="n">
        <v>0</v>
      </c>
      <c r="P195" s="2" t="n">
        <v>32.1</v>
      </c>
      <c r="Q195" s="2" t="n">
        <v>5471.9</v>
      </c>
      <c r="R195" s="2" t="n">
        <v>6.63</v>
      </c>
      <c r="S195" s="5">
        <f>G195/F195</f>
        <v/>
      </c>
      <c r="T195" s="5">
        <f>MAX(0,1/K195/8)</f>
        <v/>
      </c>
      <c r="U195" s="5">
        <f>IFERROR(G195/(F195*T195),0)</f>
        <v/>
      </c>
      <c r="V195" s="5">
        <f>IFERROR(H195/G195,0)</f>
        <v/>
      </c>
      <c r="W195" s="5">
        <f>T195*U195*V195</f>
        <v/>
      </c>
      <c r="X195" s="5">
        <f>IFERROR(G195/J195,0)</f>
        <v/>
      </c>
      <c r="Y195" s="5">
        <f>IFERROR(I195/G195,0)</f>
        <v/>
      </c>
      <c r="Z195" s="6">
        <f>IFERROR(G195/P195,0)</f>
        <v/>
      </c>
      <c r="AA195" s="7">
        <f>IFERROR(Q195/G195,0)</f>
        <v/>
      </c>
      <c r="AB195" s="8">
        <f>R195+K195</f>
        <v/>
      </c>
    </row>
    <row r="196">
      <c r="A196" s="2" t="n">
        <v>192</v>
      </c>
      <c r="B196" s="4" t="n">
        <v>46118</v>
      </c>
      <c r="C196" s="2" t="inlineStr">
        <is>
          <t>Solid Dose Line 2</t>
        </is>
      </c>
      <c r="D196" s="2" t="inlineStr">
        <is>
          <t>Product B</t>
        </is>
      </c>
      <c r="E196" s="2" t="inlineStr">
        <is>
          <t>Evening</t>
        </is>
      </c>
      <c r="F196" s="2" t="n">
        <v>10957</v>
      </c>
      <c r="G196" s="2" t="n">
        <v>8533.1</v>
      </c>
      <c r="H196" s="2" t="n">
        <v>8416.5</v>
      </c>
      <c r="I196" s="2" t="n">
        <v>116.6</v>
      </c>
      <c r="J196" s="2" t="n">
        <v>8691.200000000001</v>
      </c>
      <c r="K196" s="2" t="n">
        <v>1.48</v>
      </c>
      <c r="L196" s="2" t="inlineStr">
        <is>
          <t>None</t>
        </is>
      </c>
      <c r="M196" s="2" t="inlineStr">
        <is>
          <t>Released</t>
        </is>
      </c>
      <c r="N196" s="2" t="inlineStr">
        <is>
          <t>None</t>
        </is>
      </c>
      <c r="O196" s="2" t="n">
        <v>0</v>
      </c>
      <c r="P196" s="2" t="n">
        <v>41</v>
      </c>
      <c r="Q196" s="2" t="n">
        <v>4614.6</v>
      </c>
      <c r="R196" s="2" t="n">
        <v>7.16</v>
      </c>
      <c r="S196" s="5">
        <f>G196/F196</f>
        <v/>
      </c>
      <c r="T196" s="5">
        <f>MAX(0,1/K196/8)</f>
        <v/>
      </c>
      <c r="U196" s="5">
        <f>IFERROR(G196/(F196*T196),0)</f>
        <v/>
      </c>
      <c r="V196" s="5">
        <f>IFERROR(H196/G196,0)</f>
        <v/>
      </c>
      <c r="W196" s="5">
        <f>T196*U196*V196</f>
        <v/>
      </c>
      <c r="X196" s="5">
        <f>IFERROR(G196/J196,0)</f>
        <v/>
      </c>
      <c r="Y196" s="5">
        <f>IFERROR(I196/G196,0)</f>
        <v/>
      </c>
      <c r="Z196" s="6">
        <f>IFERROR(G196/P196,0)</f>
        <v/>
      </c>
      <c r="AA196" s="7">
        <f>IFERROR(Q196/G196,0)</f>
        <v/>
      </c>
      <c r="AB196" s="8">
        <f>R196+K196</f>
        <v/>
      </c>
    </row>
    <row r="197">
      <c r="A197" s="2" t="n">
        <v>193</v>
      </c>
      <c r="B197" s="4" t="n">
        <v>46119</v>
      </c>
      <c r="C197" s="2" t="inlineStr">
        <is>
          <t>Solid Dose Line 1</t>
        </is>
      </c>
      <c r="D197" s="2" t="inlineStr">
        <is>
          <t>Product B</t>
        </is>
      </c>
      <c r="E197" s="2" t="inlineStr">
        <is>
          <t>Evening</t>
        </is>
      </c>
      <c r="F197" s="2" t="n">
        <v>10893</v>
      </c>
      <c r="G197" s="2" t="n">
        <v>7686</v>
      </c>
      <c r="H197" s="2" t="n">
        <v>7570.8</v>
      </c>
      <c r="I197" s="2" t="n">
        <v>115.3</v>
      </c>
      <c r="J197" s="2" t="n">
        <v>7796.6</v>
      </c>
      <c r="K197" s="2" t="n">
        <v>1.68</v>
      </c>
      <c r="L197" s="2" t="inlineStr">
        <is>
          <t>Material</t>
        </is>
      </c>
      <c r="M197" s="2" t="inlineStr">
        <is>
          <t>Released</t>
        </is>
      </c>
      <c r="N197" s="2" t="inlineStr">
        <is>
          <t>None</t>
        </is>
      </c>
      <c r="O197" s="2" t="n">
        <v>0</v>
      </c>
      <c r="P197" s="2" t="n">
        <v>41.5</v>
      </c>
      <c r="Q197" s="2" t="n">
        <v>3866.6</v>
      </c>
      <c r="R197" s="2" t="n">
        <v>7.03</v>
      </c>
      <c r="S197" s="5">
        <f>G197/F197</f>
        <v/>
      </c>
      <c r="T197" s="5">
        <f>MAX(0,1/K197/8)</f>
        <v/>
      </c>
      <c r="U197" s="5">
        <f>IFERROR(G197/(F197*T197),0)</f>
        <v/>
      </c>
      <c r="V197" s="5">
        <f>IFERROR(H197/G197,0)</f>
        <v/>
      </c>
      <c r="W197" s="5">
        <f>T197*U197*V197</f>
        <v/>
      </c>
      <c r="X197" s="5">
        <f>IFERROR(G197/J197,0)</f>
        <v/>
      </c>
      <c r="Y197" s="5">
        <f>IFERROR(I197/G197,0)</f>
        <v/>
      </c>
      <c r="Z197" s="6">
        <f>IFERROR(G197/P197,0)</f>
        <v/>
      </c>
      <c r="AA197" s="7">
        <f>IFERROR(Q197/G197,0)</f>
        <v/>
      </c>
      <c r="AB197" s="8">
        <f>R197+K197</f>
        <v/>
      </c>
    </row>
    <row r="198">
      <c r="A198" s="2" t="n">
        <v>194</v>
      </c>
      <c r="B198" s="4" t="n">
        <v>46119</v>
      </c>
      <c r="C198" s="2" t="inlineStr">
        <is>
          <t>Solid Dose Line 2</t>
        </is>
      </c>
      <c r="D198" s="2" t="inlineStr">
        <is>
          <t>Product B</t>
        </is>
      </c>
      <c r="E198" s="2" t="inlineStr">
        <is>
          <t>Evening</t>
        </is>
      </c>
      <c r="F198" s="2" t="n">
        <v>9418</v>
      </c>
      <c r="G198" s="2" t="n">
        <v>9256.6</v>
      </c>
      <c r="H198" s="2" t="n">
        <v>9208.299999999999</v>
      </c>
      <c r="I198" s="2" t="n">
        <v>48.3</v>
      </c>
      <c r="J198" s="2" t="n">
        <v>9341.700000000001</v>
      </c>
      <c r="K198" s="2" t="n">
        <v>0</v>
      </c>
      <c r="L198" s="2" t="inlineStr">
        <is>
          <t>None</t>
        </is>
      </c>
      <c r="M198" s="2" t="inlineStr">
        <is>
          <t>Released</t>
        </is>
      </c>
      <c r="N198" s="2" t="inlineStr">
        <is>
          <t>Emergency</t>
        </is>
      </c>
      <c r="O198" s="2" t="n">
        <v>1756.92</v>
      </c>
      <c r="P198" s="2" t="n">
        <v>36.8</v>
      </c>
      <c r="Q198" s="2" t="n">
        <v>4607.2</v>
      </c>
      <c r="R198" s="2" t="n">
        <v>7.35</v>
      </c>
      <c r="S198" s="5">
        <f>G198/F198</f>
        <v/>
      </c>
      <c r="T198" s="5">
        <f>MAX(0,1/K198/8)</f>
        <v/>
      </c>
      <c r="U198" s="5">
        <f>IFERROR(G198/(F198*T198),0)</f>
        <v/>
      </c>
      <c r="V198" s="5">
        <f>IFERROR(H198/G198,0)</f>
        <v/>
      </c>
      <c r="W198" s="5">
        <f>T198*U198*V198</f>
        <v/>
      </c>
      <c r="X198" s="5">
        <f>IFERROR(G198/J198,0)</f>
        <v/>
      </c>
      <c r="Y198" s="5">
        <f>IFERROR(I198/G198,0)</f>
        <v/>
      </c>
      <c r="Z198" s="6">
        <f>IFERROR(G198/P198,0)</f>
        <v/>
      </c>
      <c r="AA198" s="7">
        <f>IFERROR(Q198/G198,0)</f>
        <v/>
      </c>
      <c r="AB198" s="8">
        <f>R198+K198</f>
        <v/>
      </c>
    </row>
    <row r="199">
      <c r="A199" s="2" t="n">
        <v>195</v>
      </c>
      <c r="B199" s="4" t="n">
        <v>46120</v>
      </c>
      <c r="C199" s="2" t="inlineStr">
        <is>
          <t>Solid Dose Line 1</t>
        </is>
      </c>
      <c r="D199" s="2" t="inlineStr">
        <is>
          <t>Product A</t>
        </is>
      </c>
      <c r="E199" s="2" t="inlineStr">
        <is>
          <t>Night</t>
        </is>
      </c>
      <c r="F199" s="2" t="n">
        <v>11551</v>
      </c>
      <c r="G199" s="2" t="n">
        <v>9513.700000000001</v>
      </c>
      <c r="H199" s="2" t="n">
        <v>9237.9</v>
      </c>
      <c r="I199" s="2" t="n">
        <v>275.8</v>
      </c>
      <c r="J199" s="2" t="n">
        <v>9686.700000000001</v>
      </c>
      <c r="K199" s="2" t="n">
        <v>0.61</v>
      </c>
      <c r="L199" s="2" t="inlineStr">
        <is>
          <t>None</t>
        </is>
      </c>
      <c r="M199" s="2" t="inlineStr">
        <is>
          <t>Released</t>
        </is>
      </c>
      <c r="N199" s="2" t="inlineStr">
        <is>
          <t>None</t>
        </is>
      </c>
      <c r="O199" s="2" t="n">
        <v>0</v>
      </c>
      <c r="P199" s="2" t="n">
        <v>42.3</v>
      </c>
      <c r="Q199" s="2" t="n">
        <v>4332.2</v>
      </c>
      <c r="R199" s="2" t="n">
        <v>6.84</v>
      </c>
      <c r="S199" s="5">
        <f>G199/F199</f>
        <v/>
      </c>
      <c r="T199" s="5">
        <f>MAX(0,1/K199/8)</f>
        <v/>
      </c>
      <c r="U199" s="5">
        <f>IFERROR(G199/(F199*T199),0)</f>
        <v/>
      </c>
      <c r="V199" s="5">
        <f>IFERROR(H199/G199,0)</f>
        <v/>
      </c>
      <c r="W199" s="5">
        <f>T199*U199*V199</f>
        <v/>
      </c>
      <c r="X199" s="5">
        <f>IFERROR(G199/J199,0)</f>
        <v/>
      </c>
      <c r="Y199" s="5">
        <f>IFERROR(I199/G199,0)</f>
        <v/>
      </c>
      <c r="Z199" s="6">
        <f>IFERROR(G199/P199,0)</f>
        <v/>
      </c>
      <c r="AA199" s="7">
        <f>IFERROR(Q199/G199,0)</f>
        <v/>
      </c>
      <c r="AB199" s="8">
        <f>R199+K199</f>
        <v/>
      </c>
    </row>
    <row r="200">
      <c r="A200" s="2" t="n">
        <v>196</v>
      </c>
      <c r="B200" s="4" t="n">
        <v>46120</v>
      </c>
      <c r="C200" s="2" t="inlineStr">
        <is>
          <t>Solid Dose Line 2</t>
        </is>
      </c>
      <c r="D200" s="2" t="inlineStr">
        <is>
          <t>Product A</t>
        </is>
      </c>
      <c r="E200" s="2" t="inlineStr">
        <is>
          <t>Evening</t>
        </is>
      </c>
      <c r="F200" s="2" t="n">
        <v>9940</v>
      </c>
      <c r="G200" s="2" t="n">
        <v>7093.1</v>
      </c>
      <c r="H200" s="2" t="n">
        <v>7005.8</v>
      </c>
      <c r="I200" s="2" t="n">
        <v>87.3</v>
      </c>
      <c r="J200" s="2" t="n">
        <v>7203.9</v>
      </c>
      <c r="K200" s="2" t="n">
        <v>1.52</v>
      </c>
      <c r="L200" s="2" t="inlineStr">
        <is>
          <t>None</t>
        </is>
      </c>
      <c r="M200" s="2" t="inlineStr">
        <is>
          <t>Released</t>
        </is>
      </c>
      <c r="N200" s="2" t="inlineStr">
        <is>
          <t>None</t>
        </is>
      </c>
      <c r="O200" s="2" t="n">
        <v>0</v>
      </c>
      <c r="P200" s="2" t="n">
        <v>45.4</v>
      </c>
      <c r="Q200" s="2" t="n">
        <v>3716</v>
      </c>
      <c r="R200" s="2" t="n">
        <v>6.52</v>
      </c>
      <c r="S200" s="5">
        <f>G200/F200</f>
        <v/>
      </c>
      <c r="T200" s="5">
        <f>MAX(0,1/K200/8)</f>
        <v/>
      </c>
      <c r="U200" s="5">
        <f>IFERROR(G200/(F200*T200),0)</f>
        <v/>
      </c>
      <c r="V200" s="5">
        <f>IFERROR(H200/G200,0)</f>
        <v/>
      </c>
      <c r="W200" s="5">
        <f>T200*U200*V200</f>
        <v/>
      </c>
      <c r="X200" s="5">
        <f>IFERROR(G200/J200,0)</f>
        <v/>
      </c>
      <c r="Y200" s="5">
        <f>IFERROR(I200/G200,0)</f>
        <v/>
      </c>
      <c r="Z200" s="6">
        <f>IFERROR(G200/P200,0)</f>
        <v/>
      </c>
      <c r="AA200" s="7">
        <f>IFERROR(Q200/G200,0)</f>
        <v/>
      </c>
      <c r="AB200" s="8">
        <f>R200+K200</f>
        <v/>
      </c>
    </row>
    <row r="201">
      <c r="A201" s="2" t="n">
        <v>197</v>
      </c>
      <c r="B201" s="4" t="n">
        <v>46121</v>
      </c>
      <c r="C201" s="2" t="inlineStr">
        <is>
          <t>Solid Dose Line 1</t>
        </is>
      </c>
      <c r="D201" s="2" t="inlineStr">
        <is>
          <t>Product B</t>
        </is>
      </c>
      <c r="E201" s="2" t="inlineStr">
        <is>
          <t>Evening</t>
        </is>
      </c>
      <c r="F201" s="2" t="n">
        <v>11671</v>
      </c>
      <c r="G201" s="2" t="n">
        <v>10185.3</v>
      </c>
      <c r="H201" s="2" t="n">
        <v>10028</v>
      </c>
      <c r="I201" s="2" t="n">
        <v>157.3</v>
      </c>
      <c r="J201" s="2" t="n">
        <v>10393.8</v>
      </c>
      <c r="K201" s="2" t="n">
        <v>0.48</v>
      </c>
      <c r="L201" s="2" t="inlineStr">
        <is>
          <t>None</t>
        </is>
      </c>
      <c r="M201" s="2" t="inlineStr">
        <is>
          <t>Released</t>
        </is>
      </c>
      <c r="N201" s="2" t="inlineStr">
        <is>
          <t>None</t>
        </is>
      </c>
      <c r="O201" s="2" t="n">
        <v>0</v>
      </c>
      <c r="P201" s="2" t="n">
        <v>40.3</v>
      </c>
      <c r="Q201" s="2" t="n">
        <v>5883.2</v>
      </c>
      <c r="R201" s="2" t="n">
        <v>7.36</v>
      </c>
      <c r="S201" s="5">
        <f>G201/F201</f>
        <v/>
      </c>
      <c r="T201" s="5">
        <f>MAX(0,1/K201/8)</f>
        <v/>
      </c>
      <c r="U201" s="5">
        <f>IFERROR(G201/(F201*T201),0)</f>
        <v/>
      </c>
      <c r="V201" s="5">
        <f>IFERROR(H201/G201,0)</f>
        <v/>
      </c>
      <c r="W201" s="5">
        <f>T201*U201*V201</f>
        <v/>
      </c>
      <c r="X201" s="5">
        <f>IFERROR(G201/J201,0)</f>
        <v/>
      </c>
      <c r="Y201" s="5">
        <f>IFERROR(I201/G201,0)</f>
        <v/>
      </c>
      <c r="Z201" s="6">
        <f>IFERROR(G201/P201,0)</f>
        <v/>
      </c>
      <c r="AA201" s="7">
        <f>IFERROR(Q201/G201,0)</f>
        <v/>
      </c>
      <c r="AB201" s="8">
        <f>R201+K201</f>
        <v/>
      </c>
    </row>
    <row r="202">
      <c r="A202" s="2" t="n">
        <v>198</v>
      </c>
      <c r="B202" s="4" t="n">
        <v>46121</v>
      </c>
      <c r="C202" s="2" t="inlineStr">
        <is>
          <t>Solid Dose Line 2</t>
        </is>
      </c>
      <c r="D202" s="2" t="inlineStr">
        <is>
          <t>Product A</t>
        </is>
      </c>
      <c r="E202" s="2" t="inlineStr">
        <is>
          <t>Day</t>
        </is>
      </c>
      <c r="F202" s="2" t="n">
        <v>9198</v>
      </c>
      <c r="G202" s="2" t="n">
        <v>6139.9</v>
      </c>
      <c r="H202" s="2" t="n">
        <v>6063.6</v>
      </c>
      <c r="I202" s="2" t="n">
        <v>76.2</v>
      </c>
      <c r="J202" s="2" t="n">
        <v>6281.9</v>
      </c>
      <c r="K202" s="2" t="n">
        <v>2.15</v>
      </c>
      <c r="L202" s="2" t="inlineStr">
        <is>
          <t>None</t>
        </is>
      </c>
      <c r="M202" s="2" t="inlineStr">
        <is>
          <t>Released</t>
        </is>
      </c>
      <c r="N202" s="2" t="inlineStr">
        <is>
          <t>Corrective</t>
        </is>
      </c>
      <c r="O202" s="2" t="n">
        <v>981.65</v>
      </c>
      <c r="P202" s="2" t="n">
        <v>36.1</v>
      </c>
      <c r="Q202" s="2" t="n">
        <v>2961.3</v>
      </c>
      <c r="R202" s="2" t="n">
        <v>7.37</v>
      </c>
      <c r="S202" s="5">
        <f>G202/F202</f>
        <v/>
      </c>
      <c r="T202" s="5">
        <f>MAX(0,1/K202/8)</f>
        <v/>
      </c>
      <c r="U202" s="5">
        <f>IFERROR(G202/(F202*T202),0)</f>
        <v/>
      </c>
      <c r="V202" s="5">
        <f>IFERROR(H202/G202,0)</f>
        <v/>
      </c>
      <c r="W202" s="5">
        <f>T202*U202*V202</f>
        <v/>
      </c>
      <c r="X202" s="5">
        <f>IFERROR(G202/J202,0)</f>
        <v/>
      </c>
      <c r="Y202" s="5">
        <f>IFERROR(I202/G202,0)</f>
        <v/>
      </c>
      <c r="Z202" s="6">
        <f>IFERROR(G202/P202,0)</f>
        <v/>
      </c>
      <c r="AA202" s="7">
        <f>IFERROR(Q202/G202,0)</f>
        <v/>
      </c>
      <c r="AB202" s="8">
        <f>R202+K202</f>
        <v/>
      </c>
    </row>
    <row r="203">
      <c r="A203" s="2" t="n">
        <v>199</v>
      </c>
      <c r="B203" s="4" t="n">
        <v>46122</v>
      </c>
      <c r="C203" s="2" t="inlineStr">
        <is>
          <t>Solid Dose Line 1</t>
        </is>
      </c>
      <c r="D203" s="2" t="inlineStr">
        <is>
          <t>Product B</t>
        </is>
      </c>
      <c r="E203" s="2" t="inlineStr">
        <is>
          <t>Day</t>
        </is>
      </c>
      <c r="F203" s="2" t="n">
        <v>10611</v>
      </c>
      <c r="G203" s="2" t="n">
        <v>7629.5</v>
      </c>
      <c r="H203" s="2" t="n">
        <v>7499.4</v>
      </c>
      <c r="I203" s="2" t="n">
        <v>130</v>
      </c>
      <c r="J203" s="2" t="n">
        <v>7726</v>
      </c>
      <c r="K203" s="2" t="n">
        <v>1.83</v>
      </c>
      <c r="L203" s="2" t="inlineStr">
        <is>
          <t>None</t>
        </is>
      </c>
      <c r="M203" s="2" t="inlineStr">
        <is>
          <t>Released</t>
        </is>
      </c>
      <c r="N203" s="2" t="inlineStr">
        <is>
          <t>None</t>
        </is>
      </c>
      <c r="O203" s="2" t="n">
        <v>0</v>
      </c>
      <c r="P203" s="2" t="n">
        <v>32.1</v>
      </c>
      <c r="Q203" s="2" t="n">
        <v>3654</v>
      </c>
      <c r="R203" s="2" t="n">
        <v>7.28</v>
      </c>
      <c r="S203" s="5">
        <f>G203/F203</f>
        <v/>
      </c>
      <c r="T203" s="5">
        <f>MAX(0,1/K203/8)</f>
        <v/>
      </c>
      <c r="U203" s="5">
        <f>IFERROR(G203/(F203*T203),0)</f>
        <v/>
      </c>
      <c r="V203" s="5">
        <f>IFERROR(H203/G203,0)</f>
        <v/>
      </c>
      <c r="W203" s="5">
        <f>T203*U203*V203</f>
        <v/>
      </c>
      <c r="X203" s="5">
        <f>IFERROR(G203/J203,0)</f>
        <v/>
      </c>
      <c r="Y203" s="5">
        <f>IFERROR(I203/G203,0)</f>
        <v/>
      </c>
      <c r="Z203" s="6">
        <f>IFERROR(G203/P203,0)</f>
        <v/>
      </c>
      <c r="AA203" s="7">
        <f>IFERROR(Q203/G203,0)</f>
        <v/>
      </c>
      <c r="AB203" s="8">
        <f>R203+K203</f>
        <v/>
      </c>
    </row>
    <row r="204">
      <c r="A204" s="2" t="n">
        <v>200</v>
      </c>
      <c r="B204" s="4" t="n">
        <v>46122</v>
      </c>
      <c r="C204" s="2" t="inlineStr">
        <is>
          <t>Solid Dose Line 2</t>
        </is>
      </c>
      <c r="D204" s="2" t="inlineStr">
        <is>
          <t>Product B</t>
        </is>
      </c>
      <c r="E204" s="2" t="inlineStr">
        <is>
          <t>Evening</t>
        </is>
      </c>
      <c r="F204" s="2" t="n">
        <v>11312</v>
      </c>
      <c r="G204" s="2" t="n">
        <v>10494.5</v>
      </c>
      <c r="H204" s="2" t="n">
        <v>10305.8</v>
      </c>
      <c r="I204" s="2" t="n">
        <v>188.7</v>
      </c>
      <c r="J204" s="2" t="n">
        <v>10457.9</v>
      </c>
      <c r="K204" s="2" t="n">
        <v>0</v>
      </c>
      <c r="L204" s="2" t="inlineStr">
        <is>
          <t>None</t>
        </is>
      </c>
      <c r="M204" s="2" t="inlineStr">
        <is>
          <t>Released</t>
        </is>
      </c>
      <c r="N204" s="2" t="inlineStr">
        <is>
          <t>None</t>
        </is>
      </c>
      <c r="O204" s="2" t="n">
        <v>0</v>
      </c>
      <c r="P204" s="2" t="n">
        <v>36.9</v>
      </c>
      <c r="Q204" s="2" t="n">
        <v>6136.3</v>
      </c>
      <c r="R204" s="2" t="n">
        <v>6.97</v>
      </c>
      <c r="S204" s="5">
        <f>G204/F204</f>
        <v/>
      </c>
      <c r="T204" s="5">
        <f>MAX(0,1/K204/8)</f>
        <v/>
      </c>
      <c r="U204" s="5">
        <f>IFERROR(G204/(F204*T204),0)</f>
        <v/>
      </c>
      <c r="V204" s="5">
        <f>IFERROR(H204/G204,0)</f>
        <v/>
      </c>
      <c r="W204" s="5">
        <f>T204*U204*V204</f>
        <v/>
      </c>
      <c r="X204" s="5">
        <f>IFERROR(G204/J204,0)</f>
        <v/>
      </c>
      <c r="Y204" s="5">
        <f>IFERROR(I204/G204,0)</f>
        <v/>
      </c>
      <c r="Z204" s="6">
        <f>IFERROR(G204/P204,0)</f>
        <v/>
      </c>
      <c r="AA204" s="7">
        <f>IFERROR(Q204/G204,0)</f>
        <v/>
      </c>
      <c r="AB204" s="8">
        <f>R204+K204</f>
        <v/>
      </c>
    </row>
    <row r="205">
      <c r="A205" s="2" t="n">
        <v>201</v>
      </c>
      <c r="B205" s="4" t="n">
        <v>46123</v>
      </c>
      <c r="C205" s="2" t="inlineStr">
        <is>
          <t>Solid Dose Line 1</t>
        </is>
      </c>
      <c r="D205" s="2" t="inlineStr">
        <is>
          <t>Product C</t>
        </is>
      </c>
      <c r="E205" s="2" t="inlineStr">
        <is>
          <t>Day</t>
        </is>
      </c>
      <c r="F205" s="2" t="n">
        <v>11080</v>
      </c>
      <c r="G205" s="2" t="n">
        <v>8403.799999999999</v>
      </c>
      <c r="H205" s="2" t="n">
        <v>8345.799999999999</v>
      </c>
      <c r="I205" s="2" t="n">
        <v>58</v>
      </c>
      <c r="J205" s="2" t="n">
        <v>8470.700000000001</v>
      </c>
      <c r="K205" s="2" t="n">
        <v>1.33</v>
      </c>
      <c r="L205" s="2" t="inlineStr">
        <is>
          <t>None</t>
        </is>
      </c>
      <c r="M205" s="2" t="inlineStr">
        <is>
          <t>Released</t>
        </is>
      </c>
      <c r="N205" s="2" t="inlineStr">
        <is>
          <t>Corrective</t>
        </is>
      </c>
      <c r="O205" s="2" t="n">
        <v>521.6</v>
      </c>
      <c r="P205" s="2" t="n">
        <v>38.3</v>
      </c>
      <c r="Q205" s="2" t="n">
        <v>4316</v>
      </c>
      <c r="R205" s="2" t="n">
        <v>7.31</v>
      </c>
      <c r="S205" s="5">
        <f>G205/F205</f>
        <v/>
      </c>
      <c r="T205" s="5">
        <f>MAX(0,1/K205/8)</f>
        <v/>
      </c>
      <c r="U205" s="5">
        <f>IFERROR(G205/(F205*T205),0)</f>
        <v/>
      </c>
      <c r="V205" s="5">
        <f>IFERROR(H205/G205,0)</f>
        <v/>
      </c>
      <c r="W205" s="5">
        <f>T205*U205*V205</f>
        <v/>
      </c>
      <c r="X205" s="5">
        <f>IFERROR(G205/J205,0)</f>
        <v/>
      </c>
      <c r="Y205" s="5">
        <f>IFERROR(I205/G205,0)</f>
        <v/>
      </c>
      <c r="Z205" s="6">
        <f>IFERROR(G205/P205,0)</f>
        <v/>
      </c>
      <c r="AA205" s="7">
        <f>IFERROR(Q205/G205,0)</f>
        <v/>
      </c>
      <c r="AB205" s="8">
        <f>R205+K205</f>
        <v/>
      </c>
    </row>
    <row r="206">
      <c r="A206" s="2" t="n">
        <v>202</v>
      </c>
      <c r="B206" s="4" t="n">
        <v>46123</v>
      </c>
      <c r="C206" s="2" t="inlineStr">
        <is>
          <t>Solid Dose Line 2</t>
        </is>
      </c>
      <c r="D206" s="2" t="inlineStr">
        <is>
          <t>Product A</t>
        </is>
      </c>
      <c r="E206" s="2" t="inlineStr">
        <is>
          <t>Day</t>
        </is>
      </c>
      <c r="F206" s="2" t="n">
        <v>11838</v>
      </c>
      <c r="G206" s="2" t="n">
        <v>9211.6</v>
      </c>
      <c r="H206" s="2" t="n">
        <v>9064.4</v>
      </c>
      <c r="I206" s="2" t="n">
        <v>147.2</v>
      </c>
      <c r="J206" s="2" t="n">
        <v>9217</v>
      </c>
      <c r="K206" s="2" t="n">
        <v>1.41</v>
      </c>
      <c r="L206" s="2" t="inlineStr">
        <is>
          <t>None</t>
        </is>
      </c>
      <c r="M206" s="2" t="inlineStr">
        <is>
          <t>Released</t>
        </is>
      </c>
      <c r="N206" s="2" t="inlineStr">
        <is>
          <t>None</t>
        </is>
      </c>
      <c r="O206" s="2" t="n">
        <v>0</v>
      </c>
      <c r="P206" s="2" t="n">
        <v>34.2</v>
      </c>
      <c r="Q206" s="2" t="n">
        <v>4920.6</v>
      </c>
      <c r="R206" s="2" t="n">
        <v>6.8</v>
      </c>
      <c r="S206" s="5">
        <f>G206/F206</f>
        <v/>
      </c>
      <c r="T206" s="5">
        <f>MAX(0,1/K206/8)</f>
        <v/>
      </c>
      <c r="U206" s="5">
        <f>IFERROR(G206/(F206*T206),0)</f>
        <v/>
      </c>
      <c r="V206" s="5">
        <f>IFERROR(H206/G206,0)</f>
        <v/>
      </c>
      <c r="W206" s="5">
        <f>T206*U206*V206</f>
        <v/>
      </c>
      <c r="X206" s="5">
        <f>IFERROR(G206/J206,0)</f>
        <v/>
      </c>
      <c r="Y206" s="5">
        <f>IFERROR(I206/G206,0)</f>
        <v/>
      </c>
      <c r="Z206" s="6">
        <f>IFERROR(G206/P206,0)</f>
        <v/>
      </c>
      <c r="AA206" s="7">
        <f>IFERROR(Q206/G206,0)</f>
        <v/>
      </c>
      <c r="AB206" s="8">
        <f>R206+K206</f>
        <v/>
      </c>
    </row>
    <row r="207">
      <c r="A207" s="2" t="n">
        <v>203</v>
      </c>
      <c r="B207" s="4" t="n">
        <v>46124</v>
      </c>
      <c r="C207" s="2" t="inlineStr">
        <is>
          <t>Solid Dose Line 1</t>
        </is>
      </c>
      <c r="D207" s="2" t="inlineStr">
        <is>
          <t>Product A</t>
        </is>
      </c>
      <c r="E207" s="2" t="inlineStr">
        <is>
          <t>Day</t>
        </is>
      </c>
      <c r="F207" s="2" t="n">
        <v>9231</v>
      </c>
      <c r="G207" s="2" t="n">
        <v>6503.6</v>
      </c>
      <c r="H207" s="2" t="n">
        <v>6359.3</v>
      </c>
      <c r="I207" s="2" t="n">
        <v>144.3</v>
      </c>
      <c r="J207" s="2" t="n">
        <v>6554.8</v>
      </c>
      <c r="K207" s="2" t="n">
        <v>1.68</v>
      </c>
      <c r="L207" s="2" t="inlineStr">
        <is>
          <t>None</t>
        </is>
      </c>
      <c r="M207" s="2" t="inlineStr">
        <is>
          <t>Released</t>
        </is>
      </c>
      <c r="N207" s="2" t="inlineStr">
        <is>
          <t>None</t>
        </is>
      </c>
      <c r="O207" s="2" t="n">
        <v>0</v>
      </c>
      <c r="P207" s="2" t="n">
        <v>39</v>
      </c>
      <c r="Q207" s="2" t="n">
        <v>3734.7</v>
      </c>
      <c r="R207" s="2" t="n">
        <v>7.12</v>
      </c>
      <c r="S207" s="5">
        <f>G207/F207</f>
        <v/>
      </c>
      <c r="T207" s="5">
        <f>MAX(0,1/K207/8)</f>
        <v/>
      </c>
      <c r="U207" s="5">
        <f>IFERROR(G207/(F207*T207),0)</f>
        <v/>
      </c>
      <c r="V207" s="5">
        <f>IFERROR(H207/G207,0)</f>
        <v/>
      </c>
      <c r="W207" s="5">
        <f>T207*U207*V207</f>
        <v/>
      </c>
      <c r="X207" s="5">
        <f>IFERROR(G207/J207,0)</f>
        <v/>
      </c>
      <c r="Y207" s="5">
        <f>IFERROR(I207/G207,0)</f>
        <v/>
      </c>
      <c r="Z207" s="6">
        <f>IFERROR(G207/P207,0)</f>
        <v/>
      </c>
      <c r="AA207" s="7">
        <f>IFERROR(Q207/G207,0)</f>
        <v/>
      </c>
      <c r="AB207" s="8">
        <f>R207+K207</f>
        <v/>
      </c>
    </row>
    <row r="208">
      <c r="A208" s="2" t="n">
        <v>204</v>
      </c>
      <c r="B208" s="4" t="n">
        <v>46124</v>
      </c>
      <c r="C208" s="2" t="inlineStr">
        <is>
          <t>Solid Dose Line 2</t>
        </is>
      </c>
      <c r="D208" s="2" t="inlineStr">
        <is>
          <t>Product B</t>
        </is>
      </c>
      <c r="E208" s="2" t="inlineStr">
        <is>
          <t>Day</t>
        </is>
      </c>
      <c r="F208" s="2" t="n">
        <v>9869</v>
      </c>
      <c r="G208" s="2" t="n">
        <v>6118.5</v>
      </c>
      <c r="H208" s="2" t="n">
        <v>6069.3</v>
      </c>
      <c r="I208" s="2" t="n">
        <v>49.2</v>
      </c>
      <c r="J208" s="2" t="n">
        <v>6242.7</v>
      </c>
      <c r="K208" s="2" t="n">
        <v>2.31</v>
      </c>
      <c r="L208" s="2" t="inlineStr">
        <is>
          <t>Material</t>
        </is>
      </c>
      <c r="M208" s="2" t="inlineStr">
        <is>
          <t>Released</t>
        </is>
      </c>
      <c r="N208" s="2" t="inlineStr">
        <is>
          <t>None</t>
        </is>
      </c>
      <c r="O208" s="2" t="n">
        <v>0</v>
      </c>
      <c r="P208" s="2" t="n">
        <v>39.3</v>
      </c>
      <c r="Q208" s="2" t="n">
        <v>3365.6</v>
      </c>
      <c r="R208" s="2" t="n">
        <v>7.4</v>
      </c>
      <c r="S208" s="5">
        <f>G208/F208</f>
        <v/>
      </c>
      <c r="T208" s="5">
        <f>MAX(0,1/K208/8)</f>
        <v/>
      </c>
      <c r="U208" s="5">
        <f>IFERROR(G208/(F208*T208),0)</f>
        <v/>
      </c>
      <c r="V208" s="5">
        <f>IFERROR(H208/G208,0)</f>
        <v/>
      </c>
      <c r="W208" s="5">
        <f>T208*U208*V208</f>
        <v/>
      </c>
      <c r="X208" s="5">
        <f>IFERROR(G208/J208,0)</f>
        <v/>
      </c>
      <c r="Y208" s="5">
        <f>IFERROR(I208/G208,0)</f>
        <v/>
      </c>
      <c r="Z208" s="6">
        <f>IFERROR(G208/P208,0)</f>
        <v/>
      </c>
      <c r="AA208" s="7">
        <f>IFERROR(Q208/G208,0)</f>
        <v/>
      </c>
      <c r="AB208" s="8">
        <f>R208+K208</f>
        <v/>
      </c>
    </row>
    <row r="209">
      <c r="A209" s="2" t="n">
        <v>205</v>
      </c>
      <c r="B209" s="4" t="n">
        <v>46125</v>
      </c>
      <c r="C209" s="2" t="inlineStr">
        <is>
          <t>Solid Dose Line 1</t>
        </is>
      </c>
      <c r="D209" s="2" t="inlineStr">
        <is>
          <t>Product B</t>
        </is>
      </c>
      <c r="E209" s="2" t="inlineStr">
        <is>
          <t>Night</t>
        </is>
      </c>
      <c r="F209" s="2" t="n">
        <v>11099</v>
      </c>
      <c r="G209" s="2" t="n">
        <v>6920.4</v>
      </c>
      <c r="H209" s="2" t="n">
        <v>6834.1</v>
      </c>
      <c r="I209" s="2" t="n">
        <v>86.3</v>
      </c>
      <c r="J209" s="2" t="n">
        <v>6971.8</v>
      </c>
      <c r="K209" s="2" t="n">
        <v>3.99</v>
      </c>
      <c r="L209" s="2" t="inlineStr">
        <is>
          <t>Documentation</t>
        </is>
      </c>
      <c r="M209" s="2" t="inlineStr">
        <is>
          <t>Released</t>
        </is>
      </c>
      <c r="N209" s="2" t="inlineStr">
        <is>
          <t>None</t>
        </is>
      </c>
      <c r="O209" s="2" t="n">
        <v>0</v>
      </c>
      <c r="P209" s="2" t="n">
        <v>46.3</v>
      </c>
      <c r="Q209" s="2" t="n">
        <v>3544.6</v>
      </c>
      <c r="R209" s="2" t="n">
        <v>6.59</v>
      </c>
      <c r="S209" s="5">
        <f>G209/F209</f>
        <v/>
      </c>
      <c r="T209" s="5">
        <f>MAX(0,1/K209/8)</f>
        <v/>
      </c>
      <c r="U209" s="5">
        <f>IFERROR(G209/(F209*T209),0)</f>
        <v/>
      </c>
      <c r="V209" s="5">
        <f>IFERROR(H209/G209,0)</f>
        <v/>
      </c>
      <c r="W209" s="5">
        <f>T209*U209*V209</f>
        <v/>
      </c>
      <c r="X209" s="5">
        <f>IFERROR(G209/J209,0)</f>
        <v/>
      </c>
      <c r="Y209" s="5">
        <f>IFERROR(I209/G209,0)</f>
        <v/>
      </c>
      <c r="Z209" s="6">
        <f>IFERROR(G209/P209,0)</f>
        <v/>
      </c>
      <c r="AA209" s="7">
        <f>IFERROR(Q209/G209,0)</f>
        <v/>
      </c>
      <c r="AB209" s="8">
        <f>R209+K209</f>
        <v/>
      </c>
    </row>
    <row r="210">
      <c r="A210" s="2" t="n">
        <v>206</v>
      </c>
      <c r="B210" s="4" t="n">
        <v>46125</v>
      </c>
      <c r="C210" s="2" t="inlineStr">
        <is>
          <t>Solid Dose Line 2</t>
        </is>
      </c>
      <c r="D210" s="2" t="inlineStr">
        <is>
          <t>Product A</t>
        </is>
      </c>
      <c r="E210" s="2" t="inlineStr">
        <is>
          <t>Day</t>
        </is>
      </c>
      <c r="F210" s="2" t="n">
        <v>9733</v>
      </c>
      <c r="G210" s="2" t="n">
        <v>7035</v>
      </c>
      <c r="H210" s="2" t="n">
        <v>6948</v>
      </c>
      <c r="I210" s="2" t="n">
        <v>86.90000000000001</v>
      </c>
      <c r="J210" s="2" t="n">
        <v>7124.1</v>
      </c>
      <c r="K210" s="2" t="n">
        <v>1.68</v>
      </c>
      <c r="L210" s="2" t="inlineStr">
        <is>
          <t>Equipment</t>
        </is>
      </c>
      <c r="M210" s="2" t="inlineStr">
        <is>
          <t>Released</t>
        </is>
      </c>
      <c r="N210" s="2" t="inlineStr">
        <is>
          <t>Preventive</t>
        </is>
      </c>
      <c r="O210" s="2" t="n">
        <v>200.55</v>
      </c>
      <c r="P210" s="2" t="n">
        <v>50.6</v>
      </c>
      <c r="Q210" s="2" t="n">
        <v>3604.3</v>
      </c>
      <c r="R210" s="2" t="n">
        <v>6.75</v>
      </c>
      <c r="S210" s="5">
        <f>G210/F210</f>
        <v/>
      </c>
      <c r="T210" s="5">
        <f>MAX(0,1/K210/8)</f>
        <v/>
      </c>
      <c r="U210" s="5">
        <f>IFERROR(G210/(F210*T210),0)</f>
        <v/>
      </c>
      <c r="V210" s="5">
        <f>IFERROR(H210/G210,0)</f>
        <v/>
      </c>
      <c r="W210" s="5">
        <f>T210*U210*V210</f>
        <v/>
      </c>
      <c r="X210" s="5">
        <f>IFERROR(G210/J210,0)</f>
        <v/>
      </c>
      <c r="Y210" s="5">
        <f>IFERROR(I210/G210,0)</f>
        <v/>
      </c>
      <c r="Z210" s="6">
        <f>IFERROR(G210/P210,0)</f>
        <v/>
      </c>
      <c r="AA210" s="7">
        <f>IFERROR(Q210/G210,0)</f>
        <v/>
      </c>
      <c r="AB210" s="8">
        <f>R210+K210</f>
        <v/>
      </c>
    </row>
    <row r="211">
      <c r="A211" s="2" t="n">
        <v>207</v>
      </c>
      <c r="B211" s="4" t="n">
        <v>46126</v>
      </c>
      <c r="C211" s="2" t="inlineStr">
        <is>
          <t>Solid Dose Line 1</t>
        </is>
      </c>
      <c r="D211" s="2" t="inlineStr">
        <is>
          <t>Product A</t>
        </is>
      </c>
      <c r="E211" s="2" t="inlineStr">
        <is>
          <t>Night</t>
        </is>
      </c>
      <c r="F211" s="2" t="n">
        <v>11839</v>
      </c>
      <c r="G211" s="2" t="n">
        <v>7807.9</v>
      </c>
      <c r="H211" s="2" t="n">
        <v>7700.9</v>
      </c>
      <c r="I211" s="2" t="n">
        <v>107</v>
      </c>
      <c r="J211" s="2" t="n">
        <v>7921.5</v>
      </c>
      <c r="K211" s="2" t="n">
        <v>2.11</v>
      </c>
      <c r="L211" s="2" t="inlineStr">
        <is>
          <t>Documentation</t>
        </is>
      </c>
      <c r="M211" s="2" t="inlineStr">
        <is>
          <t>Released</t>
        </is>
      </c>
      <c r="N211" s="2" t="inlineStr">
        <is>
          <t>Emergency</t>
        </is>
      </c>
      <c r="O211" s="2" t="n">
        <v>2045.88</v>
      </c>
      <c r="P211" s="2" t="n">
        <v>50.2</v>
      </c>
      <c r="Q211" s="2" t="n">
        <v>3971.3</v>
      </c>
      <c r="R211" s="2" t="n">
        <v>7</v>
      </c>
      <c r="S211" s="5">
        <f>G211/F211</f>
        <v/>
      </c>
      <c r="T211" s="5">
        <f>MAX(0,1/K211/8)</f>
        <v/>
      </c>
      <c r="U211" s="5">
        <f>IFERROR(G211/(F211*T211),0)</f>
        <v/>
      </c>
      <c r="V211" s="5">
        <f>IFERROR(H211/G211,0)</f>
        <v/>
      </c>
      <c r="W211" s="5">
        <f>T211*U211*V211</f>
        <v/>
      </c>
      <c r="X211" s="5">
        <f>IFERROR(G211/J211,0)</f>
        <v/>
      </c>
      <c r="Y211" s="5">
        <f>IFERROR(I211/G211,0)</f>
        <v/>
      </c>
      <c r="Z211" s="6">
        <f>IFERROR(G211/P211,0)</f>
        <v/>
      </c>
      <c r="AA211" s="7">
        <f>IFERROR(Q211/G211,0)</f>
        <v/>
      </c>
      <c r="AB211" s="8">
        <f>R211+K211</f>
        <v/>
      </c>
    </row>
    <row r="212">
      <c r="A212" s="2" t="n">
        <v>208</v>
      </c>
      <c r="B212" s="4" t="n">
        <v>46126</v>
      </c>
      <c r="C212" s="2" t="inlineStr">
        <is>
          <t>Solid Dose Line 2</t>
        </is>
      </c>
      <c r="D212" s="2" t="inlineStr">
        <is>
          <t>Product B</t>
        </is>
      </c>
      <c r="E212" s="2" t="inlineStr">
        <is>
          <t>Day</t>
        </is>
      </c>
      <c r="F212" s="2" t="n">
        <v>9844</v>
      </c>
      <c r="G212" s="2" t="n">
        <v>9192.5</v>
      </c>
      <c r="H212" s="2" t="n">
        <v>9024.4</v>
      </c>
      <c r="I212" s="2" t="n">
        <v>168.1</v>
      </c>
      <c r="J212" s="2" t="n">
        <v>9204</v>
      </c>
      <c r="K212" s="2" t="n">
        <v>0</v>
      </c>
      <c r="L212" s="2" t="inlineStr">
        <is>
          <t>None</t>
        </is>
      </c>
      <c r="M212" s="2" t="inlineStr">
        <is>
          <t>Released</t>
        </is>
      </c>
      <c r="N212" s="2" t="inlineStr">
        <is>
          <t>None</t>
        </is>
      </c>
      <c r="O212" s="2" t="n">
        <v>0</v>
      </c>
      <c r="P212" s="2" t="n">
        <v>41.8</v>
      </c>
      <c r="Q212" s="2" t="n">
        <v>4360</v>
      </c>
      <c r="R212" s="2" t="n">
        <v>6.98</v>
      </c>
      <c r="S212" s="5">
        <f>G212/F212</f>
        <v/>
      </c>
      <c r="T212" s="5">
        <f>MAX(0,1/K212/8)</f>
        <v/>
      </c>
      <c r="U212" s="5">
        <f>IFERROR(G212/(F212*T212),0)</f>
        <v/>
      </c>
      <c r="V212" s="5">
        <f>IFERROR(H212/G212,0)</f>
        <v/>
      </c>
      <c r="W212" s="5">
        <f>T212*U212*V212</f>
        <v/>
      </c>
      <c r="X212" s="5">
        <f>IFERROR(G212/J212,0)</f>
        <v/>
      </c>
      <c r="Y212" s="5">
        <f>IFERROR(I212/G212,0)</f>
        <v/>
      </c>
      <c r="Z212" s="6">
        <f>IFERROR(G212/P212,0)</f>
        <v/>
      </c>
      <c r="AA212" s="7">
        <f>IFERROR(Q212/G212,0)</f>
        <v/>
      </c>
      <c r="AB212" s="8">
        <f>R212+K212</f>
        <v/>
      </c>
    </row>
    <row r="213">
      <c r="A213" s="2" t="n">
        <v>209</v>
      </c>
      <c r="B213" s="4" t="n">
        <v>46127</v>
      </c>
      <c r="C213" s="2" t="inlineStr">
        <is>
          <t>Solid Dose Line 1</t>
        </is>
      </c>
      <c r="D213" s="2" t="inlineStr">
        <is>
          <t>Product C</t>
        </is>
      </c>
      <c r="E213" s="2" t="inlineStr">
        <is>
          <t>Evening</t>
        </is>
      </c>
      <c r="F213" s="2" t="n">
        <v>11419</v>
      </c>
      <c r="G213" s="2" t="n">
        <v>10463.1</v>
      </c>
      <c r="H213" s="2" t="n">
        <v>10382.5</v>
      </c>
      <c r="I213" s="2" t="n">
        <v>80.59999999999999</v>
      </c>
      <c r="J213" s="2" t="n">
        <v>10753.3</v>
      </c>
      <c r="K213" s="2" t="n">
        <v>0</v>
      </c>
      <c r="L213" s="2" t="inlineStr">
        <is>
          <t>None</t>
        </is>
      </c>
      <c r="M213" s="2" t="inlineStr">
        <is>
          <t>Released</t>
        </is>
      </c>
      <c r="N213" s="2" t="inlineStr">
        <is>
          <t>None</t>
        </is>
      </c>
      <c r="O213" s="2" t="n">
        <v>0</v>
      </c>
      <c r="P213" s="2" t="n">
        <v>34.3</v>
      </c>
      <c r="Q213" s="2" t="n">
        <v>5418.3</v>
      </c>
      <c r="R213" s="2" t="n">
        <v>7</v>
      </c>
      <c r="S213" s="5">
        <f>G213/F213</f>
        <v/>
      </c>
      <c r="T213" s="5">
        <f>MAX(0,1/K213/8)</f>
        <v/>
      </c>
      <c r="U213" s="5">
        <f>IFERROR(G213/(F213*T213),0)</f>
        <v/>
      </c>
      <c r="V213" s="5">
        <f>IFERROR(H213/G213,0)</f>
        <v/>
      </c>
      <c r="W213" s="5">
        <f>T213*U213*V213</f>
        <v/>
      </c>
      <c r="X213" s="5">
        <f>IFERROR(G213/J213,0)</f>
        <v/>
      </c>
      <c r="Y213" s="5">
        <f>IFERROR(I213/G213,0)</f>
        <v/>
      </c>
      <c r="Z213" s="6">
        <f>IFERROR(G213/P213,0)</f>
        <v/>
      </c>
      <c r="AA213" s="7">
        <f>IFERROR(Q213/G213,0)</f>
        <v/>
      </c>
      <c r="AB213" s="8">
        <f>R213+K213</f>
        <v/>
      </c>
    </row>
    <row r="214">
      <c r="A214" s="2" t="n">
        <v>210</v>
      </c>
      <c r="B214" s="4" t="n">
        <v>46127</v>
      </c>
      <c r="C214" s="2" t="inlineStr">
        <is>
          <t>Solid Dose Line 2</t>
        </is>
      </c>
      <c r="D214" s="2" t="inlineStr">
        <is>
          <t>Product B</t>
        </is>
      </c>
      <c r="E214" s="2" t="inlineStr">
        <is>
          <t>Day</t>
        </is>
      </c>
      <c r="F214" s="2" t="n">
        <v>10149</v>
      </c>
      <c r="G214" s="2" t="n">
        <v>8480</v>
      </c>
      <c r="H214" s="2" t="n">
        <v>8287.299999999999</v>
      </c>
      <c r="I214" s="2" t="n">
        <v>192.6</v>
      </c>
      <c r="J214" s="2" t="n">
        <v>8557.700000000001</v>
      </c>
      <c r="K214" s="2" t="n">
        <v>0.53</v>
      </c>
      <c r="L214" s="2" t="inlineStr">
        <is>
          <t>Documentation</t>
        </is>
      </c>
      <c r="M214" s="2" t="inlineStr">
        <is>
          <t>Released</t>
        </is>
      </c>
      <c r="N214" s="2" t="inlineStr">
        <is>
          <t>None</t>
        </is>
      </c>
      <c r="O214" s="2" t="n">
        <v>0</v>
      </c>
      <c r="P214" s="2" t="n">
        <v>44.5</v>
      </c>
      <c r="Q214" s="2" t="n">
        <v>4134.1</v>
      </c>
      <c r="R214" s="2" t="n">
        <v>7.37</v>
      </c>
      <c r="S214" s="5">
        <f>G214/F214</f>
        <v/>
      </c>
      <c r="T214" s="5">
        <f>MAX(0,1/K214/8)</f>
        <v/>
      </c>
      <c r="U214" s="5">
        <f>IFERROR(G214/(F214*T214),0)</f>
        <v/>
      </c>
      <c r="V214" s="5">
        <f>IFERROR(H214/G214,0)</f>
        <v/>
      </c>
      <c r="W214" s="5">
        <f>T214*U214*V214</f>
        <v/>
      </c>
      <c r="X214" s="5">
        <f>IFERROR(G214/J214,0)</f>
        <v/>
      </c>
      <c r="Y214" s="5">
        <f>IFERROR(I214/G214,0)</f>
        <v/>
      </c>
      <c r="Z214" s="6">
        <f>IFERROR(G214/P214,0)</f>
        <v/>
      </c>
      <c r="AA214" s="7">
        <f>IFERROR(Q214/G214,0)</f>
        <v/>
      </c>
      <c r="AB214" s="8">
        <f>R214+K214</f>
        <v/>
      </c>
    </row>
    <row r="215">
      <c r="A215" s="2" t="n">
        <v>211</v>
      </c>
      <c r="B215" s="4" t="n">
        <v>46128</v>
      </c>
      <c r="C215" s="2" t="inlineStr">
        <is>
          <t>Solid Dose Line 1</t>
        </is>
      </c>
      <c r="D215" s="2" t="inlineStr">
        <is>
          <t>Product A</t>
        </is>
      </c>
      <c r="E215" s="2" t="inlineStr">
        <is>
          <t>Evening</t>
        </is>
      </c>
      <c r="F215" s="2" t="n">
        <v>9776</v>
      </c>
      <c r="G215" s="2" t="n">
        <v>8085.3</v>
      </c>
      <c r="H215" s="2" t="n">
        <v>8077.2</v>
      </c>
      <c r="I215" s="2" t="n">
        <v>8.1</v>
      </c>
      <c r="J215" s="2" t="n">
        <v>8280</v>
      </c>
      <c r="K215" s="2" t="n">
        <v>0.55</v>
      </c>
      <c r="L215" s="2" t="inlineStr">
        <is>
          <t>None</t>
        </is>
      </c>
      <c r="M215" s="2" t="inlineStr">
        <is>
          <t>Released</t>
        </is>
      </c>
      <c r="N215" s="2" t="inlineStr">
        <is>
          <t>None</t>
        </is>
      </c>
      <c r="O215" s="2" t="n">
        <v>0</v>
      </c>
      <c r="P215" s="2" t="n">
        <v>33.8</v>
      </c>
      <c r="Q215" s="2" t="n">
        <v>4361.5</v>
      </c>
      <c r="R215" s="2" t="n">
        <v>7.92</v>
      </c>
      <c r="S215" s="5">
        <f>G215/F215</f>
        <v/>
      </c>
      <c r="T215" s="5">
        <f>MAX(0,1/K215/8)</f>
        <v/>
      </c>
      <c r="U215" s="5">
        <f>IFERROR(G215/(F215*T215),0)</f>
        <v/>
      </c>
      <c r="V215" s="5">
        <f>IFERROR(H215/G215,0)</f>
        <v/>
      </c>
      <c r="W215" s="5">
        <f>T215*U215*V215</f>
        <v/>
      </c>
      <c r="X215" s="5">
        <f>IFERROR(G215/J215,0)</f>
        <v/>
      </c>
      <c r="Y215" s="5">
        <f>IFERROR(I215/G215,0)</f>
        <v/>
      </c>
      <c r="Z215" s="6">
        <f>IFERROR(G215/P215,0)</f>
        <v/>
      </c>
      <c r="AA215" s="7">
        <f>IFERROR(Q215/G215,0)</f>
        <v/>
      </c>
      <c r="AB215" s="8">
        <f>R215+K215</f>
        <v/>
      </c>
    </row>
    <row r="216">
      <c r="A216" s="2" t="n">
        <v>212</v>
      </c>
      <c r="B216" s="4" t="n">
        <v>46128</v>
      </c>
      <c r="C216" s="2" t="inlineStr">
        <is>
          <t>Solid Dose Line 2</t>
        </is>
      </c>
      <c r="D216" s="2" t="inlineStr">
        <is>
          <t>Product A</t>
        </is>
      </c>
      <c r="E216" s="2" t="inlineStr">
        <is>
          <t>Day</t>
        </is>
      </c>
      <c r="F216" s="2" t="n">
        <v>10085</v>
      </c>
      <c r="G216" s="2" t="n">
        <v>6962.7</v>
      </c>
      <c r="H216" s="2" t="n">
        <v>6863.3</v>
      </c>
      <c r="I216" s="2" t="n">
        <v>99.40000000000001</v>
      </c>
      <c r="J216" s="2" t="n">
        <v>7101.3</v>
      </c>
      <c r="K216" s="2" t="n">
        <v>3.81</v>
      </c>
      <c r="L216" s="2" t="inlineStr">
        <is>
          <t>Equipment</t>
        </is>
      </c>
      <c r="M216" s="2" t="inlineStr">
        <is>
          <t>Released</t>
        </is>
      </c>
      <c r="N216" s="2" t="inlineStr">
        <is>
          <t>None</t>
        </is>
      </c>
      <c r="O216" s="2" t="n">
        <v>0</v>
      </c>
      <c r="P216" s="2" t="n">
        <v>37.2</v>
      </c>
      <c r="Q216" s="2" t="n">
        <v>3615.6</v>
      </c>
      <c r="R216" s="2" t="n">
        <v>6.69</v>
      </c>
      <c r="S216" s="5">
        <f>G216/F216</f>
        <v/>
      </c>
      <c r="T216" s="5">
        <f>MAX(0,1/K216/8)</f>
        <v/>
      </c>
      <c r="U216" s="5">
        <f>IFERROR(G216/(F216*T216),0)</f>
        <v/>
      </c>
      <c r="V216" s="5">
        <f>IFERROR(H216/G216,0)</f>
        <v/>
      </c>
      <c r="W216" s="5">
        <f>T216*U216*V216</f>
        <v/>
      </c>
      <c r="X216" s="5">
        <f>IFERROR(G216/J216,0)</f>
        <v/>
      </c>
      <c r="Y216" s="5">
        <f>IFERROR(I216/G216,0)</f>
        <v/>
      </c>
      <c r="Z216" s="6">
        <f>IFERROR(G216/P216,0)</f>
        <v/>
      </c>
      <c r="AA216" s="7">
        <f>IFERROR(Q216/G216,0)</f>
        <v/>
      </c>
      <c r="AB216" s="8">
        <f>R216+K216</f>
        <v/>
      </c>
    </row>
    <row r="217">
      <c r="A217" s="2" t="n">
        <v>213</v>
      </c>
      <c r="B217" s="4" t="n">
        <v>46129</v>
      </c>
      <c r="C217" s="2" t="inlineStr">
        <is>
          <t>Solid Dose Line 1</t>
        </is>
      </c>
      <c r="D217" s="2" t="inlineStr">
        <is>
          <t>Product B</t>
        </is>
      </c>
      <c r="E217" s="2" t="inlineStr">
        <is>
          <t>Day</t>
        </is>
      </c>
      <c r="F217" s="2" t="n">
        <v>11040</v>
      </c>
      <c r="G217" s="2" t="n">
        <v>8943.700000000001</v>
      </c>
      <c r="H217" s="2" t="n">
        <v>8884.9</v>
      </c>
      <c r="I217" s="2" t="n">
        <v>58.8</v>
      </c>
      <c r="J217" s="2" t="n">
        <v>8999.1</v>
      </c>
      <c r="K217" s="2" t="n">
        <v>1.54</v>
      </c>
      <c r="L217" s="2" t="inlineStr">
        <is>
          <t>None</t>
        </is>
      </c>
      <c r="M217" s="2" t="inlineStr">
        <is>
          <t>Released</t>
        </is>
      </c>
      <c r="N217" s="2" t="inlineStr">
        <is>
          <t>None</t>
        </is>
      </c>
      <c r="O217" s="2" t="n">
        <v>0</v>
      </c>
      <c r="P217" s="2" t="n">
        <v>46.5</v>
      </c>
      <c r="Q217" s="2" t="n">
        <v>4459.5</v>
      </c>
      <c r="R217" s="2" t="n">
        <v>7.95</v>
      </c>
      <c r="S217" s="5">
        <f>G217/F217</f>
        <v/>
      </c>
      <c r="T217" s="5">
        <f>MAX(0,1/K217/8)</f>
        <v/>
      </c>
      <c r="U217" s="5">
        <f>IFERROR(G217/(F217*T217),0)</f>
        <v/>
      </c>
      <c r="V217" s="5">
        <f>IFERROR(H217/G217,0)</f>
        <v/>
      </c>
      <c r="W217" s="5">
        <f>T217*U217*V217</f>
        <v/>
      </c>
      <c r="X217" s="5">
        <f>IFERROR(G217/J217,0)</f>
        <v/>
      </c>
      <c r="Y217" s="5">
        <f>IFERROR(I217/G217,0)</f>
        <v/>
      </c>
      <c r="Z217" s="6">
        <f>IFERROR(G217/P217,0)</f>
        <v/>
      </c>
      <c r="AA217" s="7">
        <f>IFERROR(Q217/G217,0)</f>
        <v/>
      </c>
      <c r="AB217" s="8">
        <f>R217+K217</f>
        <v/>
      </c>
    </row>
    <row r="218">
      <c r="A218" s="2" t="n">
        <v>214</v>
      </c>
      <c r="B218" s="4" t="n">
        <v>46129</v>
      </c>
      <c r="C218" s="2" t="inlineStr">
        <is>
          <t>Solid Dose Line 2</t>
        </is>
      </c>
      <c r="D218" s="2" t="inlineStr">
        <is>
          <t>Product A</t>
        </is>
      </c>
      <c r="E218" s="2" t="inlineStr">
        <is>
          <t>Day</t>
        </is>
      </c>
      <c r="F218" s="2" t="n">
        <v>10629</v>
      </c>
      <c r="G218" s="2" t="n">
        <v>7550.3</v>
      </c>
      <c r="H218" s="2" t="n">
        <v>7437.3</v>
      </c>
      <c r="I218" s="2" t="n">
        <v>112.9</v>
      </c>
      <c r="J218" s="2" t="n">
        <v>7547.5</v>
      </c>
      <c r="K218" s="2" t="n">
        <v>1.71</v>
      </c>
      <c r="L218" s="2" t="inlineStr">
        <is>
          <t>None</t>
        </is>
      </c>
      <c r="M218" s="2" t="inlineStr">
        <is>
          <t>Released</t>
        </is>
      </c>
      <c r="N218" s="2" t="inlineStr">
        <is>
          <t>None</t>
        </is>
      </c>
      <c r="O218" s="2" t="n">
        <v>0</v>
      </c>
      <c r="P218" s="2" t="n">
        <v>50.3</v>
      </c>
      <c r="Q218" s="2" t="n">
        <v>4186.5</v>
      </c>
      <c r="R218" s="2" t="n">
        <v>7.56</v>
      </c>
      <c r="S218" s="5">
        <f>G218/F218</f>
        <v/>
      </c>
      <c r="T218" s="5">
        <f>MAX(0,1/K218/8)</f>
        <v/>
      </c>
      <c r="U218" s="5">
        <f>IFERROR(G218/(F218*T218),0)</f>
        <v/>
      </c>
      <c r="V218" s="5">
        <f>IFERROR(H218/G218,0)</f>
        <v/>
      </c>
      <c r="W218" s="5">
        <f>T218*U218*V218</f>
        <v/>
      </c>
      <c r="X218" s="5">
        <f>IFERROR(G218/J218,0)</f>
        <v/>
      </c>
      <c r="Y218" s="5">
        <f>IFERROR(I218/G218,0)</f>
        <v/>
      </c>
      <c r="Z218" s="6">
        <f>IFERROR(G218/P218,0)</f>
        <v/>
      </c>
      <c r="AA218" s="7">
        <f>IFERROR(Q218/G218,0)</f>
        <v/>
      </c>
      <c r="AB218" s="8">
        <f>R218+K218</f>
        <v/>
      </c>
    </row>
    <row r="219">
      <c r="A219" s="2" t="n">
        <v>215</v>
      </c>
      <c r="B219" s="4" t="n">
        <v>46130</v>
      </c>
      <c r="C219" s="2" t="inlineStr">
        <is>
          <t>Solid Dose Line 1</t>
        </is>
      </c>
      <c r="D219" s="2" t="inlineStr">
        <is>
          <t>Product B</t>
        </is>
      </c>
      <c r="E219" s="2" t="inlineStr">
        <is>
          <t>Day</t>
        </is>
      </c>
      <c r="F219" s="2" t="n">
        <v>11884</v>
      </c>
      <c r="G219" s="2" t="n">
        <v>10925.6</v>
      </c>
      <c r="H219" s="2" t="n">
        <v>10808.5</v>
      </c>
      <c r="I219" s="2" t="n">
        <v>117.1</v>
      </c>
      <c r="J219" s="2" t="n">
        <v>11094.7</v>
      </c>
      <c r="K219" s="2" t="n">
        <v>0.11</v>
      </c>
      <c r="L219" s="2" t="inlineStr">
        <is>
          <t>None</t>
        </is>
      </c>
      <c r="M219" s="2" t="inlineStr">
        <is>
          <t>Released</t>
        </is>
      </c>
      <c r="N219" s="2" t="inlineStr">
        <is>
          <t>None</t>
        </is>
      </c>
      <c r="O219" s="2" t="n">
        <v>0</v>
      </c>
      <c r="P219" s="2" t="n">
        <v>35.9</v>
      </c>
      <c r="Q219" s="2" t="n">
        <v>6102.3</v>
      </c>
      <c r="R219" s="2" t="n">
        <v>7.06</v>
      </c>
      <c r="S219" s="5">
        <f>G219/F219</f>
        <v/>
      </c>
      <c r="T219" s="5">
        <f>MAX(0,1/K219/8)</f>
        <v/>
      </c>
      <c r="U219" s="5">
        <f>IFERROR(G219/(F219*T219),0)</f>
        <v/>
      </c>
      <c r="V219" s="5">
        <f>IFERROR(H219/G219,0)</f>
        <v/>
      </c>
      <c r="W219" s="5">
        <f>T219*U219*V219</f>
        <v/>
      </c>
      <c r="X219" s="5">
        <f>IFERROR(G219/J219,0)</f>
        <v/>
      </c>
      <c r="Y219" s="5">
        <f>IFERROR(I219/G219,0)</f>
        <v/>
      </c>
      <c r="Z219" s="6">
        <f>IFERROR(G219/P219,0)</f>
        <v/>
      </c>
      <c r="AA219" s="7">
        <f>IFERROR(Q219/G219,0)</f>
        <v/>
      </c>
      <c r="AB219" s="8">
        <f>R219+K219</f>
        <v/>
      </c>
    </row>
    <row r="220">
      <c r="A220" s="2" t="n">
        <v>216</v>
      </c>
      <c r="B220" s="4" t="n">
        <v>46130</v>
      </c>
      <c r="C220" s="2" t="inlineStr">
        <is>
          <t>Solid Dose Line 2</t>
        </is>
      </c>
      <c r="D220" s="2" t="inlineStr">
        <is>
          <t>Product C</t>
        </is>
      </c>
      <c r="E220" s="2" t="inlineStr">
        <is>
          <t>Night</t>
        </is>
      </c>
      <c r="F220" s="2" t="n">
        <v>9190</v>
      </c>
      <c r="G220" s="2" t="n">
        <v>6938.6</v>
      </c>
      <c r="H220" s="2" t="n">
        <v>6363.7</v>
      </c>
      <c r="I220" s="2" t="n">
        <v>574.9</v>
      </c>
      <c r="J220" s="2" t="n">
        <v>7165</v>
      </c>
      <c r="K220" s="2" t="n">
        <v>1.07</v>
      </c>
      <c r="L220" s="2" t="inlineStr">
        <is>
          <t>None</t>
        </is>
      </c>
      <c r="M220" s="2" t="inlineStr">
        <is>
          <t>Rejected</t>
        </is>
      </c>
      <c r="N220" s="2" t="inlineStr">
        <is>
          <t>Corrective</t>
        </is>
      </c>
      <c r="O220" s="2" t="n">
        <v>420.19</v>
      </c>
      <c r="P220" s="2" t="n">
        <v>37</v>
      </c>
      <c r="Q220" s="2" t="n">
        <v>3259</v>
      </c>
      <c r="R220" s="2" t="n">
        <v>7.18</v>
      </c>
      <c r="S220" s="5">
        <f>G220/F220</f>
        <v/>
      </c>
      <c r="T220" s="5">
        <f>MAX(0,1/K220/8)</f>
        <v/>
      </c>
      <c r="U220" s="5">
        <f>IFERROR(G220/(F220*T220),0)</f>
        <v/>
      </c>
      <c r="V220" s="5">
        <f>IFERROR(H220/G220,0)</f>
        <v/>
      </c>
      <c r="W220" s="5">
        <f>T220*U220*V220</f>
        <v/>
      </c>
      <c r="X220" s="5">
        <f>IFERROR(G220/J220,0)</f>
        <v/>
      </c>
      <c r="Y220" s="5">
        <f>IFERROR(I220/G220,0)</f>
        <v/>
      </c>
      <c r="Z220" s="6">
        <f>IFERROR(G220/P220,0)</f>
        <v/>
      </c>
      <c r="AA220" s="7">
        <f>IFERROR(Q220/G220,0)</f>
        <v/>
      </c>
      <c r="AB220" s="8">
        <f>R220+K220</f>
        <v/>
      </c>
    </row>
    <row r="221">
      <c r="A221" s="2" t="n">
        <v>217</v>
      </c>
      <c r="B221" s="4" t="n">
        <v>46131</v>
      </c>
      <c r="C221" s="2" t="inlineStr">
        <is>
          <t>Solid Dose Line 1</t>
        </is>
      </c>
      <c r="D221" s="2" t="inlineStr">
        <is>
          <t>Product A</t>
        </is>
      </c>
      <c r="E221" s="2" t="inlineStr">
        <is>
          <t>Evening</t>
        </is>
      </c>
      <c r="F221" s="2" t="n">
        <v>11158</v>
      </c>
      <c r="G221" s="2" t="n">
        <v>8434.9</v>
      </c>
      <c r="H221" s="2" t="n">
        <v>8297.299999999999</v>
      </c>
      <c r="I221" s="2" t="n">
        <v>137.6</v>
      </c>
      <c r="J221" s="2" t="n">
        <v>8520.299999999999</v>
      </c>
      <c r="K221" s="2" t="n">
        <v>1.46</v>
      </c>
      <c r="L221" s="2" t="inlineStr">
        <is>
          <t>None</t>
        </is>
      </c>
      <c r="M221" s="2" t="inlineStr">
        <is>
          <t>Released</t>
        </is>
      </c>
      <c r="N221" s="2" t="inlineStr">
        <is>
          <t>None</t>
        </is>
      </c>
      <c r="O221" s="2" t="n">
        <v>0</v>
      </c>
      <c r="P221" s="2" t="n">
        <v>40.1</v>
      </c>
      <c r="Q221" s="2" t="n">
        <v>4416.9</v>
      </c>
      <c r="R221" s="2" t="n">
        <v>7.42</v>
      </c>
      <c r="S221" s="5">
        <f>G221/F221</f>
        <v/>
      </c>
      <c r="T221" s="5">
        <f>MAX(0,1/K221/8)</f>
        <v/>
      </c>
      <c r="U221" s="5">
        <f>IFERROR(G221/(F221*T221),0)</f>
        <v/>
      </c>
      <c r="V221" s="5">
        <f>IFERROR(H221/G221,0)</f>
        <v/>
      </c>
      <c r="W221" s="5">
        <f>T221*U221*V221</f>
        <v/>
      </c>
      <c r="X221" s="5">
        <f>IFERROR(G221/J221,0)</f>
        <v/>
      </c>
      <c r="Y221" s="5">
        <f>IFERROR(I221/G221,0)</f>
        <v/>
      </c>
      <c r="Z221" s="6">
        <f>IFERROR(G221/P221,0)</f>
        <v/>
      </c>
      <c r="AA221" s="7">
        <f>IFERROR(Q221/G221,0)</f>
        <v/>
      </c>
      <c r="AB221" s="8">
        <f>R221+K221</f>
        <v/>
      </c>
    </row>
    <row r="222">
      <c r="A222" s="2" t="n">
        <v>218</v>
      </c>
      <c r="B222" s="4" t="n">
        <v>46131</v>
      </c>
      <c r="C222" s="2" t="inlineStr">
        <is>
          <t>Solid Dose Line 2</t>
        </is>
      </c>
      <c r="D222" s="2" t="inlineStr">
        <is>
          <t>Product A</t>
        </is>
      </c>
      <c r="E222" s="2" t="inlineStr">
        <is>
          <t>Evening</t>
        </is>
      </c>
      <c r="F222" s="2" t="n">
        <v>10878</v>
      </c>
      <c r="G222" s="2" t="n">
        <v>9096.6</v>
      </c>
      <c r="H222" s="2" t="n">
        <v>8925.4</v>
      </c>
      <c r="I222" s="2" t="n">
        <v>171.2</v>
      </c>
      <c r="J222" s="2" t="n">
        <v>9394.799999999999</v>
      </c>
      <c r="K222" s="2" t="n">
        <v>0.8100000000000001</v>
      </c>
      <c r="L222" s="2" t="inlineStr">
        <is>
          <t>None</t>
        </is>
      </c>
      <c r="M222" s="2" t="inlineStr">
        <is>
          <t>Released</t>
        </is>
      </c>
      <c r="N222" s="2" t="inlineStr">
        <is>
          <t>None</t>
        </is>
      </c>
      <c r="O222" s="2" t="n">
        <v>0</v>
      </c>
      <c r="P222" s="2" t="n">
        <v>41.8</v>
      </c>
      <c r="Q222" s="2" t="n">
        <v>4856.4</v>
      </c>
      <c r="R222" s="2" t="n">
        <v>7.68</v>
      </c>
      <c r="S222" s="5">
        <f>G222/F222</f>
        <v/>
      </c>
      <c r="T222" s="5">
        <f>MAX(0,1/K222/8)</f>
        <v/>
      </c>
      <c r="U222" s="5">
        <f>IFERROR(G222/(F222*T222),0)</f>
        <v/>
      </c>
      <c r="V222" s="5">
        <f>IFERROR(H222/G222,0)</f>
        <v/>
      </c>
      <c r="W222" s="5">
        <f>T222*U222*V222</f>
        <v/>
      </c>
      <c r="X222" s="5">
        <f>IFERROR(G222/J222,0)</f>
        <v/>
      </c>
      <c r="Y222" s="5">
        <f>IFERROR(I222/G222,0)</f>
        <v/>
      </c>
      <c r="Z222" s="6">
        <f>IFERROR(G222/P222,0)</f>
        <v/>
      </c>
      <c r="AA222" s="7">
        <f>IFERROR(Q222/G222,0)</f>
        <v/>
      </c>
      <c r="AB222" s="8">
        <f>R222+K222</f>
        <v/>
      </c>
    </row>
    <row r="223">
      <c r="A223" s="2" t="n">
        <v>219</v>
      </c>
      <c r="B223" s="4" t="n">
        <v>46132</v>
      </c>
      <c r="C223" s="2" t="inlineStr">
        <is>
          <t>Solid Dose Line 1</t>
        </is>
      </c>
      <c r="D223" s="2" t="inlineStr">
        <is>
          <t>Product B</t>
        </is>
      </c>
      <c r="E223" s="2" t="inlineStr">
        <is>
          <t>Day</t>
        </is>
      </c>
      <c r="F223" s="2" t="n">
        <v>11017</v>
      </c>
      <c r="G223" s="2" t="n">
        <v>8870.4</v>
      </c>
      <c r="H223" s="2" t="n">
        <v>8846.6</v>
      </c>
      <c r="I223" s="2" t="n">
        <v>23.8</v>
      </c>
      <c r="J223" s="2" t="n">
        <v>9042.700000000001</v>
      </c>
      <c r="K223" s="2" t="n">
        <v>1.11</v>
      </c>
      <c r="L223" s="2" t="inlineStr">
        <is>
          <t>Equipment</t>
        </is>
      </c>
      <c r="M223" s="2" t="inlineStr">
        <is>
          <t>Released</t>
        </is>
      </c>
      <c r="N223" s="2" t="inlineStr">
        <is>
          <t>None</t>
        </is>
      </c>
      <c r="O223" s="2" t="n">
        <v>0</v>
      </c>
      <c r="P223" s="2" t="n">
        <v>41.7</v>
      </c>
      <c r="Q223" s="2" t="n">
        <v>4535.3</v>
      </c>
      <c r="R223" s="2" t="n">
        <v>6.9</v>
      </c>
      <c r="S223" s="5">
        <f>G223/F223</f>
        <v/>
      </c>
      <c r="T223" s="5">
        <f>MAX(0,1/K223/8)</f>
        <v/>
      </c>
      <c r="U223" s="5">
        <f>IFERROR(G223/(F223*T223),0)</f>
        <v/>
      </c>
      <c r="V223" s="5">
        <f>IFERROR(H223/G223,0)</f>
        <v/>
      </c>
      <c r="W223" s="5">
        <f>T223*U223*V223</f>
        <v/>
      </c>
      <c r="X223" s="5">
        <f>IFERROR(G223/J223,0)</f>
        <v/>
      </c>
      <c r="Y223" s="5">
        <f>IFERROR(I223/G223,0)</f>
        <v/>
      </c>
      <c r="Z223" s="6">
        <f>IFERROR(G223/P223,0)</f>
        <v/>
      </c>
      <c r="AA223" s="7">
        <f>IFERROR(Q223/G223,0)</f>
        <v/>
      </c>
      <c r="AB223" s="8">
        <f>R223+K223</f>
        <v/>
      </c>
    </row>
    <row r="224">
      <c r="A224" s="2" t="n">
        <v>220</v>
      </c>
      <c r="B224" s="4" t="n">
        <v>46132</v>
      </c>
      <c r="C224" s="2" t="inlineStr">
        <is>
          <t>Solid Dose Line 2</t>
        </is>
      </c>
      <c r="D224" s="2" t="inlineStr">
        <is>
          <t>Product A</t>
        </is>
      </c>
      <c r="E224" s="2" t="inlineStr">
        <is>
          <t>Night</t>
        </is>
      </c>
      <c r="F224" s="2" t="n">
        <v>11414</v>
      </c>
      <c r="G224" s="2" t="n">
        <v>7017.3</v>
      </c>
      <c r="H224" s="2" t="n">
        <v>6905.3</v>
      </c>
      <c r="I224" s="2" t="n">
        <v>111.9</v>
      </c>
      <c r="J224" s="2" t="n">
        <v>7120.2</v>
      </c>
      <c r="K224" s="2" t="n">
        <v>2.46</v>
      </c>
      <c r="L224" s="2" t="inlineStr">
        <is>
          <t>None</t>
        </is>
      </c>
      <c r="M224" s="2" t="inlineStr">
        <is>
          <t>Released</t>
        </is>
      </c>
      <c r="N224" s="2" t="inlineStr">
        <is>
          <t>Preventive</t>
        </is>
      </c>
      <c r="O224" s="2" t="n">
        <v>192.77</v>
      </c>
      <c r="P224" s="2" t="n">
        <v>45.9</v>
      </c>
      <c r="Q224" s="2" t="n">
        <v>3845.6</v>
      </c>
      <c r="R224" s="2" t="n">
        <v>7.39</v>
      </c>
      <c r="S224" s="5">
        <f>G224/F224</f>
        <v/>
      </c>
      <c r="T224" s="5">
        <f>MAX(0,1/K224/8)</f>
        <v/>
      </c>
      <c r="U224" s="5">
        <f>IFERROR(G224/(F224*T224),0)</f>
        <v/>
      </c>
      <c r="V224" s="5">
        <f>IFERROR(H224/G224,0)</f>
        <v/>
      </c>
      <c r="W224" s="5">
        <f>T224*U224*V224</f>
        <v/>
      </c>
      <c r="X224" s="5">
        <f>IFERROR(G224/J224,0)</f>
        <v/>
      </c>
      <c r="Y224" s="5">
        <f>IFERROR(I224/G224,0)</f>
        <v/>
      </c>
      <c r="Z224" s="6">
        <f>IFERROR(G224/P224,0)</f>
        <v/>
      </c>
      <c r="AA224" s="7">
        <f>IFERROR(Q224/G224,0)</f>
        <v/>
      </c>
      <c r="AB224" s="8">
        <f>R224+K224</f>
        <v/>
      </c>
    </row>
    <row r="225">
      <c r="A225" s="2" t="n">
        <v>221</v>
      </c>
      <c r="B225" s="4" t="n">
        <v>46133</v>
      </c>
      <c r="C225" s="2" t="inlineStr">
        <is>
          <t>Solid Dose Line 1</t>
        </is>
      </c>
      <c r="D225" s="2" t="inlineStr">
        <is>
          <t>Product A</t>
        </is>
      </c>
      <c r="E225" s="2" t="inlineStr">
        <is>
          <t>Day</t>
        </is>
      </c>
      <c r="F225" s="2" t="n">
        <v>10969</v>
      </c>
      <c r="G225" s="2" t="n">
        <v>7324</v>
      </c>
      <c r="H225" s="2" t="n">
        <v>7200.4</v>
      </c>
      <c r="I225" s="2" t="n">
        <v>123.6</v>
      </c>
      <c r="J225" s="2" t="n">
        <v>7442.9</v>
      </c>
      <c r="K225" s="2" t="n">
        <v>2.3</v>
      </c>
      <c r="L225" s="2" t="inlineStr">
        <is>
          <t>None</t>
        </is>
      </c>
      <c r="M225" s="2" t="inlineStr">
        <is>
          <t>Released</t>
        </is>
      </c>
      <c r="N225" s="2" t="inlineStr">
        <is>
          <t>None</t>
        </is>
      </c>
      <c r="O225" s="2" t="n">
        <v>0</v>
      </c>
      <c r="P225" s="2" t="n">
        <v>42.5</v>
      </c>
      <c r="Q225" s="2" t="n">
        <v>4460</v>
      </c>
      <c r="R225" s="2" t="n">
        <v>7.23</v>
      </c>
      <c r="S225" s="5">
        <f>G225/F225</f>
        <v/>
      </c>
      <c r="T225" s="5">
        <f>MAX(0,1/K225/8)</f>
        <v/>
      </c>
      <c r="U225" s="5">
        <f>IFERROR(G225/(F225*T225),0)</f>
        <v/>
      </c>
      <c r="V225" s="5">
        <f>IFERROR(H225/G225,0)</f>
        <v/>
      </c>
      <c r="W225" s="5">
        <f>T225*U225*V225</f>
        <v/>
      </c>
      <c r="X225" s="5">
        <f>IFERROR(G225/J225,0)</f>
        <v/>
      </c>
      <c r="Y225" s="5">
        <f>IFERROR(I225/G225,0)</f>
        <v/>
      </c>
      <c r="Z225" s="6">
        <f>IFERROR(G225/P225,0)</f>
        <v/>
      </c>
      <c r="AA225" s="7">
        <f>IFERROR(Q225/G225,0)</f>
        <v/>
      </c>
      <c r="AB225" s="8">
        <f>R225+K225</f>
        <v/>
      </c>
    </row>
    <row r="226">
      <c r="A226" s="2" t="n">
        <v>222</v>
      </c>
      <c r="B226" s="4" t="n">
        <v>46133</v>
      </c>
      <c r="C226" s="2" t="inlineStr">
        <is>
          <t>Solid Dose Line 2</t>
        </is>
      </c>
      <c r="D226" s="2" t="inlineStr">
        <is>
          <t>Product B</t>
        </is>
      </c>
      <c r="E226" s="2" t="inlineStr">
        <is>
          <t>Evening</t>
        </is>
      </c>
      <c r="F226" s="2" t="n">
        <v>11967</v>
      </c>
      <c r="G226" s="2" t="n">
        <v>10748</v>
      </c>
      <c r="H226" s="2" t="n">
        <v>10558</v>
      </c>
      <c r="I226" s="2" t="n">
        <v>190</v>
      </c>
      <c r="J226" s="2" t="n">
        <v>10982.1</v>
      </c>
      <c r="K226" s="2" t="n">
        <v>0.54</v>
      </c>
      <c r="L226" s="2" t="inlineStr">
        <is>
          <t>Documentation</t>
        </is>
      </c>
      <c r="M226" s="2" t="inlineStr">
        <is>
          <t>Released</t>
        </is>
      </c>
      <c r="N226" s="2" t="inlineStr">
        <is>
          <t>None</t>
        </is>
      </c>
      <c r="O226" s="2" t="n">
        <v>0</v>
      </c>
      <c r="P226" s="2" t="n">
        <v>43.5</v>
      </c>
      <c r="Q226" s="2" t="n">
        <v>5856.2</v>
      </c>
      <c r="R226" s="2" t="n">
        <v>7.21</v>
      </c>
      <c r="S226" s="5">
        <f>G226/F226</f>
        <v/>
      </c>
      <c r="T226" s="5">
        <f>MAX(0,1/K226/8)</f>
        <v/>
      </c>
      <c r="U226" s="5">
        <f>IFERROR(G226/(F226*T226),0)</f>
        <v/>
      </c>
      <c r="V226" s="5">
        <f>IFERROR(H226/G226,0)</f>
        <v/>
      </c>
      <c r="W226" s="5">
        <f>T226*U226*V226</f>
        <v/>
      </c>
      <c r="X226" s="5">
        <f>IFERROR(G226/J226,0)</f>
        <v/>
      </c>
      <c r="Y226" s="5">
        <f>IFERROR(I226/G226,0)</f>
        <v/>
      </c>
      <c r="Z226" s="6">
        <f>IFERROR(G226/P226,0)</f>
        <v/>
      </c>
      <c r="AA226" s="7">
        <f>IFERROR(Q226/G226,0)</f>
        <v/>
      </c>
      <c r="AB226" s="8">
        <f>R226+K226</f>
        <v/>
      </c>
    </row>
    <row r="227">
      <c r="A227" s="2" t="n">
        <v>223</v>
      </c>
      <c r="B227" s="4" t="n">
        <v>46134</v>
      </c>
      <c r="C227" s="2" t="inlineStr">
        <is>
          <t>Solid Dose Line 1</t>
        </is>
      </c>
      <c r="D227" s="2" t="inlineStr">
        <is>
          <t>Product B</t>
        </is>
      </c>
      <c r="E227" s="2" t="inlineStr">
        <is>
          <t>Night</t>
        </is>
      </c>
      <c r="F227" s="2" t="n">
        <v>10879</v>
      </c>
      <c r="G227" s="2" t="n">
        <v>7371.6</v>
      </c>
      <c r="H227" s="2" t="n">
        <v>7325.9</v>
      </c>
      <c r="I227" s="2" t="n">
        <v>45.7</v>
      </c>
      <c r="J227" s="2" t="n">
        <v>7454.5</v>
      </c>
      <c r="K227" s="2" t="n">
        <v>2.27</v>
      </c>
      <c r="L227" s="2" t="inlineStr">
        <is>
          <t>None</t>
        </is>
      </c>
      <c r="M227" s="2" t="inlineStr">
        <is>
          <t>Released</t>
        </is>
      </c>
      <c r="N227" s="2" t="inlineStr">
        <is>
          <t>None</t>
        </is>
      </c>
      <c r="O227" s="2" t="n">
        <v>0</v>
      </c>
      <c r="P227" s="2" t="n">
        <v>36.1</v>
      </c>
      <c r="Q227" s="2" t="n">
        <v>3599</v>
      </c>
      <c r="R227" s="2" t="n">
        <v>6.99</v>
      </c>
      <c r="S227" s="5">
        <f>G227/F227</f>
        <v/>
      </c>
      <c r="T227" s="5">
        <f>MAX(0,1/K227/8)</f>
        <v/>
      </c>
      <c r="U227" s="5">
        <f>IFERROR(G227/(F227*T227),0)</f>
        <v/>
      </c>
      <c r="V227" s="5">
        <f>IFERROR(H227/G227,0)</f>
        <v/>
      </c>
      <c r="W227" s="5">
        <f>T227*U227*V227</f>
        <v/>
      </c>
      <c r="X227" s="5">
        <f>IFERROR(G227/J227,0)</f>
        <v/>
      </c>
      <c r="Y227" s="5">
        <f>IFERROR(I227/G227,0)</f>
        <v/>
      </c>
      <c r="Z227" s="6">
        <f>IFERROR(G227/P227,0)</f>
        <v/>
      </c>
      <c r="AA227" s="7">
        <f>IFERROR(Q227/G227,0)</f>
        <v/>
      </c>
      <c r="AB227" s="8">
        <f>R227+K227</f>
        <v/>
      </c>
    </row>
    <row r="228">
      <c r="A228" s="2" t="n">
        <v>224</v>
      </c>
      <c r="B228" s="4" t="n">
        <v>46134</v>
      </c>
      <c r="C228" s="2" t="inlineStr">
        <is>
          <t>Solid Dose Line 2</t>
        </is>
      </c>
      <c r="D228" s="2" t="inlineStr">
        <is>
          <t>Product A</t>
        </is>
      </c>
      <c r="E228" s="2" t="inlineStr">
        <is>
          <t>Evening</t>
        </is>
      </c>
      <c r="F228" s="2" t="n">
        <v>9388</v>
      </c>
      <c r="G228" s="2" t="n">
        <v>6284.1</v>
      </c>
      <c r="H228" s="2" t="n">
        <v>6223.6</v>
      </c>
      <c r="I228" s="2" t="n">
        <v>60.5</v>
      </c>
      <c r="J228" s="2" t="n">
        <v>6388.9</v>
      </c>
      <c r="K228" s="2" t="n">
        <v>2.2</v>
      </c>
      <c r="L228" s="2" t="inlineStr">
        <is>
          <t>None</t>
        </is>
      </c>
      <c r="M228" s="2" t="inlineStr">
        <is>
          <t>Under Review</t>
        </is>
      </c>
      <c r="N228" s="2" t="inlineStr">
        <is>
          <t>None</t>
        </is>
      </c>
      <c r="O228" s="2" t="n">
        <v>0</v>
      </c>
      <c r="P228" s="2" t="n">
        <v>50.4</v>
      </c>
      <c r="Q228" s="2" t="n">
        <v>2888.9</v>
      </c>
      <c r="R228" s="2" t="n">
        <v>7.24</v>
      </c>
      <c r="S228" s="5">
        <f>G228/F228</f>
        <v/>
      </c>
      <c r="T228" s="5">
        <f>MAX(0,1/K228/8)</f>
        <v/>
      </c>
      <c r="U228" s="5">
        <f>IFERROR(G228/(F228*T228),0)</f>
        <v/>
      </c>
      <c r="V228" s="5">
        <f>IFERROR(H228/G228,0)</f>
        <v/>
      </c>
      <c r="W228" s="5">
        <f>T228*U228*V228</f>
        <v/>
      </c>
      <c r="X228" s="5">
        <f>IFERROR(G228/J228,0)</f>
        <v/>
      </c>
      <c r="Y228" s="5">
        <f>IFERROR(I228/G228,0)</f>
        <v/>
      </c>
      <c r="Z228" s="6">
        <f>IFERROR(G228/P228,0)</f>
        <v/>
      </c>
      <c r="AA228" s="7">
        <f>IFERROR(Q228/G228,0)</f>
        <v/>
      </c>
      <c r="AB228" s="8">
        <f>R228+K228</f>
        <v/>
      </c>
    </row>
    <row r="229">
      <c r="A229" s="2" t="n">
        <v>225</v>
      </c>
      <c r="B229" s="4" t="n">
        <v>46135</v>
      </c>
      <c r="C229" s="2" t="inlineStr">
        <is>
          <t>Solid Dose Line 1</t>
        </is>
      </c>
      <c r="D229" s="2" t="inlineStr">
        <is>
          <t>Product B</t>
        </is>
      </c>
      <c r="E229" s="2" t="inlineStr">
        <is>
          <t>Evening</t>
        </is>
      </c>
      <c r="F229" s="2" t="n">
        <v>10466</v>
      </c>
      <c r="G229" s="2" t="n">
        <v>7684.1</v>
      </c>
      <c r="H229" s="2" t="n">
        <v>7632.7</v>
      </c>
      <c r="I229" s="2" t="n">
        <v>51.5</v>
      </c>
      <c r="J229" s="2" t="n">
        <v>7890.3</v>
      </c>
      <c r="K229" s="2" t="n">
        <v>1.56</v>
      </c>
      <c r="L229" s="2" t="inlineStr">
        <is>
          <t>Equipment</t>
        </is>
      </c>
      <c r="M229" s="2" t="inlineStr">
        <is>
          <t>Released</t>
        </is>
      </c>
      <c r="N229" s="2" t="inlineStr">
        <is>
          <t>Corrective</t>
        </is>
      </c>
      <c r="O229" s="2" t="n">
        <v>478.77</v>
      </c>
      <c r="P229" s="2" t="n">
        <v>48.9</v>
      </c>
      <c r="Q229" s="2" t="n">
        <v>4261.8</v>
      </c>
      <c r="R229" s="2" t="n">
        <v>7.5</v>
      </c>
      <c r="S229" s="5">
        <f>G229/F229</f>
        <v/>
      </c>
      <c r="T229" s="5">
        <f>MAX(0,1/K229/8)</f>
        <v/>
      </c>
      <c r="U229" s="5">
        <f>IFERROR(G229/(F229*T229),0)</f>
        <v/>
      </c>
      <c r="V229" s="5">
        <f>IFERROR(H229/G229,0)</f>
        <v/>
      </c>
      <c r="W229" s="5">
        <f>T229*U229*V229</f>
        <v/>
      </c>
      <c r="X229" s="5">
        <f>IFERROR(G229/J229,0)</f>
        <v/>
      </c>
      <c r="Y229" s="5">
        <f>IFERROR(I229/G229,0)</f>
        <v/>
      </c>
      <c r="Z229" s="6">
        <f>IFERROR(G229/P229,0)</f>
        <v/>
      </c>
      <c r="AA229" s="7">
        <f>IFERROR(Q229/G229,0)</f>
        <v/>
      </c>
      <c r="AB229" s="8">
        <f>R229+K229</f>
        <v/>
      </c>
    </row>
    <row r="230">
      <c r="A230" s="2" t="n">
        <v>226</v>
      </c>
      <c r="B230" s="4" t="n">
        <v>46135</v>
      </c>
      <c r="C230" s="2" t="inlineStr">
        <is>
          <t>Solid Dose Line 2</t>
        </is>
      </c>
      <c r="D230" s="2" t="inlineStr">
        <is>
          <t>Product B</t>
        </is>
      </c>
      <c r="E230" s="2" t="inlineStr">
        <is>
          <t>Day</t>
        </is>
      </c>
      <c r="F230" s="2" t="n">
        <v>9112</v>
      </c>
      <c r="G230" s="2" t="n">
        <v>7893.6</v>
      </c>
      <c r="H230" s="2" t="n">
        <v>7800.8</v>
      </c>
      <c r="I230" s="2" t="n">
        <v>92.8</v>
      </c>
      <c r="J230" s="2" t="n">
        <v>7987.6</v>
      </c>
      <c r="K230" s="2" t="n">
        <v>0.61</v>
      </c>
      <c r="L230" s="2" t="inlineStr">
        <is>
          <t>None</t>
        </is>
      </c>
      <c r="M230" s="2" t="inlineStr">
        <is>
          <t>Under Review</t>
        </is>
      </c>
      <c r="N230" s="2" t="inlineStr">
        <is>
          <t>None</t>
        </is>
      </c>
      <c r="O230" s="2" t="n">
        <v>0</v>
      </c>
      <c r="P230" s="2" t="n">
        <v>35</v>
      </c>
      <c r="Q230" s="2" t="n">
        <v>3943.8</v>
      </c>
      <c r="R230" s="2" t="n">
        <v>6.81</v>
      </c>
      <c r="S230" s="5">
        <f>G230/F230</f>
        <v/>
      </c>
      <c r="T230" s="5">
        <f>MAX(0,1/K230/8)</f>
        <v/>
      </c>
      <c r="U230" s="5">
        <f>IFERROR(G230/(F230*T230),0)</f>
        <v/>
      </c>
      <c r="V230" s="5">
        <f>IFERROR(H230/G230,0)</f>
        <v/>
      </c>
      <c r="W230" s="5">
        <f>T230*U230*V230</f>
        <v/>
      </c>
      <c r="X230" s="5">
        <f>IFERROR(G230/J230,0)</f>
        <v/>
      </c>
      <c r="Y230" s="5">
        <f>IFERROR(I230/G230,0)</f>
        <v/>
      </c>
      <c r="Z230" s="6">
        <f>IFERROR(G230/P230,0)</f>
        <v/>
      </c>
      <c r="AA230" s="7">
        <f>IFERROR(Q230/G230,0)</f>
        <v/>
      </c>
      <c r="AB230" s="8">
        <f>R230+K230</f>
        <v/>
      </c>
    </row>
    <row r="231">
      <c r="A231" s="2" t="n">
        <v>227</v>
      </c>
      <c r="B231" s="4" t="n">
        <v>46136</v>
      </c>
      <c r="C231" s="2" t="inlineStr">
        <is>
          <t>Solid Dose Line 1</t>
        </is>
      </c>
      <c r="D231" s="2" t="inlineStr">
        <is>
          <t>Product C</t>
        </is>
      </c>
      <c r="E231" s="2" t="inlineStr">
        <is>
          <t>Day</t>
        </is>
      </c>
      <c r="F231" s="2" t="n">
        <v>10971</v>
      </c>
      <c r="G231" s="2" t="n">
        <v>7997.8</v>
      </c>
      <c r="H231" s="2" t="n">
        <v>7856.6</v>
      </c>
      <c r="I231" s="2" t="n">
        <v>141.2</v>
      </c>
      <c r="J231" s="2" t="n">
        <v>8109.5</v>
      </c>
      <c r="K231" s="2" t="n">
        <v>1.57</v>
      </c>
      <c r="L231" s="2" t="inlineStr">
        <is>
          <t>Material</t>
        </is>
      </c>
      <c r="M231" s="2" t="inlineStr">
        <is>
          <t>Released</t>
        </is>
      </c>
      <c r="N231" s="2" t="inlineStr">
        <is>
          <t>None</t>
        </is>
      </c>
      <c r="O231" s="2" t="n">
        <v>0</v>
      </c>
      <c r="P231" s="2" t="n">
        <v>34.7</v>
      </c>
      <c r="Q231" s="2" t="n">
        <v>4370.5</v>
      </c>
      <c r="R231" s="2" t="n">
        <v>7.56</v>
      </c>
      <c r="S231" s="5">
        <f>G231/F231</f>
        <v/>
      </c>
      <c r="T231" s="5">
        <f>MAX(0,1/K231/8)</f>
        <v/>
      </c>
      <c r="U231" s="5">
        <f>IFERROR(G231/(F231*T231),0)</f>
        <v/>
      </c>
      <c r="V231" s="5">
        <f>IFERROR(H231/G231,0)</f>
        <v/>
      </c>
      <c r="W231" s="5">
        <f>T231*U231*V231</f>
        <v/>
      </c>
      <c r="X231" s="5">
        <f>IFERROR(G231/J231,0)</f>
        <v/>
      </c>
      <c r="Y231" s="5">
        <f>IFERROR(I231/G231,0)</f>
        <v/>
      </c>
      <c r="Z231" s="6">
        <f>IFERROR(G231/P231,0)</f>
        <v/>
      </c>
      <c r="AA231" s="7">
        <f>IFERROR(Q231/G231,0)</f>
        <v/>
      </c>
      <c r="AB231" s="8">
        <f>R231+K231</f>
        <v/>
      </c>
    </row>
    <row r="232">
      <c r="A232" s="2" t="n">
        <v>228</v>
      </c>
      <c r="B232" s="4" t="n">
        <v>46136</v>
      </c>
      <c r="C232" s="2" t="inlineStr">
        <is>
          <t>Solid Dose Line 2</t>
        </is>
      </c>
      <c r="D232" s="2" t="inlineStr">
        <is>
          <t>Product A</t>
        </is>
      </c>
      <c r="E232" s="2" t="inlineStr">
        <is>
          <t>Evening</t>
        </is>
      </c>
      <c r="F232" s="2" t="n">
        <v>10048</v>
      </c>
      <c r="G232" s="2" t="n">
        <v>9398.299999999999</v>
      </c>
      <c r="H232" s="2" t="n">
        <v>9216.200000000001</v>
      </c>
      <c r="I232" s="2" t="n">
        <v>182.1</v>
      </c>
      <c r="J232" s="2" t="n">
        <v>9590.5</v>
      </c>
      <c r="K232" s="2" t="n">
        <v>0</v>
      </c>
      <c r="L232" s="2" t="inlineStr">
        <is>
          <t>None</t>
        </is>
      </c>
      <c r="M232" s="2" t="inlineStr">
        <is>
          <t>Released</t>
        </is>
      </c>
      <c r="N232" s="2" t="inlineStr">
        <is>
          <t>None</t>
        </is>
      </c>
      <c r="O232" s="2" t="n">
        <v>0</v>
      </c>
      <c r="P232" s="2" t="n">
        <v>42.2</v>
      </c>
      <c r="Q232" s="2" t="n">
        <v>4858.9</v>
      </c>
      <c r="R232" s="2" t="n">
        <v>6.9</v>
      </c>
      <c r="S232" s="5">
        <f>G232/F232</f>
        <v/>
      </c>
      <c r="T232" s="5">
        <f>MAX(0,1/K232/8)</f>
        <v/>
      </c>
      <c r="U232" s="5">
        <f>IFERROR(G232/(F232*T232),0)</f>
        <v/>
      </c>
      <c r="V232" s="5">
        <f>IFERROR(H232/G232,0)</f>
        <v/>
      </c>
      <c r="W232" s="5">
        <f>T232*U232*V232</f>
        <v/>
      </c>
      <c r="X232" s="5">
        <f>IFERROR(G232/J232,0)</f>
        <v/>
      </c>
      <c r="Y232" s="5">
        <f>IFERROR(I232/G232,0)</f>
        <v/>
      </c>
      <c r="Z232" s="6">
        <f>IFERROR(G232/P232,0)</f>
        <v/>
      </c>
      <c r="AA232" s="7">
        <f>IFERROR(Q232/G232,0)</f>
        <v/>
      </c>
      <c r="AB232" s="8">
        <f>R232+K232</f>
        <v/>
      </c>
    </row>
    <row r="233">
      <c r="A233" s="2" t="n">
        <v>229</v>
      </c>
      <c r="B233" s="4" t="n">
        <v>46137</v>
      </c>
      <c r="C233" s="2" t="inlineStr">
        <is>
          <t>Solid Dose Line 1</t>
        </is>
      </c>
      <c r="D233" s="2" t="inlineStr">
        <is>
          <t>Product C</t>
        </is>
      </c>
      <c r="E233" s="2" t="inlineStr">
        <is>
          <t>Day</t>
        </is>
      </c>
      <c r="F233" s="2" t="n">
        <v>9192</v>
      </c>
      <c r="G233" s="2" t="n">
        <v>6482.6</v>
      </c>
      <c r="H233" s="2" t="n">
        <v>6380.2</v>
      </c>
      <c r="I233" s="2" t="n">
        <v>102.4</v>
      </c>
      <c r="J233" s="2" t="n">
        <v>6506.5</v>
      </c>
      <c r="K233" s="2" t="n">
        <v>1.6</v>
      </c>
      <c r="L233" s="2" t="inlineStr">
        <is>
          <t>Equipment</t>
        </is>
      </c>
      <c r="M233" s="2" t="inlineStr">
        <is>
          <t>Released</t>
        </is>
      </c>
      <c r="N233" s="2" t="inlineStr">
        <is>
          <t>None</t>
        </is>
      </c>
      <c r="O233" s="2" t="n">
        <v>0</v>
      </c>
      <c r="P233" s="2" t="n">
        <v>36.1</v>
      </c>
      <c r="Q233" s="2" t="n">
        <v>3221.4</v>
      </c>
      <c r="R233" s="2" t="n">
        <v>6.66</v>
      </c>
      <c r="S233" s="5">
        <f>G233/F233</f>
        <v/>
      </c>
      <c r="T233" s="5">
        <f>MAX(0,1/K233/8)</f>
        <v/>
      </c>
      <c r="U233" s="5">
        <f>IFERROR(G233/(F233*T233),0)</f>
        <v/>
      </c>
      <c r="V233" s="5">
        <f>IFERROR(H233/G233,0)</f>
        <v/>
      </c>
      <c r="W233" s="5">
        <f>T233*U233*V233</f>
        <v/>
      </c>
      <c r="X233" s="5">
        <f>IFERROR(G233/J233,0)</f>
        <v/>
      </c>
      <c r="Y233" s="5">
        <f>IFERROR(I233/G233,0)</f>
        <v/>
      </c>
      <c r="Z233" s="6">
        <f>IFERROR(G233/P233,0)</f>
        <v/>
      </c>
      <c r="AA233" s="7">
        <f>IFERROR(Q233/G233,0)</f>
        <v/>
      </c>
      <c r="AB233" s="8">
        <f>R233+K233</f>
        <v/>
      </c>
    </row>
    <row r="234">
      <c r="A234" s="2" t="n">
        <v>230</v>
      </c>
      <c r="B234" s="4" t="n">
        <v>46137</v>
      </c>
      <c r="C234" s="2" t="inlineStr">
        <is>
          <t>Solid Dose Line 2</t>
        </is>
      </c>
      <c r="D234" s="2" t="inlineStr">
        <is>
          <t>Product A</t>
        </is>
      </c>
      <c r="E234" s="2" t="inlineStr">
        <is>
          <t>Evening</t>
        </is>
      </c>
      <c r="F234" s="2" t="n">
        <v>11456</v>
      </c>
      <c r="G234" s="2" t="n">
        <v>9961.1</v>
      </c>
      <c r="H234" s="2" t="n">
        <v>9782.6</v>
      </c>
      <c r="I234" s="2" t="n">
        <v>178.5</v>
      </c>
      <c r="J234" s="2" t="n">
        <v>10080.3</v>
      </c>
      <c r="K234" s="2" t="n">
        <v>0.2</v>
      </c>
      <c r="L234" s="2" t="inlineStr">
        <is>
          <t>None</t>
        </is>
      </c>
      <c r="M234" s="2" t="inlineStr">
        <is>
          <t>Released</t>
        </is>
      </c>
      <c r="N234" s="2" t="inlineStr">
        <is>
          <t>Corrective</t>
        </is>
      </c>
      <c r="O234" s="2" t="n">
        <v>966.97</v>
      </c>
      <c r="P234" s="2" t="n">
        <v>42.6</v>
      </c>
      <c r="Q234" s="2" t="n">
        <v>5291.4</v>
      </c>
      <c r="R234" s="2" t="n">
        <v>7.81</v>
      </c>
      <c r="S234" s="5">
        <f>G234/F234</f>
        <v/>
      </c>
      <c r="T234" s="5">
        <f>MAX(0,1/K234/8)</f>
        <v/>
      </c>
      <c r="U234" s="5">
        <f>IFERROR(G234/(F234*T234),0)</f>
        <v/>
      </c>
      <c r="V234" s="5">
        <f>IFERROR(H234/G234,0)</f>
        <v/>
      </c>
      <c r="W234" s="5">
        <f>T234*U234*V234</f>
        <v/>
      </c>
      <c r="X234" s="5">
        <f>IFERROR(G234/J234,0)</f>
        <v/>
      </c>
      <c r="Y234" s="5">
        <f>IFERROR(I234/G234,0)</f>
        <v/>
      </c>
      <c r="Z234" s="6">
        <f>IFERROR(G234/P234,0)</f>
        <v/>
      </c>
      <c r="AA234" s="7">
        <f>IFERROR(Q234/G234,0)</f>
        <v/>
      </c>
      <c r="AB234" s="8">
        <f>R234+K234</f>
        <v/>
      </c>
    </row>
    <row r="235">
      <c r="A235" s="2" t="n">
        <v>231</v>
      </c>
      <c r="B235" s="4" t="n">
        <v>46138</v>
      </c>
      <c r="C235" s="2" t="inlineStr">
        <is>
          <t>Solid Dose Line 1</t>
        </is>
      </c>
      <c r="D235" s="2" t="inlineStr">
        <is>
          <t>Product B</t>
        </is>
      </c>
      <c r="E235" s="2" t="inlineStr">
        <is>
          <t>Evening</t>
        </is>
      </c>
      <c r="F235" s="2" t="n">
        <v>10710</v>
      </c>
      <c r="G235" s="2" t="n">
        <v>8068.6</v>
      </c>
      <c r="H235" s="2" t="n">
        <v>7974.8</v>
      </c>
      <c r="I235" s="2" t="n">
        <v>93.8</v>
      </c>
      <c r="J235" s="2" t="n">
        <v>8193</v>
      </c>
      <c r="K235" s="2" t="n">
        <v>1.57</v>
      </c>
      <c r="L235" s="2" t="inlineStr">
        <is>
          <t>Equipment</t>
        </is>
      </c>
      <c r="M235" s="2" t="inlineStr">
        <is>
          <t>Released</t>
        </is>
      </c>
      <c r="N235" s="2" t="inlineStr">
        <is>
          <t>Corrective</t>
        </is>
      </c>
      <c r="O235" s="2" t="n">
        <v>535.0599999999999</v>
      </c>
      <c r="P235" s="2" t="n">
        <v>46.9</v>
      </c>
      <c r="Q235" s="2" t="n">
        <v>4032.8</v>
      </c>
      <c r="R235" s="2" t="n">
        <v>7.28</v>
      </c>
      <c r="S235" s="5">
        <f>G235/F235</f>
        <v/>
      </c>
      <c r="T235" s="5">
        <f>MAX(0,1/K235/8)</f>
        <v/>
      </c>
      <c r="U235" s="5">
        <f>IFERROR(G235/(F235*T235),0)</f>
        <v/>
      </c>
      <c r="V235" s="5">
        <f>IFERROR(H235/G235,0)</f>
        <v/>
      </c>
      <c r="W235" s="5">
        <f>T235*U235*V235</f>
        <v/>
      </c>
      <c r="X235" s="5">
        <f>IFERROR(G235/J235,0)</f>
        <v/>
      </c>
      <c r="Y235" s="5">
        <f>IFERROR(I235/G235,0)</f>
        <v/>
      </c>
      <c r="Z235" s="6">
        <f>IFERROR(G235/P235,0)</f>
        <v/>
      </c>
      <c r="AA235" s="7">
        <f>IFERROR(Q235/G235,0)</f>
        <v/>
      </c>
      <c r="AB235" s="8">
        <f>R235+K235</f>
        <v/>
      </c>
    </row>
    <row r="236">
      <c r="A236" s="2" t="n">
        <v>232</v>
      </c>
      <c r="B236" s="4" t="n">
        <v>46138</v>
      </c>
      <c r="C236" s="2" t="inlineStr">
        <is>
          <t>Solid Dose Line 2</t>
        </is>
      </c>
      <c r="D236" s="2" t="inlineStr">
        <is>
          <t>Product A</t>
        </is>
      </c>
      <c r="E236" s="2" t="inlineStr">
        <is>
          <t>Day</t>
        </is>
      </c>
      <c r="F236" s="2" t="n">
        <v>11586</v>
      </c>
      <c r="G236" s="2" t="n">
        <v>7718.7</v>
      </c>
      <c r="H236" s="2" t="n">
        <v>7586.7</v>
      </c>
      <c r="I236" s="2" t="n">
        <v>132.1</v>
      </c>
      <c r="J236" s="2" t="n">
        <v>7809.3</v>
      </c>
      <c r="K236" s="2" t="n">
        <v>5.63</v>
      </c>
      <c r="L236" s="2" t="inlineStr">
        <is>
          <t>Process</t>
        </is>
      </c>
      <c r="M236" s="2" t="inlineStr">
        <is>
          <t>Released</t>
        </is>
      </c>
      <c r="N236" s="2" t="inlineStr">
        <is>
          <t>None</t>
        </is>
      </c>
      <c r="O236" s="2" t="n">
        <v>0</v>
      </c>
      <c r="P236" s="2" t="n">
        <v>40</v>
      </c>
      <c r="Q236" s="2" t="n">
        <v>3657.7</v>
      </c>
      <c r="R236" s="2" t="n">
        <v>7.19</v>
      </c>
      <c r="S236" s="5">
        <f>G236/F236</f>
        <v/>
      </c>
      <c r="T236" s="5">
        <f>MAX(0,1/K236/8)</f>
        <v/>
      </c>
      <c r="U236" s="5">
        <f>IFERROR(G236/(F236*T236),0)</f>
        <v/>
      </c>
      <c r="V236" s="5">
        <f>IFERROR(H236/G236,0)</f>
        <v/>
      </c>
      <c r="W236" s="5">
        <f>T236*U236*V236</f>
        <v/>
      </c>
      <c r="X236" s="5">
        <f>IFERROR(G236/J236,0)</f>
        <v/>
      </c>
      <c r="Y236" s="5">
        <f>IFERROR(I236/G236,0)</f>
        <v/>
      </c>
      <c r="Z236" s="6">
        <f>IFERROR(G236/P236,0)</f>
        <v/>
      </c>
      <c r="AA236" s="7">
        <f>IFERROR(Q236/G236,0)</f>
        <v/>
      </c>
      <c r="AB236" s="8">
        <f>R236+K236</f>
        <v/>
      </c>
    </row>
    <row r="237">
      <c r="A237" s="2" t="n">
        <v>233</v>
      </c>
      <c r="B237" s="4" t="n">
        <v>46139</v>
      </c>
      <c r="C237" s="2" t="inlineStr">
        <is>
          <t>Solid Dose Line 1</t>
        </is>
      </c>
      <c r="D237" s="2" t="inlineStr">
        <is>
          <t>Product B</t>
        </is>
      </c>
      <c r="E237" s="2" t="inlineStr">
        <is>
          <t>Day</t>
        </is>
      </c>
      <c r="F237" s="2" t="n">
        <v>9841</v>
      </c>
      <c r="G237" s="2" t="n">
        <v>6254</v>
      </c>
      <c r="H237" s="2" t="n">
        <v>6142.4</v>
      </c>
      <c r="I237" s="2" t="n">
        <v>111.7</v>
      </c>
      <c r="J237" s="2" t="n">
        <v>6304.2</v>
      </c>
      <c r="K237" s="2" t="n">
        <v>2.24</v>
      </c>
      <c r="L237" s="2" t="inlineStr">
        <is>
          <t>None</t>
        </is>
      </c>
      <c r="M237" s="2" t="inlineStr">
        <is>
          <t>Released</t>
        </is>
      </c>
      <c r="N237" s="2" t="inlineStr">
        <is>
          <t>Corrective</t>
        </is>
      </c>
      <c r="O237" s="2" t="n">
        <v>892.1</v>
      </c>
      <c r="P237" s="2" t="n">
        <v>39.3</v>
      </c>
      <c r="Q237" s="2" t="n">
        <v>3348.3</v>
      </c>
      <c r="R237" s="2" t="n">
        <v>6.91</v>
      </c>
      <c r="S237" s="5">
        <f>G237/F237</f>
        <v/>
      </c>
      <c r="T237" s="5">
        <f>MAX(0,1/K237/8)</f>
        <v/>
      </c>
      <c r="U237" s="5">
        <f>IFERROR(G237/(F237*T237),0)</f>
        <v/>
      </c>
      <c r="V237" s="5">
        <f>IFERROR(H237/G237,0)</f>
        <v/>
      </c>
      <c r="W237" s="5">
        <f>T237*U237*V237</f>
        <v/>
      </c>
      <c r="X237" s="5">
        <f>IFERROR(G237/J237,0)</f>
        <v/>
      </c>
      <c r="Y237" s="5">
        <f>IFERROR(I237/G237,0)</f>
        <v/>
      </c>
      <c r="Z237" s="6">
        <f>IFERROR(G237/P237,0)</f>
        <v/>
      </c>
      <c r="AA237" s="7">
        <f>IFERROR(Q237/G237,0)</f>
        <v/>
      </c>
      <c r="AB237" s="8">
        <f>R237+K237</f>
        <v/>
      </c>
    </row>
    <row r="238">
      <c r="A238" s="2" t="n">
        <v>234</v>
      </c>
      <c r="B238" s="4" t="n">
        <v>46139</v>
      </c>
      <c r="C238" s="2" t="inlineStr">
        <is>
          <t>Solid Dose Line 2</t>
        </is>
      </c>
      <c r="D238" s="2" t="inlineStr">
        <is>
          <t>Product A</t>
        </is>
      </c>
      <c r="E238" s="2" t="inlineStr">
        <is>
          <t>Evening</t>
        </is>
      </c>
      <c r="F238" s="2" t="n">
        <v>11929</v>
      </c>
      <c r="G238" s="2" t="n">
        <v>9813.9</v>
      </c>
      <c r="H238" s="2" t="n">
        <v>9739.9</v>
      </c>
      <c r="I238" s="2" t="n">
        <v>73.90000000000001</v>
      </c>
      <c r="J238" s="2" t="n">
        <v>10010.5</v>
      </c>
      <c r="K238" s="2" t="n">
        <v>0</v>
      </c>
      <c r="L238" s="2" t="inlineStr">
        <is>
          <t>None</t>
        </is>
      </c>
      <c r="M238" s="2" t="inlineStr">
        <is>
          <t>Released</t>
        </is>
      </c>
      <c r="N238" s="2" t="inlineStr">
        <is>
          <t>Corrective</t>
        </is>
      </c>
      <c r="O238" s="2" t="n">
        <v>420.11</v>
      </c>
      <c r="P238" s="2" t="n">
        <v>48.8</v>
      </c>
      <c r="Q238" s="2" t="n">
        <v>4617.9</v>
      </c>
      <c r="R238" s="2" t="n">
        <v>6.77</v>
      </c>
      <c r="S238" s="5">
        <f>G238/F238</f>
        <v/>
      </c>
      <c r="T238" s="5">
        <f>MAX(0,1/K238/8)</f>
        <v/>
      </c>
      <c r="U238" s="5">
        <f>IFERROR(G238/(F238*T238),0)</f>
        <v/>
      </c>
      <c r="V238" s="5">
        <f>IFERROR(H238/G238,0)</f>
        <v/>
      </c>
      <c r="W238" s="5">
        <f>T238*U238*V238</f>
        <v/>
      </c>
      <c r="X238" s="5">
        <f>IFERROR(G238/J238,0)</f>
        <v/>
      </c>
      <c r="Y238" s="5">
        <f>IFERROR(I238/G238,0)</f>
        <v/>
      </c>
      <c r="Z238" s="6">
        <f>IFERROR(G238/P238,0)</f>
        <v/>
      </c>
      <c r="AA238" s="7">
        <f>IFERROR(Q238/G238,0)</f>
        <v/>
      </c>
      <c r="AB238" s="8">
        <f>R238+K238</f>
        <v/>
      </c>
    </row>
    <row r="239">
      <c r="A239" s="2" t="n">
        <v>235</v>
      </c>
      <c r="B239" s="4" t="n">
        <v>46140</v>
      </c>
      <c r="C239" s="2" t="inlineStr">
        <is>
          <t>Solid Dose Line 1</t>
        </is>
      </c>
      <c r="D239" s="2" t="inlineStr">
        <is>
          <t>Product A</t>
        </is>
      </c>
      <c r="E239" s="2" t="inlineStr">
        <is>
          <t>Night</t>
        </is>
      </c>
      <c r="F239" s="2" t="n">
        <v>9857</v>
      </c>
      <c r="G239" s="2" t="n">
        <v>7224.7</v>
      </c>
      <c r="H239" s="2" t="n">
        <v>7087.4</v>
      </c>
      <c r="I239" s="2" t="n">
        <v>137.3</v>
      </c>
      <c r="J239" s="2" t="n">
        <v>7349.6</v>
      </c>
      <c r="K239" s="2" t="n">
        <v>1.73</v>
      </c>
      <c r="L239" s="2" t="inlineStr">
        <is>
          <t>None</t>
        </is>
      </c>
      <c r="M239" s="2" t="inlineStr">
        <is>
          <t>Released</t>
        </is>
      </c>
      <c r="N239" s="2" t="inlineStr">
        <is>
          <t>None</t>
        </is>
      </c>
      <c r="O239" s="2" t="n">
        <v>0</v>
      </c>
      <c r="P239" s="2" t="n">
        <v>38</v>
      </c>
      <c r="Q239" s="2" t="n">
        <v>3971.3</v>
      </c>
      <c r="R239" s="2" t="n">
        <v>6.61</v>
      </c>
      <c r="S239" s="5">
        <f>G239/F239</f>
        <v/>
      </c>
      <c r="T239" s="5">
        <f>MAX(0,1/K239/8)</f>
        <v/>
      </c>
      <c r="U239" s="5">
        <f>IFERROR(G239/(F239*T239),0)</f>
        <v/>
      </c>
      <c r="V239" s="5">
        <f>IFERROR(H239/G239,0)</f>
        <v/>
      </c>
      <c r="W239" s="5">
        <f>T239*U239*V239</f>
        <v/>
      </c>
      <c r="X239" s="5">
        <f>IFERROR(G239/J239,0)</f>
        <v/>
      </c>
      <c r="Y239" s="5">
        <f>IFERROR(I239/G239,0)</f>
        <v/>
      </c>
      <c r="Z239" s="6">
        <f>IFERROR(G239/P239,0)</f>
        <v/>
      </c>
      <c r="AA239" s="7">
        <f>IFERROR(Q239/G239,0)</f>
        <v/>
      </c>
      <c r="AB239" s="8">
        <f>R239+K239</f>
        <v/>
      </c>
    </row>
    <row r="240">
      <c r="A240" s="2" t="n">
        <v>236</v>
      </c>
      <c r="B240" s="4" t="n">
        <v>46140</v>
      </c>
      <c r="C240" s="2" t="inlineStr">
        <is>
          <t>Solid Dose Line 2</t>
        </is>
      </c>
      <c r="D240" s="2" t="inlineStr">
        <is>
          <t>Product B</t>
        </is>
      </c>
      <c r="E240" s="2" t="inlineStr">
        <is>
          <t>Day</t>
        </is>
      </c>
      <c r="F240" s="2" t="n">
        <v>10983</v>
      </c>
      <c r="G240" s="2" t="n">
        <v>6901.3</v>
      </c>
      <c r="H240" s="2" t="n">
        <v>6887.3</v>
      </c>
      <c r="I240" s="2" t="n">
        <v>14</v>
      </c>
      <c r="J240" s="2" t="n">
        <v>7037.1</v>
      </c>
      <c r="K240" s="2" t="n">
        <v>2.64</v>
      </c>
      <c r="L240" s="2" t="inlineStr">
        <is>
          <t>Process</t>
        </is>
      </c>
      <c r="M240" s="2" t="inlineStr">
        <is>
          <t>Released</t>
        </is>
      </c>
      <c r="N240" s="2" t="inlineStr">
        <is>
          <t>None</t>
        </is>
      </c>
      <c r="O240" s="2" t="n">
        <v>0</v>
      </c>
      <c r="P240" s="2" t="n">
        <v>46.8</v>
      </c>
      <c r="Q240" s="2" t="n">
        <v>3665.1</v>
      </c>
      <c r="R240" s="2" t="n">
        <v>6.53</v>
      </c>
      <c r="S240" s="5">
        <f>G240/F240</f>
        <v/>
      </c>
      <c r="T240" s="5">
        <f>MAX(0,1/K240/8)</f>
        <v/>
      </c>
      <c r="U240" s="5">
        <f>IFERROR(G240/(F240*T240),0)</f>
        <v/>
      </c>
      <c r="V240" s="5">
        <f>IFERROR(H240/G240,0)</f>
        <v/>
      </c>
      <c r="W240" s="5">
        <f>T240*U240*V240</f>
        <v/>
      </c>
      <c r="X240" s="5">
        <f>IFERROR(G240/J240,0)</f>
        <v/>
      </c>
      <c r="Y240" s="5">
        <f>IFERROR(I240/G240,0)</f>
        <v/>
      </c>
      <c r="Z240" s="6">
        <f>IFERROR(G240/P240,0)</f>
        <v/>
      </c>
      <c r="AA240" s="7">
        <f>IFERROR(Q240/G240,0)</f>
        <v/>
      </c>
      <c r="AB240" s="8">
        <f>R240+K240</f>
        <v/>
      </c>
    </row>
    <row r="241">
      <c r="A241" s="2" t="n">
        <v>237</v>
      </c>
      <c r="B241" s="4" t="n">
        <v>46141</v>
      </c>
      <c r="C241" s="2" t="inlineStr">
        <is>
          <t>Solid Dose Line 1</t>
        </is>
      </c>
      <c r="D241" s="2" t="inlineStr">
        <is>
          <t>Product A</t>
        </is>
      </c>
      <c r="E241" s="2" t="inlineStr">
        <is>
          <t>Evening</t>
        </is>
      </c>
      <c r="F241" s="2" t="n">
        <v>11314</v>
      </c>
      <c r="G241" s="2" t="n">
        <v>7621.6</v>
      </c>
      <c r="H241" s="2" t="n">
        <v>7182.2</v>
      </c>
      <c r="I241" s="2" t="n">
        <v>439.4</v>
      </c>
      <c r="J241" s="2" t="n">
        <v>7788.4</v>
      </c>
      <c r="K241" s="2" t="n">
        <v>1.99</v>
      </c>
      <c r="L241" s="2" t="inlineStr">
        <is>
          <t>None</t>
        </is>
      </c>
      <c r="M241" s="2" t="inlineStr">
        <is>
          <t>Rejected</t>
        </is>
      </c>
      <c r="N241" s="2" t="inlineStr">
        <is>
          <t>Preventive</t>
        </is>
      </c>
      <c r="O241" s="2" t="n">
        <v>210.82</v>
      </c>
      <c r="P241" s="2" t="n">
        <v>51.7</v>
      </c>
      <c r="Q241" s="2" t="n">
        <v>4162.8</v>
      </c>
      <c r="R241" s="2" t="n">
        <v>7.83</v>
      </c>
      <c r="S241" s="5">
        <f>G241/F241</f>
        <v/>
      </c>
      <c r="T241" s="5">
        <f>MAX(0,1/K241/8)</f>
        <v/>
      </c>
      <c r="U241" s="5">
        <f>IFERROR(G241/(F241*T241),0)</f>
        <v/>
      </c>
      <c r="V241" s="5">
        <f>IFERROR(H241/G241,0)</f>
        <v/>
      </c>
      <c r="W241" s="5">
        <f>T241*U241*V241</f>
        <v/>
      </c>
      <c r="X241" s="5">
        <f>IFERROR(G241/J241,0)</f>
        <v/>
      </c>
      <c r="Y241" s="5">
        <f>IFERROR(I241/G241,0)</f>
        <v/>
      </c>
      <c r="Z241" s="6">
        <f>IFERROR(G241/P241,0)</f>
        <v/>
      </c>
      <c r="AA241" s="7">
        <f>IFERROR(Q241/G241,0)</f>
        <v/>
      </c>
      <c r="AB241" s="8">
        <f>R241+K241</f>
        <v/>
      </c>
    </row>
    <row r="242">
      <c r="A242" s="2" t="n">
        <v>238</v>
      </c>
      <c r="B242" s="4" t="n">
        <v>46141</v>
      </c>
      <c r="C242" s="2" t="inlineStr">
        <is>
          <t>Solid Dose Line 2</t>
        </is>
      </c>
      <c r="D242" s="2" t="inlineStr">
        <is>
          <t>Product A</t>
        </is>
      </c>
      <c r="E242" s="2" t="inlineStr">
        <is>
          <t>Day</t>
        </is>
      </c>
      <c r="F242" s="2" t="n">
        <v>9024</v>
      </c>
      <c r="G242" s="2" t="n">
        <v>6288.1</v>
      </c>
      <c r="H242" s="2" t="n">
        <v>6214.5</v>
      </c>
      <c r="I242" s="2" t="n">
        <v>73.59999999999999</v>
      </c>
      <c r="J242" s="2" t="n">
        <v>6354.5</v>
      </c>
      <c r="K242" s="2" t="n">
        <v>5.85</v>
      </c>
      <c r="L242" s="2" t="inlineStr">
        <is>
          <t>Equipment</t>
        </is>
      </c>
      <c r="M242" s="2" t="inlineStr">
        <is>
          <t>Released</t>
        </is>
      </c>
      <c r="N242" s="2" t="inlineStr">
        <is>
          <t>None</t>
        </is>
      </c>
      <c r="O242" s="2" t="n">
        <v>0</v>
      </c>
      <c r="P242" s="2" t="n">
        <v>43.9</v>
      </c>
      <c r="Q242" s="2" t="n">
        <v>3217.6</v>
      </c>
      <c r="R242" s="2" t="n">
        <v>7.45</v>
      </c>
      <c r="S242" s="5">
        <f>G242/F242</f>
        <v/>
      </c>
      <c r="T242" s="5">
        <f>MAX(0,1/K242/8)</f>
        <v/>
      </c>
      <c r="U242" s="5">
        <f>IFERROR(G242/(F242*T242),0)</f>
        <v/>
      </c>
      <c r="V242" s="5">
        <f>IFERROR(H242/G242,0)</f>
        <v/>
      </c>
      <c r="W242" s="5">
        <f>T242*U242*V242</f>
        <v/>
      </c>
      <c r="X242" s="5">
        <f>IFERROR(G242/J242,0)</f>
        <v/>
      </c>
      <c r="Y242" s="5">
        <f>IFERROR(I242/G242,0)</f>
        <v/>
      </c>
      <c r="Z242" s="6">
        <f>IFERROR(G242/P242,0)</f>
        <v/>
      </c>
      <c r="AA242" s="7">
        <f>IFERROR(Q242/G242,0)</f>
        <v/>
      </c>
      <c r="AB242" s="8">
        <f>R242+K242</f>
        <v/>
      </c>
    </row>
    <row r="243">
      <c r="A243" s="2" t="n">
        <v>239</v>
      </c>
      <c r="B243" s="4" t="n">
        <v>46142</v>
      </c>
      <c r="C243" s="2" t="inlineStr">
        <is>
          <t>Solid Dose Line 1</t>
        </is>
      </c>
      <c r="D243" s="2" t="inlineStr">
        <is>
          <t>Product A</t>
        </is>
      </c>
      <c r="E243" s="2" t="inlineStr">
        <is>
          <t>Evening</t>
        </is>
      </c>
      <c r="F243" s="2" t="n">
        <v>9852</v>
      </c>
      <c r="G243" s="2" t="n">
        <v>7110.9</v>
      </c>
      <c r="H243" s="2" t="n">
        <v>7065</v>
      </c>
      <c r="I243" s="2" t="n">
        <v>45.9</v>
      </c>
      <c r="J243" s="2" t="n">
        <v>7342.2</v>
      </c>
      <c r="K243" s="2" t="n">
        <v>1.91</v>
      </c>
      <c r="L243" s="2" t="inlineStr">
        <is>
          <t>None</t>
        </is>
      </c>
      <c r="M243" s="2" t="inlineStr">
        <is>
          <t>Released</t>
        </is>
      </c>
      <c r="N243" s="2" t="inlineStr">
        <is>
          <t>None</t>
        </is>
      </c>
      <c r="O243" s="2" t="n">
        <v>0</v>
      </c>
      <c r="P243" s="2" t="n">
        <v>43.5</v>
      </c>
      <c r="Q243" s="2" t="n">
        <v>3665.3</v>
      </c>
      <c r="R243" s="2" t="n">
        <v>7.44</v>
      </c>
      <c r="S243" s="5">
        <f>G243/F243</f>
        <v/>
      </c>
      <c r="T243" s="5">
        <f>MAX(0,1/K243/8)</f>
        <v/>
      </c>
      <c r="U243" s="5">
        <f>IFERROR(G243/(F243*T243),0)</f>
        <v/>
      </c>
      <c r="V243" s="5">
        <f>IFERROR(H243/G243,0)</f>
        <v/>
      </c>
      <c r="W243" s="5">
        <f>T243*U243*V243</f>
        <v/>
      </c>
      <c r="X243" s="5">
        <f>IFERROR(G243/J243,0)</f>
        <v/>
      </c>
      <c r="Y243" s="5">
        <f>IFERROR(I243/G243,0)</f>
        <v/>
      </c>
      <c r="Z243" s="6">
        <f>IFERROR(G243/P243,0)</f>
        <v/>
      </c>
      <c r="AA243" s="7">
        <f>IFERROR(Q243/G243,0)</f>
        <v/>
      </c>
      <c r="AB243" s="8">
        <f>R243+K243</f>
        <v/>
      </c>
    </row>
    <row r="244">
      <c r="A244" s="2" t="n">
        <v>240</v>
      </c>
      <c r="B244" s="4" t="n">
        <v>46142</v>
      </c>
      <c r="C244" s="2" t="inlineStr">
        <is>
          <t>Solid Dose Line 2</t>
        </is>
      </c>
      <c r="D244" s="2" t="inlineStr">
        <is>
          <t>Product B</t>
        </is>
      </c>
      <c r="E244" s="2" t="inlineStr">
        <is>
          <t>Evening</t>
        </is>
      </c>
      <c r="F244" s="2" t="n">
        <v>9876</v>
      </c>
      <c r="G244" s="2" t="n">
        <v>6107.5</v>
      </c>
      <c r="H244" s="2" t="n">
        <v>6012.1</v>
      </c>
      <c r="I244" s="2" t="n">
        <v>95.40000000000001</v>
      </c>
      <c r="J244" s="2" t="n">
        <v>6180.5</v>
      </c>
      <c r="K244" s="2" t="n">
        <v>3.91</v>
      </c>
      <c r="L244" s="2" t="inlineStr">
        <is>
          <t>Documentation</t>
        </is>
      </c>
      <c r="M244" s="2" t="inlineStr">
        <is>
          <t>Released</t>
        </is>
      </c>
      <c r="N244" s="2" t="inlineStr">
        <is>
          <t>None</t>
        </is>
      </c>
      <c r="O244" s="2" t="n">
        <v>0</v>
      </c>
      <c r="P244" s="2" t="n">
        <v>38</v>
      </c>
      <c r="Q244" s="2" t="n">
        <v>3221.1</v>
      </c>
      <c r="R244" s="2" t="n">
        <v>6.85</v>
      </c>
      <c r="S244" s="5">
        <f>G244/F244</f>
        <v/>
      </c>
      <c r="T244" s="5">
        <f>MAX(0,1/K244/8)</f>
        <v/>
      </c>
      <c r="U244" s="5">
        <f>IFERROR(G244/(F244*T244),0)</f>
        <v/>
      </c>
      <c r="V244" s="5">
        <f>IFERROR(H244/G244,0)</f>
        <v/>
      </c>
      <c r="W244" s="5">
        <f>T244*U244*V244</f>
        <v/>
      </c>
      <c r="X244" s="5">
        <f>IFERROR(G244/J244,0)</f>
        <v/>
      </c>
      <c r="Y244" s="5">
        <f>IFERROR(I244/G244,0)</f>
        <v/>
      </c>
      <c r="Z244" s="6">
        <f>IFERROR(G244/P244,0)</f>
        <v/>
      </c>
      <c r="AA244" s="7">
        <f>IFERROR(Q244/G244,0)</f>
        <v/>
      </c>
      <c r="AB244" s="8">
        <f>R244+K244</f>
        <v/>
      </c>
    </row>
  </sheetData>
  <conditionalFormatting sqref="W5:W2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QUALITY / DEVIATION LOG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Deviation_ID</t>
        </is>
      </c>
      <c r="B3" s="3" t="inlineStr">
        <is>
          <t>Date</t>
        </is>
      </c>
      <c r="C3" s="3" t="inlineStr">
        <is>
          <t>Batch_ID</t>
        </is>
      </c>
      <c r="D3" s="3" t="inlineStr">
        <is>
          <t>Production_Line</t>
        </is>
      </c>
      <c r="E3" s="3" t="inlineStr">
        <is>
          <t>Product</t>
        </is>
      </c>
      <c r="F3" s="3" t="inlineStr">
        <is>
          <t>Deviation_Type</t>
        </is>
      </c>
      <c r="G3" s="3" t="inlineStr">
        <is>
          <t>Severity</t>
        </is>
      </c>
      <c r="H3" s="3" t="inlineStr">
        <is>
          <t>Disposition</t>
        </is>
      </c>
      <c r="I3" s="3" t="inlineStr">
        <is>
          <t>Investigation_Hours</t>
        </is>
      </c>
    </row>
    <row r="4">
      <c r="A4" s="2" t="n">
        <v>1</v>
      </c>
      <c r="B4" s="4" t="n">
        <v>46024</v>
      </c>
      <c r="C4" s="2" t="n">
        <v>4</v>
      </c>
      <c r="D4" s="2" t="inlineStr">
        <is>
          <t>Solid Dose Line 2</t>
        </is>
      </c>
      <c r="E4" s="2" t="inlineStr">
        <is>
          <t>Product C</t>
        </is>
      </c>
      <c r="F4" s="2" t="inlineStr">
        <is>
          <t>Documentation</t>
        </is>
      </c>
      <c r="G4" s="2" t="inlineStr">
        <is>
          <t>Minor</t>
        </is>
      </c>
      <c r="H4" s="2" t="inlineStr">
        <is>
          <t>Closed</t>
        </is>
      </c>
      <c r="I4" s="2" t="n">
        <v>2.7</v>
      </c>
    </row>
    <row r="5">
      <c r="A5" s="2" t="n">
        <v>2</v>
      </c>
      <c r="B5" s="4" t="n">
        <v>46030</v>
      </c>
      <c r="C5" s="2" t="n">
        <v>16</v>
      </c>
      <c r="D5" s="2" t="inlineStr">
        <is>
          <t>Solid Dose Line 2</t>
        </is>
      </c>
      <c r="E5" s="2" t="inlineStr">
        <is>
          <t>Product B</t>
        </is>
      </c>
      <c r="F5" s="2" t="inlineStr">
        <is>
          <t>Material</t>
        </is>
      </c>
      <c r="G5" s="2" t="inlineStr">
        <is>
          <t>Minor</t>
        </is>
      </c>
      <c r="H5" s="2" t="inlineStr">
        <is>
          <t>Closed</t>
        </is>
      </c>
      <c r="I5" s="2" t="n">
        <v>1</v>
      </c>
    </row>
    <row r="6">
      <c r="A6" s="2" t="n">
        <v>3</v>
      </c>
      <c r="B6" s="4" t="n">
        <v>46031</v>
      </c>
      <c r="C6" s="2" t="n">
        <v>18</v>
      </c>
      <c r="D6" s="2" t="inlineStr">
        <is>
          <t>Solid Dose Line 2</t>
        </is>
      </c>
      <c r="E6" s="2" t="inlineStr">
        <is>
          <t>Product A</t>
        </is>
      </c>
      <c r="F6" s="2" t="inlineStr">
        <is>
          <t>Documentation</t>
        </is>
      </c>
      <c r="G6" s="2" t="inlineStr">
        <is>
          <t>Minor</t>
        </is>
      </c>
      <c r="H6" s="2" t="inlineStr">
        <is>
          <t>Closed</t>
        </is>
      </c>
      <c r="I6" s="2" t="n">
        <v>5.1</v>
      </c>
    </row>
    <row r="7">
      <c r="A7" s="2" t="n">
        <v>4</v>
      </c>
      <c r="B7" s="4" t="n">
        <v>46037</v>
      </c>
      <c r="C7" s="2" t="n">
        <v>30</v>
      </c>
      <c r="D7" s="2" t="inlineStr">
        <is>
          <t>Solid Dose Line 2</t>
        </is>
      </c>
      <c r="E7" s="2" t="inlineStr">
        <is>
          <t>Product A</t>
        </is>
      </c>
      <c r="F7" s="2" t="inlineStr">
        <is>
          <t>Process</t>
        </is>
      </c>
      <c r="G7" s="2" t="inlineStr">
        <is>
          <t>Critical</t>
        </is>
      </c>
      <c r="H7" s="2" t="inlineStr">
        <is>
          <t>Closed</t>
        </is>
      </c>
      <c r="I7" s="2" t="n">
        <v>3.6</v>
      </c>
    </row>
    <row r="8">
      <c r="A8" s="2" t="n">
        <v>5</v>
      </c>
      <c r="B8" s="4" t="n">
        <v>46038</v>
      </c>
      <c r="C8" s="2" t="n">
        <v>32</v>
      </c>
      <c r="D8" s="2" t="inlineStr">
        <is>
          <t>Solid Dose Line 2</t>
        </is>
      </c>
      <c r="E8" s="2" t="inlineStr">
        <is>
          <t>Product B</t>
        </is>
      </c>
      <c r="F8" s="2" t="inlineStr">
        <is>
          <t>Material</t>
        </is>
      </c>
      <c r="G8" s="2" t="inlineStr">
        <is>
          <t>Minor</t>
        </is>
      </c>
      <c r="H8" s="2" t="inlineStr">
        <is>
          <t>Closed</t>
        </is>
      </c>
      <c r="I8" s="2" t="n">
        <v>6.8</v>
      </c>
    </row>
    <row r="9">
      <c r="A9" s="2" t="n">
        <v>6</v>
      </c>
      <c r="B9" s="4" t="n">
        <v>46039</v>
      </c>
      <c r="C9" s="2" t="n">
        <v>34</v>
      </c>
      <c r="D9" s="2" t="inlineStr">
        <is>
          <t>Solid Dose Line 2</t>
        </is>
      </c>
      <c r="E9" s="2" t="inlineStr">
        <is>
          <t>Product A</t>
        </is>
      </c>
      <c r="F9" s="2" t="inlineStr">
        <is>
          <t>Documentation</t>
        </is>
      </c>
      <c r="G9" s="2" t="inlineStr">
        <is>
          <t>Major</t>
        </is>
      </c>
      <c r="H9" s="2" t="inlineStr">
        <is>
          <t>Closed</t>
        </is>
      </c>
      <c r="I9" s="2" t="n">
        <v>3.9</v>
      </c>
    </row>
    <row r="10">
      <c r="A10" s="2" t="n">
        <v>7</v>
      </c>
      <c r="B10" s="4" t="n">
        <v>46040</v>
      </c>
      <c r="C10" s="2" t="n">
        <v>36</v>
      </c>
      <c r="D10" s="2" t="inlineStr">
        <is>
          <t>Solid Dose Line 2</t>
        </is>
      </c>
      <c r="E10" s="2" t="inlineStr">
        <is>
          <t>Product A</t>
        </is>
      </c>
      <c r="F10" s="2" t="inlineStr">
        <is>
          <t>Material</t>
        </is>
      </c>
      <c r="G10" s="2" t="inlineStr">
        <is>
          <t>Minor</t>
        </is>
      </c>
      <c r="H10" s="2" t="inlineStr">
        <is>
          <t>Closed</t>
        </is>
      </c>
      <c r="I10" s="2" t="n">
        <v>7.7</v>
      </c>
    </row>
    <row r="11">
      <c r="A11" s="2" t="n">
        <v>8</v>
      </c>
      <c r="B11" s="4" t="n">
        <v>46042</v>
      </c>
      <c r="C11" s="2" t="n">
        <v>40</v>
      </c>
      <c r="D11" s="2" t="inlineStr">
        <is>
          <t>Solid Dose Line 2</t>
        </is>
      </c>
      <c r="E11" s="2" t="inlineStr">
        <is>
          <t>Product A</t>
        </is>
      </c>
      <c r="F11" s="2" t="inlineStr">
        <is>
          <t>Material</t>
        </is>
      </c>
      <c r="G11" s="2" t="inlineStr">
        <is>
          <t>Minor</t>
        </is>
      </c>
      <c r="H11" s="2" t="inlineStr">
        <is>
          <t>Closed</t>
        </is>
      </c>
      <c r="I11" s="2" t="n">
        <v>2.9</v>
      </c>
    </row>
    <row r="12">
      <c r="A12" s="2" t="n">
        <v>9</v>
      </c>
      <c r="B12" s="4" t="n">
        <v>46045</v>
      </c>
      <c r="C12" s="2" t="n">
        <v>45</v>
      </c>
      <c r="D12" s="2" t="inlineStr">
        <is>
          <t>Solid Dose Line 1</t>
        </is>
      </c>
      <c r="E12" s="2" t="inlineStr">
        <is>
          <t>Product A</t>
        </is>
      </c>
      <c r="F12" s="2" t="inlineStr">
        <is>
          <t>Environmental</t>
        </is>
      </c>
      <c r="G12" s="2" t="inlineStr">
        <is>
          <t>Minor</t>
        </is>
      </c>
      <c r="H12" s="2" t="inlineStr">
        <is>
          <t>Closed</t>
        </is>
      </c>
      <c r="I12" s="2" t="n">
        <v>2.6</v>
      </c>
    </row>
    <row r="13">
      <c r="A13" s="2" t="n">
        <v>10</v>
      </c>
      <c r="B13" s="4" t="n">
        <v>46045</v>
      </c>
      <c r="C13" s="2" t="n">
        <v>46</v>
      </c>
      <c r="D13" s="2" t="inlineStr">
        <is>
          <t>Solid Dose Line 2</t>
        </is>
      </c>
      <c r="E13" s="2" t="inlineStr">
        <is>
          <t>Product B</t>
        </is>
      </c>
      <c r="F13" s="2" t="inlineStr">
        <is>
          <t>Material</t>
        </is>
      </c>
      <c r="G13" s="2" t="inlineStr">
        <is>
          <t>Minor</t>
        </is>
      </c>
      <c r="H13" s="2" t="inlineStr">
        <is>
          <t>Closed</t>
        </is>
      </c>
      <c r="I13" s="2" t="n">
        <v>2.5</v>
      </c>
    </row>
    <row r="14">
      <c r="A14" s="2" t="n">
        <v>11</v>
      </c>
      <c r="B14" s="4" t="n">
        <v>46049</v>
      </c>
      <c r="C14" s="2" t="n">
        <v>54</v>
      </c>
      <c r="D14" s="2" t="inlineStr">
        <is>
          <t>Solid Dose Line 2</t>
        </is>
      </c>
      <c r="E14" s="2" t="inlineStr">
        <is>
          <t>Product A</t>
        </is>
      </c>
      <c r="F14" s="2" t="inlineStr">
        <is>
          <t>Environmental</t>
        </is>
      </c>
      <c r="G14" s="2" t="inlineStr">
        <is>
          <t>Minor</t>
        </is>
      </c>
      <c r="H14" s="2" t="inlineStr">
        <is>
          <t>Closed</t>
        </is>
      </c>
      <c r="I14" s="2" t="n">
        <v>1.3</v>
      </c>
    </row>
    <row r="15">
      <c r="A15" s="2" t="n">
        <v>12</v>
      </c>
      <c r="B15" s="4" t="n">
        <v>46050</v>
      </c>
      <c r="C15" s="2" t="n">
        <v>55</v>
      </c>
      <c r="D15" s="2" t="inlineStr">
        <is>
          <t>Solid Dose Line 1</t>
        </is>
      </c>
      <c r="E15" s="2" t="inlineStr">
        <is>
          <t>Product B</t>
        </is>
      </c>
      <c r="F15" s="2" t="inlineStr">
        <is>
          <t>Material</t>
        </is>
      </c>
      <c r="G15" s="2" t="inlineStr">
        <is>
          <t>Minor</t>
        </is>
      </c>
      <c r="H15" s="2" t="inlineStr">
        <is>
          <t>Closed</t>
        </is>
      </c>
      <c r="I15" s="2" t="n">
        <v>6.8</v>
      </c>
    </row>
    <row r="16">
      <c r="A16" s="2" t="n">
        <v>13</v>
      </c>
      <c r="B16" s="4" t="n">
        <v>46052</v>
      </c>
      <c r="C16" s="2" t="n">
        <v>59</v>
      </c>
      <c r="D16" s="2" t="inlineStr">
        <is>
          <t>Solid Dose Line 1</t>
        </is>
      </c>
      <c r="E16" s="2" t="inlineStr">
        <is>
          <t>Product A</t>
        </is>
      </c>
      <c r="F16" s="2" t="inlineStr">
        <is>
          <t>Equipment</t>
        </is>
      </c>
      <c r="G16" s="2" t="inlineStr">
        <is>
          <t>Minor</t>
        </is>
      </c>
      <c r="H16" s="2" t="inlineStr">
        <is>
          <t>Closed</t>
        </is>
      </c>
      <c r="I16" s="2" t="n">
        <v>3</v>
      </c>
    </row>
    <row r="17">
      <c r="A17" s="2" t="n">
        <v>14</v>
      </c>
      <c r="B17" s="4" t="n">
        <v>46053</v>
      </c>
      <c r="C17" s="2" t="n">
        <v>62</v>
      </c>
      <c r="D17" s="2" t="inlineStr">
        <is>
          <t>Solid Dose Line 2</t>
        </is>
      </c>
      <c r="E17" s="2" t="inlineStr">
        <is>
          <t>Product B</t>
        </is>
      </c>
      <c r="F17" s="2" t="inlineStr">
        <is>
          <t>Documentation</t>
        </is>
      </c>
      <c r="G17" s="2" t="inlineStr">
        <is>
          <t>Minor</t>
        </is>
      </c>
      <c r="H17" s="2" t="inlineStr">
        <is>
          <t>Closed</t>
        </is>
      </c>
      <c r="I17" s="2" t="n">
        <v>6.6</v>
      </c>
    </row>
    <row r="18">
      <c r="A18" s="2" t="n">
        <v>15</v>
      </c>
      <c r="B18" s="4" t="n">
        <v>46054</v>
      </c>
      <c r="C18" s="2" t="n">
        <v>64</v>
      </c>
      <c r="D18" s="2" t="inlineStr">
        <is>
          <t>Solid Dose Line 2</t>
        </is>
      </c>
      <c r="E18" s="2" t="inlineStr">
        <is>
          <t>Product B</t>
        </is>
      </c>
      <c r="F18" s="2" t="inlineStr">
        <is>
          <t>Process</t>
        </is>
      </c>
      <c r="G18" s="2" t="inlineStr">
        <is>
          <t>Minor</t>
        </is>
      </c>
      <c r="H18" s="2" t="inlineStr">
        <is>
          <t>Closed</t>
        </is>
      </c>
      <c r="I18" s="2" t="n">
        <v>3.2</v>
      </c>
    </row>
    <row r="19">
      <c r="A19" s="2" t="n">
        <v>16</v>
      </c>
      <c r="B19" s="4" t="n">
        <v>46056</v>
      </c>
      <c r="C19" s="2" t="n">
        <v>67</v>
      </c>
      <c r="D19" s="2" t="inlineStr">
        <is>
          <t>Solid Dose Line 1</t>
        </is>
      </c>
      <c r="E19" s="2" t="inlineStr">
        <is>
          <t>Product B</t>
        </is>
      </c>
      <c r="F19" s="2" t="inlineStr">
        <is>
          <t>Equipment</t>
        </is>
      </c>
      <c r="G19" s="2" t="inlineStr">
        <is>
          <t>Major</t>
        </is>
      </c>
      <c r="H19" s="2" t="inlineStr">
        <is>
          <t>Closed</t>
        </is>
      </c>
      <c r="I19" s="2" t="n">
        <v>7.8</v>
      </c>
    </row>
    <row r="20">
      <c r="A20" s="2" t="n">
        <v>17</v>
      </c>
      <c r="B20" s="4" t="n">
        <v>46058</v>
      </c>
      <c r="C20" s="2" t="n">
        <v>72</v>
      </c>
      <c r="D20" s="2" t="inlineStr">
        <is>
          <t>Solid Dose Line 2</t>
        </is>
      </c>
      <c r="E20" s="2" t="inlineStr">
        <is>
          <t>Product A</t>
        </is>
      </c>
      <c r="F20" s="2" t="inlineStr">
        <is>
          <t>Process</t>
        </is>
      </c>
      <c r="G20" s="2" t="inlineStr">
        <is>
          <t>Minor</t>
        </is>
      </c>
      <c r="H20" s="2" t="inlineStr">
        <is>
          <t>Closed</t>
        </is>
      </c>
      <c r="I20" s="2" t="n">
        <v>6.6</v>
      </c>
    </row>
    <row r="21">
      <c r="A21" s="2" t="n">
        <v>18</v>
      </c>
      <c r="B21" s="4" t="n">
        <v>46068</v>
      </c>
      <c r="C21" s="2" t="n">
        <v>91</v>
      </c>
      <c r="D21" s="2" t="inlineStr">
        <is>
          <t>Solid Dose Line 1</t>
        </is>
      </c>
      <c r="E21" s="2" t="inlineStr">
        <is>
          <t>Product B</t>
        </is>
      </c>
      <c r="F21" s="2" t="inlineStr">
        <is>
          <t>Equipment</t>
        </is>
      </c>
      <c r="G21" s="2" t="inlineStr">
        <is>
          <t>Minor</t>
        </is>
      </c>
      <c r="H21" s="2" t="inlineStr">
        <is>
          <t>Closed</t>
        </is>
      </c>
      <c r="I21" s="2" t="n">
        <v>7.5</v>
      </c>
    </row>
    <row r="22">
      <c r="A22" s="2" t="n">
        <v>19</v>
      </c>
      <c r="B22" s="4" t="n">
        <v>46073</v>
      </c>
      <c r="C22" s="2" t="n">
        <v>101</v>
      </c>
      <c r="D22" s="2" t="inlineStr">
        <is>
          <t>Solid Dose Line 1</t>
        </is>
      </c>
      <c r="E22" s="2" t="inlineStr">
        <is>
          <t>Product B</t>
        </is>
      </c>
      <c r="F22" s="2" t="inlineStr">
        <is>
          <t>Documentation</t>
        </is>
      </c>
      <c r="G22" s="2" t="inlineStr">
        <is>
          <t>Major</t>
        </is>
      </c>
      <c r="H22" s="2" t="inlineStr">
        <is>
          <t>Closed</t>
        </is>
      </c>
      <c r="I22" s="2" t="n">
        <v>7.9</v>
      </c>
    </row>
    <row r="23">
      <c r="A23" s="2" t="n">
        <v>20</v>
      </c>
      <c r="B23" s="4" t="n">
        <v>46074</v>
      </c>
      <c r="C23" s="2" t="n">
        <v>103</v>
      </c>
      <c r="D23" s="2" t="inlineStr">
        <is>
          <t>Solid Dose Line 1</t>
        </is>
      </c>
      <c r="E23" s="2" t="inlineStr">
        <is>
          <t>Product A</t>
        </is>
      </c>
      <c r="F23" s="2" t="inlineStr">
        <is>
          <t>Documentation</t>
        </is>
      </c>
      <c r="G23" s="2" t="inlineStr">
        <is>
          <t>Critical</t>
        </is>
      </c>
      <c r="H23" s="2" t="inlineStr">
        <is>
          <t>Closed</t>
        </is>
      </c>
      <c r="I23" s="2" t="n">
        <v>5.9</v>
      </c>
    </row>
    <row r="24">
      <c r="A24" s="2" t="n">
        <v>21</v>
      </c>
      <c r="B24" s="4" t="n">
        <v>46074</v>
      </c>
      <c r="C24" s="2" t="n">
        <v>104</v>
      </c>
      <c r="D24" s="2" t="inlineStr">
        <is>
          <t>Solid Dose Line 2</t>
        </is>
      </c>
      <c r="E24" s="2" t="inlineStr">
        <is>
          <t>Product C</t>
        </is>
      </c>
      <c r="F24" s="2" t="inlineStr">
        <is>
          <t>Environmental</t>
        </is>
      </c>
      <c r="G24" s="2" t="inlineStr">
        <is>
          <t>Minor</t>
        </is>
      </c>
      <c r="H24" s="2" t="inlineStr">
        <is>
          <t>Closed</t>
        </is>
      </c>
      <c r="I24" s="2" t="n">
        <v>3.3</v>
      </c>
    </row>
    <row r="25">
      <c r="A25" s="2" t="n">
        <v>22</v>
      </c>
      <c r="B25" s="4" t="n">
        <v>46075</v>
      </c>
      <c r="C25" s="2" t="n">
        <v>106</v>
      </c>
      <c r="D25" s="2" t="inlineStr">
        <is>
          <t>Solid Dose Line 2</t>
        </is>
      </c>
      <c r="E25" s="2" t="inlineStr">
        <is>
          <t>Product B</t>
        </is>
      </c>
      <c r="F25" s="2" t="inlineStr">
        <is>
          <t>Process</t>
        </is>
      </c>
      <c r="G25" s="2" t="inlineStr">
        <is>
          <t>Minor</t>
        </is>
      </c>
      <c r="H25" s="2" t="inlineStr">
        <is>
          <t>Closed</t>
        </is>
      </c>
      <c r="I25" s="2" t="n">
        <v>2.9</v>
      </c>
    </row>
    <row r="26">
      <c r="A26" s="2" t="n">
        <v>23</v>
      </c>
      <c r="B26" s="4" t="n">
        <v>46079</v>
      </c>
      <c r="C26" s="2" t="n">
        <v>113</v>
      </c>
      <c r="D26" s="2" t="inlineStr">
        <is>
          <t>Solid Dose Line 1</t>
        </is>
      </c>
      <c r="E26" s="2" t="inlineStr">
        <is>
          <t>Product A</t>
        </is>
      </c>
      <c r="F26" s="2" t="inlineStr">
        <is>
          <t>Documentation</t>
        </is>
      </c>
      <c r="G26" s="2" t="inlineStr">
        <is>
          <t>Major</t>
        </is>
      </c>
      <c r="H26" s="2" t="inlineStr">
        <is>
          <t>Closed</t>
        </is>
      </c>
      <c r="I26" s="2" t="n">
        <v>1.3</v>
      </c>
    </row>
    <row r="27">
      <c r="A27" s="2" t="n">
        <v>24</v>
      </c>
      <c r="B27" s="4" t="n">
        <v>46079</v>
      </c>
      <c r="C27" s="2" t="n">
        <v>114</v>
      </c>
      <c r="D27" s="2" t="inlineStr">
        <is>
          <t>Solid Dose Line 2</t>
        </is>
      </c>
      <c r="E27" s="2" t="inlineStr">
        <is>
          <t>Product A</t>
        </is>
      </c>
      <c r="F27" s="2" t="inlineStr">
        <is>
          <t>Material</t>
        </is>
      </c>
      <c r="G27" s="2" t="inlineStr">
        <is>
          <t>Minor</t>
        </is>
      </c>
      <c r="H27" s="2" t="inlineStr">
        <is>
          <t>Closed</t>
        </is>
      </c>
      <c r="I27" s="2" t="n">
        <v>7.9</v>
      </c>
    </row>
    <row r="28">
      <c r="A28" s="2" t="n">
        <v>25</v>
      </c>
      <c r="B28" s="4" t="n">
        <v>46080</v>
      </c>
      <c r="C28" s="2" t="n">
        <v>116</v>
      </c>
      <c r="D28" s="2" t="inlineStr">
        <is>
          <t>Solid Dose Line 2</t>
        </is>
      </c>
      <c r="E28" s="2" t="inlineStr">
        <is>
          <t>Product C</t>
        </is>
      </c>
      <c r="F28" s="2" t="inlineStr">
        <is>
          <t>Equipment</t>
        </is>
      </c>
      <c r="G28" s="2" t="inlineStr">
        <is>
          <t>Minor</t>
        </is>
      </c>
      <c r="H28" s="2" t="inlineStr">
        <is>
          <t>Closed</t>
        </is>
      </c>
      <c r="I28" s="2" t="n">
        <v>1.7</v>
      </c>
    </row>
    <row r="29">
      <c r="A29" s="2" t="n">
        <v>26</v>
      </c>
      <c r="B29" s="4" t="n">
        <v>46087</v>
      </c>
      <c r="C29" s="2" t="n">
        <v>129</v>
      </c>
      <c r="D29" s="2" t="inlineStr">
        <is>
          <t>Solid Dose Line 1</t>
        </is>
      </c>
      <c r="E29" s="2" t="inlineStr">
        <is>
          <t>Product C</t>
        </is>
      </c>
      <c r="F29" s="2" t="inlineStr">
        <is>
          <t>Process</t>
        </is>
      </c>
      <c r="G29" s="2" t="inlineStr">
        <is>
          <t>Minor</t>
        </is>
      </c>
      <c r="H29" s="2" t="inlineStr">
        <is>
          <t>Closed</t>
        </is>
      </c>
      <c r="I29" s="2" t="n">
        <v>7.7</v>
      </c>
    </row>
    <row r="30">
      <c r="A30" s="2" t="n">
        <v>27</v>
      </c>
      <c r="B30" s="4" t="n">
        <v>46090</v>
      </c>
      <c r="C30" s="2" t="n">
        <v>136</v>
      </c>
      <c r="D30" s="2" t="inlineStr">
        <is>
          <t>Solid Dose Line 2</t>
        </is>
      </c>
      <c r="E30" s="2" t="inlineStr">
        <is>
          <t>Product C</t>
        </is>
      </c>
      <c r="F30" s="2" t="inlineStr">
        <is>
          <t>Environmental</t>
        </is>
      </c>
      <c r="G30" s="2" t="inlineStr">
        <is>
          <t>Major</t>
        </is>
      </c>
      <c r="H30" s="2" t="inlineStr">
        <is>
          <t>Closed</t>
        </is>
      </c>
      <c r="I30" s="2" t="n">
        <v>3</v>
      </c>
    </row>
    <row r="31">
      <c r="A31" s="2" t="n">
        <v>28</v>
      </c>
      <c r="B31" s="4" t="n">
        <v>46094</v>
      </c>
      <c r="C31" s="2" t="n">
        <v>144</v>
      </c>
      <c r="D31" s="2" t="inlineStr">
        <is>
          <t>Solid Dose Line 2</t>
        </is>
      </c>
      <c r="E31" s="2" t="inlineStr">
        <is>
          <t>Product A</t>
        </is>
      </c>
      <c r="F31" s="2" t="inlineStr">
        <is>
          <t>Equipment</t>
        </is>
      </c>
      <c r="G31" s="2" t="inlineStr">
        <is>
          <t>Minor</t>
        </is>
      </c>
      <c r="H31" s="2" t="inlineStr">
        <is>
          <t>Closed</t>
        </is>
      </c>
      <c r="I31" s="2" t="n">
        <v>2.4</v>
      </c>
    </row>
    <row r="32">
      <c r="A32" s="2" t="n">
        <v>29</v>
      </c>
      <c r="B32" s="4" t="n">
        <v>46095</v>
      </c>
      <c r="C32" s="2" t="n">
        <v>145</v>
      </c>
      <c r="D32" s="2" t="inlineStr">
        <is>
          <t>Solid Dose Line 1</t>
        </is>
      </c>
      <c r="E32" s="2" t="inlineStr">
        <is>
          <t>Product A</t>
        </is>
      </c>
      <c r="F32" s="2" t="inlineStr">
        <is>
          <t>Equipment</t>
        </is>
      </c>
      <c r="G32" s="2" t="inlineStr">
        <is>
          <t>Major</t>
        </is>
      </c>
      <c r="H32" s="2" t="inlineStr">
        <is>
          <t>Closed</t>
        </is>
      </c>
      <c r="I32" s="2" t="n">
        <v>1.4</v>
      </c>
    </row>
    <row r="33">
      <c r="A33" s="2" t="n">
        <v>30</v>
      </c>
      <c r="B33" s="4" t="n">
        <v>46097</v>
      </c>
      <c r="C33" s="2" t="n">
        <v>150</v>
      </c>
      <c r="D33" s="2" t="inlineStr">
        <is>
          <t>Solid Dose Line 2</t>
        </is>
      </c>
      <c r="E33" s="2" t="inlineStr">
        <is>
          <t>Product B</t>
        </is>
      </c>
      <c r="F33" s="2" t="inlineStr">
        <is>
          <t>Equipment</t>
        </is>
      </c>
      <c r="G33" s="2" t="inlineStr">
        <is>
          <t>Minor</t>
        </is>
      </c>
      <c r="H33" s="2" t="inlineStr">
        <is>
          <t>Closed</t>
        </is>
      </c>
      <c r="I33" s="2" t="n">
        <v>1</v>
      </c>
    </row>
    <row r="34">
      <c r="A34" s="2" t="n">
        <v>31</v>
      </c>
      <c r="B34" s="4" t="n">
        <v>46099</v>
      </c>
      <c r="C34" s="2" t="n">
        <v>154</v>
      </c>
      <c r="D34" s="2" t="inlineStr">
        <is>
          <t>Solid Dose Line 2</t>
        </is>
      </c>
      <c r="E34" s="2" t="inlineStr">
        <is>
          <t>Product B</t>
        </is>
      </c>
      <c r="F34" s="2" t="inlineStr">
        <is>
          <t>Process</t>
        </is>
      </c>
      <c r="G34" s="2" t="inlineStr">
        <is>
          <t>Minor</t>
        </is>
      </c>
      <c r="H34" s="2" t="inlineStr">
        <is>
          <t>CAPA Required</t>
        </is>
      </c>
      <c r="I34" s="2" t="n">
        <v>7.9</v>
      </c>
    </row>
    <row r="35">
      <c r="A35" s="2" t="n">
        <v>32</v>
      </c>
      <c r="B35" s="4" t="n">
        <v>46100</v>
      </c>
      <c r="C35" s="2" t="n">
        <v>155</v>
      </c>
      <c r="D35" s="2" t="inlineStr">
        <is>
          <t>Solid Dose Line 1</t>
        </is>
      </c>
      <c r="E35" s="2" t="inlineStr">
        <is>
          <t>Product C</t>
        </is>
      </c>
      <c r="F35" s="2" t="inlineStr">
        <is>
          <t>Documentation</t>
        </is>
      </c>
      <c r="G35" s="2" t="inlineStr">
        <is>
          <t>Minor</t>
        </is>
      </c>
      <c r="H35" s="2" t="inlineStr">
        <is>
          <t>Closed</t>
        </is>
      </c>
      <c r="I35" s="2" t="n">
        <v>6.2</v>
      </c>
    </row>
    <row r="36">
      <c r="A36" s="2" t="n">
        <v>33</v>
      </c>
      <c r="B36" s="4" t="n">
        <v>46102</v>
      </c>
      <c r="C36" s="2" t="n">
        <v>160</v>
      </c>
      <c r="D36" s="2" t="inlineStr">
        <is>
          <t>Solid Dose Line 2</t>
        </is>
      </c>
      <c r="E36" s="2" t="inlineStr">
        <is>
          <t>Product B</t>
        </is>
      </c>
      <c r="F36" s="2" t="inlineStr">
        <is>
          <t>Equipment</t>
        </is>
      </c>
      <c r="G36" s="2" t="inlineStr">
        <is>
          <t>Minor</t>
        </is>
      </c>
      <c r="H36" s="2" t="inlineStr">
        <is>
          <t>Closed</t>
        </is>
      </c>
      <c r="I36" s="2" t="n">
        <v>6.8</v>
      </c>
    </row>
    <row r="37">
      <c r="A37" s="2" t="n">
        <v>34</v>
      </c>
      <c r="B37" s="4" t="n">
        <v>46103</v>
      </c>
      <c r="C37" s="2" t="n">
        <v>161</v>
      </c>
      <c r="D37" s="2" t="inlineStr">
        <is>
          <t>Solid Dose Line 1</t>
        </is>
      </c>
      <c r="E37" s="2" t="inlineStr">
        <is>
          <t>Product A</t>
        </is>
      </c>
      <c r="F37" s="2" t="inlineStr">
        <is>
          <t>Process</t>
        </is>
      </c>
      <c r="G37" s="2" t="inlineStr">
        <is>
          <t>Minor</t>
        </is>
      </c>
      <c r="H37" s="2" t="inlineStr">
        <is>
          <t>Closed</t>
        </is>
      </c>
      <c r="I37" s="2" t="n">
        <v>1.2</v>
      </c>
    </row>
    <row r="38">
      <c r="A38" s="2" t="n">
        <v>35</v>
      </c>
      <c r="B38" s="4" t="n">
        <v>46103</v>
      </c>
      <c r="C38" s="2" t="n">
        <v>162</v>
      </c>
      <c r="D38" s="2" t="inlineStr">
        <is>
          <t>Solid Dose Line 2</t>
        </is>
      </c>
      <c r="E38" s="2" t="inlineStr">
        <is>
          <t>Product A</t>
        </is>
      </c>
      <c r="F38" s="2" t="inlineStr">
        <is>
          <t>Material</t>
        </is>
      </c>
      <c r="G38" s="2" t="inlineStr">
        <is>
          <t>Minor</t>
        </is>
      </c>
      <c r="H38" s="2" t="inlineStr">
        <is>
          <t>Closed</t>
        </is>
      </c>
      <c r="I38" s="2" t="n">
        <v>4.6</v>
      </c>
    </row>
    <row r="39">
      <c r="A39" s="2" t="n">
        <v>36</v>
      </c>
      <c r="B39" s="4" t="n">
        <v>46104</v>
      </c>
      <c r="C39" s="2" t="n">
        <v>163</v>
      </c>
      <c r="D39" s="2" t="inlineStr">
        <is>
          <t>Solid Dose Line 1</t>
        </is>
      </c>
      <c r="E39" s="2" t="inlineStr">
        <is>
          <t>Product B</t>
        </is>
      </c>
      <c r="F39" s="2" t="inlineStr">
        <is>
          <t>Equipment</t>
        </is>
      </c>
      <c r="G39" s="2" t="inlineStr">
        <is>
          <t>Minor</t>
        </is>
      </c>
      <c r="H39" s="2" t="inlineStr">
        <is>
          <t>Closed</t>
        </is>
      </c>
      <c r="I39" s="2" t="n">
        <v>6.9</v>
      </c>
    </row>
    <row r="40">
      <c r="A40" s="2" t="n">
        <v>37</v>
      </c>
      <c r="B40" s="4" t="n">
        <v>46106</v>
      </c>
      <c r="C40" s="2" t="n">
        <v>167</v>
      </c>
      <c r="D40" s="2" t="inlineStr">
        <is>
          <t>Solid Dose Line 1</t>
        </is>
      </c>
      <c r="E40" s="2" t="inlineStr">
        <is>
          <t>Product B</t>
        </is>
      </c>
      <c r="F40" s="2" t="inlineStr">
        <is>
          <t>Process</t>
        </is>
      </c>
      <c r="G40" s="2" t="inlineStr">
        <is>
          <t>Minor</t>
        </is>
      </c>
      <c r="H40" s="2" t="inlineStr">
        <is>
          <t>Closed</t>
        </is>
      </c>
      <c r="I40" s="2" t="n">
        <v>1</v>
      </c>
    </row>
    <row r="41">
      <c r="A41" s="2" t="n">
        <v>38</v>
      </c>
      <c r="B41" s="4" t="n">
        <v>46106</v>
      </c>
      <c r="C41" s="2" t="n">
        <v>168</v>
      </c>
      <c r="D41" s="2" t="inlineStr">
        <is>
          <t>Solid Dose Line 2</t>
        </is>
      </c>
      <c r="E41" s="2" t="inlineStr">
        <is>
          <t>Product A</t>
        </is>
      </c>
      <c r="F41" s="2" t="inlineStr">
        <is>
          <t>Material</t>
        </is>
      </c>
      <c r="G41" s="2" t="inlineStr">
        <is>
          <t>Minor</t>
        </is>
      </c>
      <c r="H41" s="2" t="inlineStr">
        <is>
          <t>Closed</t>
        </is>
      </c>
      <c r="I41" s="2" t="n">
        <v>3</v>
      </c>
    </row>
    <row r="42">
      <c r="A42" s="2" t="n">
        <v>39</v>
      </c>
      <c r="B42" s="4" t="n">
        <v>46108</v>
      </c>
      <c r="C42" s="2" t="n">
        <v>172</v>
      </c>
      <c r="D42" s="2" t="inlineStr">
        <is>
          <t>Solid Dose Line 2</t>
        </is>
      </c>
      <c r="E42" s="2" t="inlineStr">
        <is>
          <t>Product A</t>
        </is>
      </c>
      <c r="F42" s="2" t="inlineStr">
        <is>
          <t>Process</t>
        </is>
      </c>
      <c r="G42" s="2" t="inlineStr">
        <is>
          <t>Minor</t>
        </is>
      </c>
      <c r="H42" s="2" t="inlineStr">
        <is>
          <t>Closed</t>
        </is>
      </c>
      <c r="I42" s="2" t="n">
        <v>6</v>
      </c>
    </row>
    <row r="43">
      <c r="A43" s="2" t="n">
        <v>40</v>
      </c>
      <c r="B43" s="4" t="n">
        <v>46110</v>
      </c>
      <c r="C43" s="2" t="n">
        <v>175</v>
      </c>
      <c r="D43" s="2" t="inlineStr">
        <is>
          <t>Solid Dose Line 1</t>
        </is>
      </c>
      <c r="E43" s="2" t="inlineStr">
        <is>
          <t>Product B</t>
        </is>
      </c>
      <c r="F43" s="2" t="inlineStr">
        <is>
          <t>Process</t>
        </is>
      </c>
      <c r="G43" s="2" t="inlineStr">
        <is>
          <t>Minor</t>
        </is>
      </c>
      <c r="H43" s="2" t="inlineStr">
        <is>
          <t>Closed</t>
        </is>
      </c>
      <c r="I43" s="2" t="n">
        <v>2.2</v>
      </c>
    </row>
    <row r="44">
      <c r="A44" s="2" t="n">
        <v>41</v>
      </c>
      <c r="B44" s="4" t="n">
        <v>46111</v>
      </c>
      <c r="C44" s="2" t="n">
        <v>178</v>
      </c>
      <c r="D44" s="2" t="inlineStr">
        <is>
          <t>Solid Dose Line 2</t>
        </is>
      </c>
      <c r="E44" s="2" t="inlineStr">
        <is>
          <t>Product B</t>
        </is>
      </c>
      <c r="F44" s="2" t="inlineStr">
        <is>
          <t>Process</t>
        </is>
      </c>
      <c r="G44" s="2" t="inlineStr">
        <is>
          <t>Minor</t>
        </is>
      </c>
      <c r="H44" s="2" t="inlineStr">
        <is>
          <t>Closed</t>
        </is>
      </c>
      <c r="I44" s="2" t="n">
        <v>2.5</v>
      </c>
    </row>
    <row r="45">
      <c r="A45" s="2" t="n">
        <v>42</v>
      </c>
      <c r="B45" s="4" t="n">
        <v>46118</v>
      </c>
      <c r="C45" s="2" t="n">
        <v>191</v>
      </c>
      <c r="D45" s="2" t="inlineStr">
        <is>
          <t>Solid Dose Line 1</t>
        </is>
      </c>
      <c r="E45" s="2" t="inlineStr">
        <is>
          <t>Product B</t>
        </is>
      </c>
      <c r="F45" s="2" t="inlineStr">
        <is>
          <t>Documentation</t>
        </is>
      </c>
      <c r="G45" s="2" t="inlineStr">
        <is>
          <t>Minor</t>
        </is>
      </c>
      <c r="H45" s="2" t="inlineStr">
        <is>
          <t>Closed</t>
        </is>
      </c>
      <c r="I45" s="2" t="n">
        <v>6.2</v>
      </c>
    </row>
    <row r="46">
      <c r="A46" s="2" t="n">
        <v>43</v>
      </c>
      <c r="B46" s="4" t="n">
        <v>46119</v>
      </c>
      <c r="C46" s="2" t="n">
        <v>193</v>
      </c>
      <c r="D46" s="2" t="inlineStr">
        <is>
          <t>Solid Dose Line 1</t>
        </is>
      </c>
      <c r="E46" s="2" t="inlineStr">
        <is>
          <t>Product B</t>
        </is>
      </c>
      <c r="F46" s="2" t="inlineStr">
        <is>
          <t>Material</t>
        </is>
      </c>
      <c r="G46" s="2" t="inlineStr">
        <is>
          <t>Minor</t>
        </is>
      </c>
      <c r="H46" s="2" t="inlineStr">
        <is>
          <t>Closed</t>
        </is>
      </c>
      <c r="I46" s="2" t="n">
        <v>6.4</v>
      </c>
    </row>
    <row r="47">
      <c r="A47" s="2" t="n">
        <v>44</v>
      </c>
      <c r="B47" s="4" t="n">
        <v>46124</v>
      </c>
      <c r="C47" s="2" t="n">
        <v>204</v>
      </c>
      <c r="D47" s="2" t="inlineStr">
        <is>
          <t>Solid Dose Line 2</t>
        </is>
      </c>
      <c r="E47" s="2" t="inlineStr">
        <is>
          <t>Product B</t>
        </is>
      </c>
      <c r="F47" s="2" t="inlineStr">
        <is>
          <t>Material</t>
        </is>
      </c>
      <c r="G47" s="2" t="inlineStr">
        <is>
          <t>Minor</t>
        </is>
      </c>
      <c r="H47" s="2" t="inlineStr">
        <is>
          <t>Closed</t>
        </is>
      </c>
      <c r="I47" s="2" t="n">
        <v>3.4</v>
      </c>
    </row>
    <row r="48">
      <c r="A48" s="2" t="n">
        <v>45</v>
      </c>
      <c r="B48" s="4" t="n">
        <v>46125</v>
      </c>
      <c r="C48" s="2" t="n">
        <v>205</v>
      </c>
      <c r="D48" s="2" t="inlineStr">
        <is>
          <t>Solid Dose Line 1</t>
        </is>
      </c>
      <c r="E48" s="2" t="inlineStr">
        <is>
          <t>Product B</t>
        </is>
      </c>
      <c r="F48" s="2" t="inlineStr">
        <is>
          <t>Documentation</t>
        </is>
      </c>
      <c r="G48" s="2" t="inlineStr">
        <is>
          <t>Minor</t>
        </is>
      </c>
      <c r="H48" s="2" t="inlineStr">
        <is>
          <t>Closed</t>
        </is>
      </c>
      <c r="I48" s="2" t="n">
        <v>6.7</v>
      </c>
    </row>
    <row r="49">
      <c r="A49" s="2" t="n">
        <v>46</v>
      </c>
      <c r="B49" s="4" t="n">
        <v>46125</v>
      </c>
      <c r="C49" s="2" t="n">
        <v>206</v>
      </c>
      <c r="D49" s="2" t="inlineStr">
        <is>
          <t>Solid Dose Line 2</t>
        </is>
      </c>
      <c r="E49" s="2" t="inlineStr">
        <is>
          <t>Product A</t>
        </is>
      </c>
      <c r="F49" s="2" t="inlineStr">
        <is>
          <t>Equipment</t>
        </is>
      </c>
      <c r="G49" s="2" t="inlineStr">
        <is>
          <t>Minor</t>
        </is>
      </c>
      <c r="H49" s="2" t="inlineStr">
        <is>
          <t>Closed</t>
        </is>
      </c>
      <c r="I49" s="2" t="n">
        <v>2.5</v>
      </c>
    </row>
    <row r="50">
      <c r="A50" s="2" t="n">
        <v>47</v>
      </c>
      <c r="B50" s="4" t="n">
        <v>46126</v>
      </c>
      <c r="C50" s="2" t="n">
        <v>207</v>
      </c>
      <c r="D50" s="2" t="inlineStr">
        <is>
          <t>Solid Dose Line 1</t>
        </is>
      </c>
      <c r="E50" s="2" t="inlineStr">
        <is>
          <t>Product A</t>
        </is>
      </c>
      <c r="F50" s="2" t="inlineStr">
        <is>
          <t>Documentation</t>
        </is>
      </c>
      <c r="G50" s="2" t="inlineStr">
        <is>
          <t>Minor</t>
        </is>
      </c>
      <c r="H50" s="2" t="inlineStr">
        <is>
          <t>Closed</t>
        </is>
      </c>
      <c r="I50" s="2" t="n">
        <v>2.5</v>
      </c>
    </row>
    <row r="51">
      <c r="A51" s="2" t="n">
        <v>48</v>
      </c>
      <c r="B51" s="4" t="n">
        <v>46127</v>
      </c>
      <c r="C51" s="2" t="n">
        <v>210</v>
      </c>
      <c r="D51" s="2" t="inlineStr">
        <is>
          <t>Solid Dose Line 2</t>
        </is>
      </c>
      <c r="E51" s="2" t="inlineStr">
        <is>
          <t>Product B</t>
        </is>
      </c>
      <c r="F51" s="2" t="inlineStr">
        <is>
          <t>Documentation</t>
        </is>
      </c>
      <c r="G51" s="2" t="inlineStr">
        <is>
          <t>Major</t>
        </is>
      </c>
      <c r="H51" s="2" t="inlineStr">
        <is>
          <t>Closed</t>
        </is>
      </c>
      <c r="I51" s="2" t="n">
        <v>3</v>
      </c>
    </row>
    <row r="52">
      <c r="A52" s="2" t="n">
        <v>49</v>
      </c>
      <c r="B52" s="4" t="n">
        <v>46128</v>
      </c>
      <c r="C52" s="2" t="n">
        <v>212</v>
      </c>
      <c r="D52" s="2" t="inlineStr">
        <is>
          <t>Solid Dose Line 2</t>
        </is>
      </c>
      <c r="E52" s="2" t="inlineStr">
        <is>
          <t>Product A</t>
        </is>
      </c>
      <c r="F52" s="2" t="inlineStr">
        <is>
          <t>Equipment</t>
        </is>
      </c>
      <c r="G52" s="2" t="inlineStr">
        <is>
          <t>Minor</t>
        </is>
      </c>
      <c r="H52" s="2" t="inlineStr">
        <is>
          <t>Closed</t>
        </is>
      </c>
      <c r="I52" s="2" t="n">
        <v>7.7</v>
      </c>
    </row>
    <row r="53">
      <c r="A53" s="2" t="n">
        <v>50</v>
      </c>
      <c r="B53" s="4" t="n">
        <v>46132</v>
      </c>
      <c r="C53" s="2" t="n">
        <v>219</v>
      </c>
      <c r="D53" s="2" t="inlineStr">
        <is>
          <t>Solid Dose Line 1</t>
        </is>
      </c>
      <c r="E53" s="2" t="inlineStr">
        <is>
          <t>Product B</t>
        </is>
      </c>
      <c r="F53" s="2" t="inlineStr">
        <is>
          <t>Equipment</t>
        </is>
      </c>
      <c r="G53" s="2" t="inlineStr">
        <is>
          <t>Minor</t>
        </is>
      </c>
      <c r="H53" s="2" t="inlineStr">
        <is>
          <t>Closed</t>
        </is>
      </c>
      <c r="I53" s="2" t="n">
        <v>1.7</v>
      </c>
    </row>
    <row r="54">
      <c r="A54" s="2" t="n">
        <v>51</v>
      </c>
      <c r="B54" s="4" t="n">
        <v>46133</v>
      </c>
      <c r="C54" s="2" t="n">
        <v>222</v>
      </c>
      <c r="D54" s="2" t="inlineStr">
        <is>
          <t>Solid Dose Line 2</t>
        </is>
      </c>
      <c r="E54" s="2" t="inlineStr">
        <is>
          <t>Product B</t>
        </is>
      </c>
      <c r="F54" s="2" t="inlineStr">
        <is>
          <t>Documentation</t>
        </is>
      </c>
      <c r="G54" s="2" t="inlineStr">
        <is>
          <t>Minor</t>
        </is>
      </c>
      <c r="H54" s="2" t="inlineStr">
        <is>
          <t>Closed</t>
        </is>
      </c>
      <c r="I54" s="2" t="n">
        <v>4.3</v>
      </c>
    </row>
    <row r="55">
      <c r="A55" s="2" t="n">
        <v>52</v>
      </c>
      <c r="B55" s="4" t="n">
        <v>46135</v>
      </c>
      <c r="C55" s="2" t="n">
        <v>225</v>
      </c>
      <c r="D55" s="2" t="inlineStr">
        <is>
          <t>Solid Dose Line 1</t>
        </is>
      </c>
      <c r="E55" s="2" t="inlineStr">
        <is>
          <t>Product B</t>
        </is>
      </c>
      <c r="F55" s="2" t="inlineStr">
        <is>
          <t>Equipment</t>
        </is>
      </c>
      <c r="G55" s="2" t="inlineStr">
        <is>
          <t>Minor</t>
        </is>
      </c>
      <c r="H55" s="2" t="inlineStr">
        <is>
          <t>Closed</t>
        </is>
      </c>
      <c r="I55" s="2" t="n">
        <v>2.4</v>
      </c>
    </row>
    <row r="56">
      <c r="A56" s="2" t="n">
        <v>53</v>
      </c>
      <c r="B56" s="4" t="n">
        <v>46136</v>
      </c>
      <c r="C56" s="2" t="n">
        <v>227</v>
      </c>
      <c r="D56" s="2" t="inlineStr">
        <is>
          <t>Solid Dose Line 1</t>
        </is>
      </c>
      <c r="E56" s="2" t="inlineStr">
        <is>
          <t>Product C</t>
        </is>
      </c>
      <c r="F56" s="2" t="inlineStr">
        <is>
          <t>Material</t>
        </is>
      </c>
      <c r="G56" s="2" t="inlineStr">
        <is>
          <t>Minor</t>
        </is>
      </c>
      <c r="H56" s="2" t="inlineStr">
        <is>
          <t>Closed</t>
        </is>
      </c>
      <c r="I56" s="2" t="n">
        <v>7.6</v>
      </c>
    </row>
    <row r="57">
      <c r="A57" s="2" t="n">
        <v>54</v>
      </c>
      <c r="B57" s="4" t="n">
        <v>46137</v>
      </c>
      <c r="C57" s="2" t="n">
        <v>229</v>
      </c>
      <c r="D57" s="2" t="inlineStr">
        <is>
          <t>Solid Dose Line 1</t>
        </is>
      </c>
      <c r="E57" s="2" t="inlineStr">
        <is>
          <t>Product C</t>
        </is>
      </c>
      <c r="F57" s="2" t="inlineStr">
        <is>
          <t>Equipment</t>
        </is>
      </c>
      <c r="G57" s="2" t="inlineStr">
        <is>
          <t>Minor</t>
        </is>
      </c>
      <c r="H57" s="2" t="inlineStr">
        <is>
          <t>Closed</t>
        </is>
      </c>
      <c r="I57" s="2" t="n">
        <v>1.5</v>
      </c>
    </row>
    <row r="58">
      <c r="A58" s="2" t="n">
        <v>55</v>
      </c>
      <c r="B58" s="4" t="n">
        <v>46138</v>
      </c>
      <c r="C58" s="2" t="n">
        <v>231</v>
      </c>
      <c r="D58" s="2" t="inlineStr">
        <is>
          <t>Solid Dose Line 1</t>
        </is>
      </c>
      <c r="E58" s="2" t="inlineStr">
        <is>
          <t>Product B</t>
        </is>
      </c>
      <c r="F58" s="2" t="inlineStr">
        <is>
          <t>Equipment</t>
        </is>
      </c>
      <c r="G58" s="2" t="inlineStr">
        <is>
          <t>Minor</t>
        </is>
      </c>
      <c r="H58" s="2" t="inlineStr">
        <is>
          <t>Closed</t>
        </is>
      </c>
      <c r="I58" s="2" t="n">
        <v>7.3</v>
      </c>
    </row>
    <row r="59">
      <c r="A59" s="2" t="n">
        <v>56</v>
      </c>
      <c r="B59" s="4" t="n">
        <v>46138</v>
      </c>
      <c r="C59" s="2" t="n">
        <v>232</v>
      </c>
      <c r="D59" s="2" t="inlineStr">
        <is>
          <t>Solid Dose Line 2</t>
        </is>
      </c>
      <c r="E59" s="2" t="inlineStr">
        <is>
          <t>Product A</t>
        </is>
      </c>
      <c r="F59" s="2" t="inlineStr">
        <is>
          <t>Process</t>
        </is>
      </c>
      <c r="G59" s="2" t="inlineStr">
        <is>
          <t>Minor</t>
        </is>
      </c>
      <c r="H59" s="2" t="inlineStr">
        <is>
          <t>Closed</t>
        </is>
      </c>
      <c r="I59" s="2" t="n">
        <v>1.3</v>
      </c>
    </row>
    <row r="60">
      <c r="A60" s="2" t="n">
        <v>57</v>
      </c>
      <c r="B60" s="4" t="n">
        <v>46140</v>
      </c>
      <c r="C60" s="2" t="n">
        <v>236</v>
      </c>
      <c r="D60" s="2" t="inlineStr">
        <is>
          <t>Solid Dose Line 2</t>
        </is>
      </c>
      <c r="E60" s="2" t="inlineStr">
        <is>
          <t>Product B</t>
        </is>
      </c>
      <c r="F60" s="2" t="inlineStr">
        <is>
          <t>Process</t>
        </is>
      </c>
      <c r="G60" s="2" t="inlineStr">
        <is>
          <t>Minor</t>
        </is>
      </c>
      <c r="H60" s="2" t="inlineStr">
        <is>
          <t>Closed</t>
        </is>
      </c>
      <c r="I60" s="2" t="n">
        <v>2.1</v>
      </c>
    </row>
    <row r="61">
      <c r="A61" s="2" t="n">
        <v>58</v>
      </c>
      <c r="B61" s="4" t="n">
        <v>46141</v>
      </c>
      <c r="C61" s="2" t="n">
        <v>238</v>
      </c>
      <c r="D61" s="2" t="inlineStr">
        <is>
          <t>Solid Dose Line 2</t>
        </is>
      </c>
      <c r="E61" s="2" t="inlineStr">
        <is>
          <t>Product A</t>
        </is>
      </c>
      <c r="F61" s="2" t="inlineStr">
        <is>
          <t>Equipment</t>
        </is>
      </c>
      <c r="G61" s="2" t="inlineStr">
        <is>
          <t>Critical</t>
        </is>
      </c>
      <c r="H61" s="2" t="inlineStr">
        <is>
          <t>Closed</t>
        </is>
      </c>
      <c r="I61" s="2" t="n">
        <v>2.8</v>
      </c>
    </row>
    <row r="62">
      <c r="A62" s="2" t="n">
        <v>59</v>
      </c>
      <c r="B62" s="4" t="n">
        <v>46142</v>
      </c>
      <c r="C62" s="2" t="n">
        <v>240</v>
      </c>
      <c r="D62" s="2" t="inlineStr">
        <is>
          <t>Solid Dose Line 2</t>
        </is>
      </c>
      <c r="E62" s="2" t="inlineStr">
        <is>
          <t>Product B</t>
        </is>
      </c>
      <c r="F62" s="2" t="inlineStr">
        <is>
          <t>Documentation</t>
        </is>
      </c>
      <c r="G62" s="2" t="inlineStr">
        <is>
          <t>Minor</t>
        </is>
      </c>
      <c r="H62" s="2" t="inlineStr">
        <is>
          <t>Closed</t>
        </is>
      </c>
      <c r="I62" s="2" t="n">
        <v>3.2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>
      <c r="A1" s="1" t="inlineStr">
        <is>
          <t>MAINTENANCE EVENT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Maintenance_ID</t>
        </is>
      </c>
      <c r="B3" s="3" t="inlineStr">
        <is>
          <t>Date</t>
        </is>
      </c>
      <c r="C3" s="3" t="inlineStr">
        <is>
          <t>Batch_ID</t>
        </is>
      </c>
      <c r="D3" s="3" t="inlineStr">
        <is>
          <t>Production_Line</t>
        </is>
      </c>
      <c r="E3" s="3" t="inlineStr">
        <is>
          <t>Product</t>
        </is>
      </c>
      <c r="F3" s="3" t="inlineStr">
        <is>
          <t>Maintenance_Type</t>
        </is>
      </c>
      <c r="G3" s="3" t="inlineStr">
        <is>
          <t>Downtime_hr</t>
        </is>
      </c>
      <c r="H3" s="3" t="inlineStr">
        <is>
          <t>Technician_Hours</t>
        </is>
      </c>
      <c r="I3" s="3" t="inlineStr">
        <is>
          <t>Maintenance_Cost_USD</t>
        </is>
      </c>
      <c r="J3" s="3" t="inlineStr">
        <is>
          <t>Status</t>
        </is>
      </c>
    </row>
    <row r="4">
      <c r="A4" s="2" t="n">
        <v>1</v>
      </c>
      <c r="B4" s="4" t="n">
        <v>46023</v>
      </c>
      <c r="C4" s="2" t="n">
        <v>2</v>
      </c>
      <c r="D4" s="2" t="inlineStr">
        <is>
          <t>Solid Dose Line 2</t>
        </is>
      </c>
      <c r="E4" s="2" t="inlineStr">
        <is>
          <t>Product B</t>
        </is>
      </c>
      <c r="F4" s="2" t="inlineStr">
        <is>
          <t>Preventive</t>
        </is>
      </c>
      <c r="G4" s="2" t="n">
        <v>0.45</v>
      </c>
      <c r="H4" s="2" t="n">
        <v>7.3</v>
      </c>
      <c r="I4" s="2" t="n">
        <v>267.41</v>
      </c>
      <c r="J4" s="2" t="inlineStr">
        <is>
          <t>Completed</t>
        </is>
      </c>
    </row>
    <row r="5">
      <c r="A5" s="2" t="n">
        <v>2</v>
      </c>
      <c r="B5" s="4" t="n">
        <v>46028</v>
      </c>
      <c r="C5" s="2" t="n">
        <v>12</v>
      </c>
      <c r="D5" s="2" t="inlineStr">
        <is>
          <t>Solid Dose Line 2</t>
        </is>
      </c>
      <c r="E5" s="2" t="inlineStr">
        <is>
          <t>Product C</t>
        </is>
      </c>
      <c r="F5" s="2" t="inlineStr">
        <is>
          <t>Preventive</t>
        </is>
      </c>
      <c r="G5" s="2" t="n">
        <v>1.63</v>
      </c>
      <c r="H5" s="2" t="n">
        <v>4.3</v>
      </c>
      <c r="I5" s="2" t="n">
        <v>415.95</v>
      </c>
      <c r="J5" s="2" t="inlineStr">
        <is>
          <t>Completed</t>
        </is>
      </c>
    </row>
    <row r="6">
      <c r="A6" s="2" t="n">
        <v>3</v>
      </c>
      <c r="B6" s="4" t="n">
        <v>46029</v>
      </c>
      <c r="C6" s="2" t="n">
        <v>14</v>
      </c>
      <c r="D6" s="2" t="inlineStr">
        <is>
          <t>Solid Dose Line 2</t>
        </is>
      </c>
      <c r="E6" s="2" t="inlineStr">
        <is>
          <t>Product A</t>
        </is>
      </c>
      <c r="F6" s="2" t="inlineStr">
        <is>
          <t>Preventive</t>
        </is>
      </c>
      <c r="G6" s="2" t="n">
        <v>0.61</v>
      </c>
      <c r="H6" s="2" t="n">
        <v>13.6</v>
      </c>
      <c r="I6" s="2" t="n">
        <v>341.27</v>
      </c>
      <c r="J6" s="2" t="inlineStr">
        <is>
          <t>Completed</t>
        </is>
      </c>
    </row>
    <row r="7">
      <c r="A7" s="2" t="n">
        <v>4</v>
      </c>
      <c r="B7" s="4" t="n">
        <v>46030</v>
      </c>
      <c r="C7" s="2" t="n">
        <v>15</v>
      </c>
      <c r="D7" s="2" t="inlineStr">
        <is>
          <t>Solid Dose Line 1</t>
        </is>
      </c>
      <c r="E7" s="2" t="inlineStr">
        <is>
          <t>Product C</t>
        </is>
      </c>
      <c r="F7" s="2" t="inlineStr">
        <is>
          <t>Preventive</t>
        </is>
      </c>
      <c r="G7" s="2" t="n">
        <v>2.43</v>
      </c>
      <c r="H7" s="2" t="n">
        <v>7.5</v>
      </c>
      <c r="I7" s="2" t="n">
        <v>193.89</v>
      </c>
      <c r="J7" s="2" t="inlineStr">
        <is>
          <t>Completed</t>
        </is>
      </c>
    </row>
    <row r="8">
      <c r="A8" s="2" t="n">
        <v>5</v>
      </c>
      <c r="B8" s="4" t="n">
        <v>46033</v>
      </c>
      <c r="C8" s="2" t="n">
        <v>21</v>
      </c>
      <c r="D8" s="2" t="inlineStr">
        <is>
          <t>Solid Dose Line 1</t>
        </is>
      </c>
      <c r="E8" s="2" t="inlineStr">
        <is>
          <t>Product A</t>
        </is>
      </c>
      <c r="F8" s="2" t="inlineStr">
        <is>
          <t>Preventive</t>
        </is>
      </c>
      <c r="G8" s="2" t="n">
        <v>2.4</v>
      </c>
      <c r="H8" s="2" t="n">
        <v>11.1</v>
      </c>
      <c r="I8" s="2" t="n">
        <v>428.9</v>
      </c>
      <c r="J8" s="2" t="inlineStr">
        <is>
          <t>Completed</t>
        </is>
      </c>
    </row>
    <row r="9">
      <c r="A9" s="2" t="n">
        <v>6</v>
      </c>
      <c r="B9" s="4" t="n">
        <v>46035</v>
      </c>
      <c r="C9" s="2" t="n">
        <v>25</v>
      </c>
      <c r="D9" s="2" t="inlineStr">
        <is>
          <t>Solid Dose Line 1</t>
        </is>
      </c>
      <c r="E9" s="2" t="inlineStr">
        <is>
          <t>Product B</t>
        </is>
      </c>
      <c r="F9" s="2" t="inlineStr">
        <is>
          <t>Preventive</t>
        </is>
      </c>
      <c r="G9" s="2" t="n">
        <v>0.96</v>
      </c>
      <c r="H9" s="2" t="n">
        <v>15</v>
      </c>
      <c r="I9" s="2" t="n">
        <v>444.21</v>
      </c>
      <c r="J9" s="2" t="inlineStr">
        <is>
          <t>Completed</t>
        </is>
      </c>
    </row>
    <row r="10">
      <c r="A10" s="2" t="n">
        <v>7</v>
      </c>
      <c r="B10" s="4" t="n">
        <v>46037</v>
      </c>
      <c r="C10" s="2" t="n">
        <v>29</v>
      </c>
      <c r="D10" s="2" t="inlineStr">
        <is>
          <t>Solid Dose Line 1</t>
        </is>
      </c>
      <c r="E10" s="2" t="inlineStr">
        <is>
          <t>Product C</t>
        </is>
      </c>
      <c r="F10" s="2" t="inlineStr">
        <is>
          <t>Corrective</t>
        </is>
      </c>
      <c r="G10" s="2" t="n">
        <v>0.78</v>
      </c>
      <c r="H10" s="2" t="n">
        <v>2.4</v>
      </c>
      <c r="I10" s="2" t="n">
        <v>547.34</v>
      </c>
      <c r="J10" s="2" t="inlineStr">
        <is>
          <t>Completed</t>
        </is>
      </c>
    </row>
    <row r="11">
      <c r="A11" s="2" t="n">
        <v>8</v>
      </c>
      <c r="B11" s="4" t="n">
        <v>46038</v>
      </c>
      <c r="C11" s="2" t="n">
        <v>32</v>
      </c>
      <c r="D11" s="2" t="inlineStr">
        <is>
          <t>Solid Dose Line 2</t>
        </is>
      </c>
      <c r="E11" s="2" t="inlineStr">
        <is>
          <t>Product B</t>
        </is>
      </c>
      <c r="F11" s="2" t="inlineStr">
        <is>
          <t>Corrective</t>
        </is>
      </c>
      <c r="G11" s="2" t="n">
        <v>3.87</v>
      </c>
      <c r="H11" s="2" t="n">
        <v>6.5</v>
      </c>
      <c r="I11" s="2" t="n">
        <v>1040.28</v>
      </c>
      <c r="J11" s="2" t="inlineStr">
        <is>
          <t>Completed</t>
        </is>
      </c>
    </row>
    <row r="12">
      <c r="A12" s="2" t="n">
        <v>9</v>
      </c>
      <c r="B12" s="4" t="n">
        <v>46041</v>
      </c>
      <c r="C12" s="2" t="n">
        <v>37</v>
      </c>
      <c r="D12" s="2" t="inlineStr">
        <is>
          <t>Solid Dose Line 1</t>
        </is>
      </c>
      <c r="E12" s="2" t="inlineStr">
        <is>
          <t>Product B</t>
        </is>
      </c>
      <c r="F12" s="2" t="inlineStr">
        <is>
          <t>Corrective</t>
        </is>
      </c>
      <c r="G12" s="2" t="n">
        <v>0.99</v>
      </c>
      <c r="H12" s="2" t="n">
        <v>11.8</v>
      </c>
      <c r="I12" s="2" t="n">
        <v>833.76</v>
      </c>
      <c r="J12" s="2" t="inlineStr">
        <is>
          <t>Completed</t>
        </is>
      </c>
    </row>
    <row r="13">
      <c r="A13" s="2" t="n">
        <v>10</v>
      </c>
      <c r="B13" s="4" t="n">
        <v>46042</v>
      </c>
      <c r="C13" s="2" t="n">
        <v>40</v>
      </c>
      <c r="D13" s="2" t="inlineStr">
        <is>
          <t>Solid Dose Line 2</t>
        </is>
      </c>
      <c r="E13" s="2" t="inlineStr">
        <is>
          <t>Product A</t>
        </is>
      </c>
      <c r="F13" s="2" t="inlineStr">
        <is>
          <t>Preventive</t>
        </is>
      </c>
      <c r="G13" s="2" t="n">
        <v>1.93</v>
      </c>
      <c r="H13" s="2" t="n">
        <v>4.1</v>
      </c>
      <c r="I13" s="2" t="n">
        <v>199.51</v>
      </c>
      <c r="J13" s="2" t="inlineStr">
        <is>
          <t>Completed</t>
        </is>
      </c>
    </row>
    <row r="14">
      <c r="A14" s="2" t="n">
        <v>11</v>
      </c>
      <c r="B14" s="4" t="n">
        <v>46045</v>
      </c>
      <c r="C14" s="2" t="n">
        <v>45</v>
      </c>
      <c r="D14" s="2" t="inlineStr">
        <is>
          <t>Solid Dose Line 1</t>
        </is>
      </c>
      <c r="E14" s="2" t="inlineStr">
        <is>
          <t>Product A</t>
        </is>
      </c>
      <c r="F14" s="2" t="inlineStr">
        <is>
          <t>Emergency</t>
        </is>
      </c>
      <c r="G14" s="2" t="n">
        <v>3.82</v>
      </c>
      <c r="H14" s="2" t="n">
        <v>10</v>
      </c>
      <c r="I14" s="2" t="n">
        <v>1420.77</v>
      </c>
      <c r="J14" s="2" t="inlineStr">
        <is>
          <t>Completed</t>
        </is>
      </c>
    </row>
    <row r="15">
      <c r="A15" s="2" t="n">
        <v>12</v>
      </c>
      <c r="B15" s="4" t="n">
        <v>46046</v>
      </c>
      <c r="C15" s="2" t="n">
        <v>47</v>
      </c>
      <c r="D15" s="2" t="inlineStr">
        <is>
          <t>Solid Dose Line 1</t>
        </is>
      </c>
      <c r="E15" s="2" t="inlineStr">
        <is>
          <t>Product A</t>
        </is>
      </c>
      <c r="F15" s="2" t="inlineStr">
        <is>
          <t>Emergency</t>
        </is>
      </c>
      <c r="G15" s="2" t="n">
        <v>1.07</v>
      </c>
      <c r="H15" s="2" t="n">
        <v>8.1</v>
      </c>
      <c r="I15" s="2" t="n">
        <v>1405.36</v>
      </c>
      <c r="J15" s="2" t="inlineStr">
        <is>
          <t>Completed</t>
        </is>
      </c>
    </row>
    <row r="16">
      <c r="A16" s="2" t="n">
        <v>13</v>
      </c>
      <c r="B16" s="4" t="n">
        <v>46047</v>
      </c>
      <c r="C16" s="2" t="n">
        <v>50</v>
      </c>
      <c r="D16" s="2" t="inlineStr">
        <is>
          <t>Solid Dose Line 2</t>
        </is>
      </c>
      <c r="E16" s="2" t="inlineStr">
        <is>
          <t>Product B</t>
        </is>
      </c>
      <c r="F16" s="2" t="inlineStr">
        <is>
          <t>Corrective</t>
        </is>
      </c>
      <c r="G16" s="2" t="n">
        <v>2.83</v>
      </c>
      <c r="H16" s="2" t="n">
        <v>5.6</v>
      </c>
      <c r="I16" s="2" t="n">
        <v>613.61</v>
      </c>
      <c r="J16" s="2" t="inlineStr">
        <is>
          <t>Completed</t>
        </is>
      </c>
    </row>
    <row r="17">
      <c r="A17" s="2" t="n">
        <v>14</v>
      </c>
      <c r="B17" s="4" t="n">
        <v>46048</v>
      </c>
      <c r="C17" s="2" t="n">
        <v>51</v>
      </c>
      <c r="D17" s="2" t="inlineStr">
        <is>
          <t>Solid Dose Line 1</t>
        </is>
      </c>
      <c r="E17" s="2" t="inlineStr">
        <is>
          <t>Product B</t>
        </is>
      </c>
      <c r="F17" s="2" t="inlineStr">
        <is>
          <t>Preventive</t>
        </is>
      </c>
      <c r="G17" s="2" t="n">
        <v>1.22</v>
      </c>
      <c r="H17" s="2" t="n">
        <v>7</v>
      </c>
      <c r="I17" s="2" t="n">
        <v>288.57</v>
      </c>
      <c r="J17" s="2" t="inlineStr">
        <is>
          <t>Completed</t>
        </is>
      </c>
    </row>
    <row r="18">
      <c r="A18" s="2" t="n">
        <v>15</v>
      </c>
      <c r="B18" s="4" t="n">
        <v>46053</v>
      </c>
      <c r="C18" s="2" t="n">
        <v>62</v>
      </c>
      <c r="D18" s="2" t="inlineStr">
        <is>
          <t>Solid Dose Line 2</t>
        </is>
      </c>
      <c r="E18" s="2" t="inlineStr">
        <is>
          <t>Product B</t>
        </is>
      </c>
      <c r="F18" s="2" t="inlineStr">
        <is>
          <t>Preventive</t>
        </is>
      </c>
      <c r="G18" s="2" t="n">
        <v>3.69</v>
      </c>
      <c r="H18" s="2" t="n">
        <v>6.7</v>
      </c>
      <c r="I18" s="2" t="n">
        <v>286.97</v>
      </c>
      <c r="J18" s="2" t="inlineStr">
        <is>
          <t>Completed</t>
        </is>
      </c>
    </row>
    <row r="19">
      <c r="A19" s="2" t="n">
        <v>16</v>
      </c>
      <c r="B19" s="4" t="n">
        <v>46056</v>
      </c>
      <c r="C19" s="2" t="n">
        <v>67</v>
      </c>
      <c r="D19" s="2" t="inlineStr">
        <is>
          <t>Solid Dose Line 1</t>
        </is>
      </c>
      <c r="E19" s="2" t="inlineStr">
        <is>
          <t>Product B</t>
        </is>
      </c>
      <c r="F19" s="2" t="inlineStr">
        <is>
          <t>Emergency</t>
        </is>
      </c>
      <c r="G19" s="2" t="n">
        <v>1.49</v>
      </c>
      <c r="H19" s="2" t="n">
        <v>12.6</v>
      </c>
      <c r="I19" s="2" t="n">
        <v>1916.28</v>
      </c>
      <c r="J19" s="2" t="inlineStr">
        <is>
          <t>Completed</t>
        </is>
      </c>
    </row>
    <row r="20">
      <c r="A20" s="2" t="n">
        <v>17</v>
      </c>
      <c r="B20" s="4" t="n">
        <v>46057</v>
      </c>
      <c r="C20" s="2" t="n">
        <v>69</v>
      </c>
      <c r="D20" s="2" t="inlineStr">
        <is>
          <t>Solid Dose Line 1</t>
        </is>
      </c>
      <c r="E20" s="2" t="inlineStr">
        <is>
          <t>Product B</t>
        </is>
      </c>
      <c r="F20" s="2" t="inlineStr">
        <is>
          <t>Corrective</t>
        </is>
      </c>
      <c r="G20" s="2" t="n">
        <v>0</v>
      </c>
      <c r="H20" s="2" t="n">
        <v>2.9</v>
      </c>
      <c r="I20" s="2" t="n">
        <v>1083.97</v>
      </c>
      <c r="J20" s="2" t="inlineStr">
        <is>
          <t>Completed</t>
        </is>
      </c>
    </row>
    <row r="21">
      <c r="A21" s="2" t="n">
        <v>18</v>
      </c>
      <c r="B21" s="4" t="n">
        <v>46057</v>
      </c>
      <c r="C21" s="2" t="n">
        <v>70</v>
      </c>
      <c r="D21" s="2" t="inlineStr">
        <is>
          <t>Solid Dose Line 2</t>
        </is>
      </c>
      <c r="E21" s="2" t="inlineStr">
        <is>
          <t>Product B</t>
        </is>
      </c>
      <c r="F21" s="2" t="inlineStr">
        <is>
          <t>Emergency</t>
        </is>
      </c>
      <c r="G21" s="2" t="n">
        <v>3.42</v>
      </c>
      <c r="H21" s="2" t="n">
        <v>10.5</v>
      </c>
      <c r="I21" s="2" t="n">
        <v>2137.96</v>
      </c>
      <c r="J21" s="2" t="inlineStr">
        <is>
          <t>Completed</t>
        </is>
      </c>
    </row>
    <row r="22">
      <c r="A22" s="2" t="n">
        <v>19</v>
      </c>
      <c r="B22" s="4" t="n">
        <v>46058</v>
      </c>
      <c r="C22" s="2" t="n">
        <v>72</v>
      </c>
      <c r="D22" s="2" t="inlineStr">
        <is>
          <t>Solid Dose Line 2</t>
        </is>
      </c>
      <c r="E22" s="2" t="inlineStr">
        <is>
          <t>Product A</t>
        </is>
      </c>
      <c r="F22" s="2" t="inlineStr">
        <is>
          <t>Preventive</t>
        </is>
      </c>
      <c r="G22" s="2" t="n">
        <v>4.15</v>
      </c>
      <c r="H22" s="2" t="n">
        <v>4.3</v>
      </c>
      <c r="I22" s="2" t="n">
        <v>171.58</v>
      </c>
      <c r="J22" s="2" t="inlineStr">
        <is>
          <t>Completed</t>
        </is>
      </c>
    </row>
    <row r="23">
      <c r="A23" s="2" t="n">
        <v>20</v>
      </c>
      <c r="B23" s="4" t="n">
        <v>46059</v>
      </c>
      <c r="C23" s="2" t="n">
        <v>74</v>
      </c>
      <c r="D23" s="2" t="inlineStr">
        <is>
          <t>Solid Dose Line 2</t>
        </is>
      </c>
      <c r="E23" s="2" t="inlineStr">
        <is>
          <t>Product B</t>
        </is>
      </c>
      <c r="F23" s="2" t="inlineStr">
        <is>
          <t>Corrective</t>
        </is>
      </c>
      <c r="G23" s="2" t="n">
        <v>3.46</v>
      </c>
      <c r="H23" s="2" t="n">
        <v>16.7</v>
      </c>
      <c r="I23" s="2" t="n">
        <v>938.11</v>
      </c>
      <c r="J23" s="2" t="inlineStr">
        <is>
          <t>Completed</t>
        </is>
      </c>
    </row>
    <row r="24">
      <c r="A24" s="2" t="n">
        <v>21</v>
      </c>
      <c r="B24" s="4" t="n">
        <v>46060</v>
      </c>
      <c r="C24" s="2" t="n">
        <v>75</v>
      </c>
      <c r="D24" s="2" t="inlineStr">
        <is>
          <t>Solid Dose Line 1</t>
        </is>
      </c>
      <c r="E24" s="2" t="inlineStr">
        <is>
          <t>Product C</t>
        </is>
      </c>
      <c r="F24" s="2" t="inlineStr">
        <is>
          <t>Preventive</t>
        </is>
      </c>
      <c r="G24" s="2" t="n">
        <v>2.76</v>
      </c>
      <c r="H24" s="2" t="n">
        <v>2.1</v>
      </c>
      <c r="I24" s="2" t="n">
        <v>415.22</v>
      </c>
      <c r="J24" s="2" t="inlineStr">
        <is>
          <t>Completed</t>
        </is>
      </c>
    </row>
    <row r="25">
      <c r="A25" s="2" t="n">
        <v>22</v>
      </c>
      <c r="B25" s="4" t="n">
        <v>46060</v>
      </c>
      <c r="C25" s="2" t="n">
        <v>76</v>
      </c>
      <c r="D25" s="2" t="inlineStr">
        <is>
          <t>Solid Dose Line 2</t>
        </is>
      </c>
      <c r="E25" s="2" t="inlineStr">
        <is>
          <t>Product B</t>
        </is>
      </c>
      <c r="F25" s="2" t="inlineStr">
        <is>
          <t>Preventive</t>
        </is>
      </c>
      <c r="G25" s="2" t="n">
        <v>1.13</v>
      </c>
      <c r="H25" s="2" t="n">
        <v>5</v>
      </c>
      <c r="I25" s="2" t="n">
        <v>183.76</v>
      </c>
      <c r="J25" s="2" t="inlineStr">
        <is>
          <t>Completed</t>
        </is>
      </c>
    </row>
    <row r="26">
      <c r="A26" s="2" t="n">
        <v>23</v>
      </c>
      <c r="B26" s="4" t="n">
        <v>46061</v>
      </c>
      <c r="C26" s="2" t="n">
        <v>77</v>
      </c>
      <c r="D26" s="2" t="inlineStr">
        <is>
          <t>Solid Dose Line 1</t>
        </is>
      </c>
      <c r="E26" s="2" t="inlineStr">
        <is>
          <t>Product A</t>
        </is>
      </c>
      <c r="F26" s="2" t="inlineStr">
        <is>
          <t>Emergency</t>
        </is>
      </c>
      <c r="G26" s="2" t="n">
        <v>1.71</v>
      </c>
      <c r="H26" s="2" t="n">
        <v>6.9</v>
      </c>
      <c r="I26" s="2" t="n">
        <v>1943.88</v>
      </c>
      <c r="J26" s="2" t="inlineStr">
        <is>
          <t>Completed</t>
        </is>
      </c>
    </row>
    <row r="27">
      <c r="A27" s="2" t="n">
        <v>24</v>
      </c>
      <c r="B27" s="4" t="n">
        <v>46062</v>
      </c>
      <c r="C27" s="2" t="n">
        <v>79</v>
      </c>
      <c r="D27" s="2" t="inlineStr">
        <is>
          <t>Solid Dose Line 1</t>
        </is>
      </c>
      <c r="E27" s="2" t="inlineStr">
        <is>
          <t>Product B</t>
        </is>
      </c>
      <c r="F27" s="2" t="inlineStr">
        <is>
          <t>Preventive</t>
        </is>
      </c>
      <c r="G27" s="2" t="n">
        <v>0</v>
      </c>
      <c r="H27" s="2" t="n">
        <v>15.7</v>
      </c>
      <c r="I27" s="2" t="n">
        <v>368.08</v>
      </c>
      <c r="J27" s="2" t="inlineStr">
        <is>
          <t>Completed</t>
        </is>
      </c>
    </row>
    <row r="28">
      <c r="A28" s="2" t="n">
        <v>25</v>
      </c>
      <c r="B28" s="4" t="n">
        <v>46063</v>
      </c>
      <c r="C28" s="2" t="n">
        <v>81</v>
      </c>
      <c r="D28" s="2" t="inlineStr">
        <is>
          <t>Solid Dose Line 1</t>
        </is>
      </c>
      <c r="E28" s="2" t="inlineStr">
        <is>
          <t>Product B</t>
        </is>
      </c>
      <c r="F28" s="2" t="inlineStr">
        <is>
          <t>Preventive</t>
        </is>
      </c>
      <c r="G28" s="2" t="n">
        <v>2.78</v>
      </c>
      <c r="H28" s="2" t="n">
        <v>6.6</v>
      </c>
      <c r="I28" s="2" t="n">
        <v>324.83</v>
      </c>
      <c r="J28" s="2" t="inlineStr">
        <is>
          <t>Completed</t>
        </is>
      </c>
    </row>
    <row r="29">
      <c r="A29" s="2" t="n">
        <v>26</v>
      </c>
      <c r="B29" s="4" t="n">
        <v>46065</v>
      </c>
      <c r="C29" s="2" t="n">
        <v>85</v>
      </c>
      <c r="D29" s="2" t="inlineStr">
        <is>
          <t>Solid Dose Line 1</t>
        </is>
      </c>
      <c r="E29" s="2" t="inlineStr">
        <is>
          <t>Product A</t>
        </is>
      </c>
      <c r="F29" s="2" t="inlineStr">
        <is>
          <t>Corrective</t>
        </is>
      </c>
      <c r="G29" s="2" t="n">
        <v>1.93</v>
      </c>
      <c r="H29" s="2" t="n">
        <v>11.7</v>
      </c>
      <c r="I29" s="2" t="n">
        <v>760.26</v>
      </c>
      <c r="J29" s="2" t="inlineStr">
        <is>
          <t>Completed</t>
        </is>
      </c>
    </row>
    <row r="30">
      <c r="A30" s="2" t="n">
        <v>27</v>
      </c>
      <c r="B30" s="4" t="n">
        <v>46065</v>
      </c>
      <c r="C30" s="2" t="n">
        <v>86</v>
      </c>
      <c r="D30" s="2" t="inlineStr">
        <is>
          <t>Solid Dose Line 2</t>
        </is>
      </c>
      <c r="E30" s="2" t="inlineStr">
        <is>
          <t>Product C</t>
        </is>
      </c>
      <c r="F30" s="2" t="inlineStr">
        <is>
          <t>Corrective</t>
        </is>
      </c>
      <c r="G30" s="2" t="n">
        <v>2.5</v>
      </c>
      <c r="H30" s="2" t="n">
        <v>14.1</v>
      </c>
      <c r="I30" s="2" t="n">
        <v>774.11</v>
      </c>
      <c r="J30" s="2" t="inlineStr">
        <is>
          <t>Completed</t>
        </is>
      </c>
    </row>
    <row r="31">
      <c r="A31" s="2" t="n">
        <v>28</v>
      </c>
      <c r="B31" s="4" t="n">
        <v>46066</v>
      </c>
      <c r="C31" s="2" t="n">
        <v>87</v>
      </c>
      <c r="D31" s="2" t="inlineStr">
        <is>
          <t>Solid Dose Line 1</t>
        </is>
      </c>
      <c r="E31" s="2" t="inlineStr">
        <is>
          <t>Product A</t>
        </is>
      </c>
      <c r="F31" s="2" t="inlineStr">
        <is>
          <t>Corrective</t>
        </is>
      </c>
      <c r="G31" s="2" t="n">
        <v>1.01</v>
      </c>
      <c r="H31" s="2" t="n">
        <v>15.1</v>
      </c>
      <c r="I31" s="2" t="n">
        <v>1094.77</v>
      </c>
      <c r="J31" s="2" t="inlineStr">
        <is>
          <t>Completed</t>
        </is>
      </c>
    </row>
    <row r="32">
      <c r="A32" s="2" t="n">
        <v>29</v>
      </c>
      <c r="B32" s="4" t="n">
        <v>46067</v>
      </c>
      <c r="C32" s="2" t="n">
        <v>90</v>
      </c>
      <c r="D32" s="2" t="inlineStr">
        <is>
          <t>Solid Dose Line 2</t>
        </is>
      </c>
      <c r="E32" s="2" t="inlineStr">
        <is>
          <t>Product A</t>
        </is>
      </c>
      <c r="F32" s="2" t="inlineStr">
        <is>
          <t>Corrective</t>
        </is>
      </c>
      <c r="G32" s="2" t="n">
        <v>0.32</v>
      </c>
      <c r="H32" s="2" t="n">
        <v>4.6</v>
      </c>
      <c r="I32" s="2" t="n">
        <v>956.85</v>
      </c>
      <c r="J32" s="2" t="inlineStr">
        <is>
          <t>Completed</t>
        </is>
      </c>
    </row>
    <row r="33">
      <c r="A33" s="2" t="n">
        <v>30</v>
      </c>
      <c r="B33" s="4" t="n">
        <v>46068</v>
      </c>
      <c r="C33" s="2" t="n">
        <v>91</v>
      </c>
      <c r="D33" s="2" t="inlineStr">
        <is>
          <t>Solid Dose Line 1</t>
        </is>
      </c>
      <c r="E33" s="2" t="inlineStr">
        <is>
          <t>Product B</t>
        </is>
      </c>
      <c r="F33" s="2" t="inlineStr">
        <is>
          <t>Preventive</t>
        </is>
      </c>
      <c r="G33" s="2" t="n">
        <v>4.09</v>
      </c>
      <c r="H33" s="2" t="n">
        <v>14.2</v>
      </c>
      <c r="I33" s="2" t="n">
        <v>282.39</v>
      </c>
      <c r="J33" s="2" t="inlineStr">
        <is>
          <t>Completed</t>
        </is>
      </c>
    </row>
    <row r="34">
      <c r="A34" s="2" t="n">
        <v>31</v>
      </c>
      <c r="B34" s="4" t="n">
        <v>46070</v>
      </c>
      <c r="C34" s="2" t="n">
        <v>95</v>
      </c>
      <c r="D34" s="2" t="inlineStr">
        <is>
          <t>Solid Dose Line 1</t>
        </is>
      </c>
      <c r="E34" s="2" t="inlineStr">
        <is>
          <t>Product A</t>
        </is>
      </c>
      <c r="F34" s="2" t="inlineStr">
        <is>
          <t>Emergency</t>
        </is>
      </c>
      <c r="G34" s="2" t="n">
        <v>0.25</v>
      </c>
      <c r="H34" s="2" t="n">
        <v>14.2</v>
      </c>
      <c r="I34" s="2" t="n">
        <v>1941.85</v>
      </c>
      <c r="J34" s="2" t="inlineStr">
        <is>
          <t>Completed</t>
        </is>
      </c>
    </row>
    <row r="35">
      <c r="A35" s="2" t="n">
        <v>32</v>
      </c>
      <c r="B35" s="4" t="n">
        <v>46070</v>
      </c>
      <c r="C35" s="2" t="n">
        <v>96</v>
      </c>
      <c r="D35" s="2" t="inlineStr">
        <is>
          <t>Solid Dose Line 2</t>
        </is>
      </c>
      <c r="E35" s="2" t="inlineStr">
        <is>
          <t>Product A</t>
        </is>
      </c>
      <c r="F35" s="2" t="inlineStr">
        <is>
          <t>Preventive</t>
        </is>
      </c>
      <c r="G35" s="2" t="n">
        <v>0.67</v>
      </c>
      <c r="H35" s="2" t="n">
        <v>10.8</v>
      </c>
      <c r="I35" s="2" t="n">
        <v>443.94</v>
      </c>
      <c r="J35" s="2" t="inlineStr">
        <is>
          <t>Completed</t>
        </is>
      </c>
    </row>
    <row r="36">
      <c r="A36" s="2" t="n">
        <v>33</v>
      </c>
      <c r="B36" s="4" t="n">
        <v>46071</v>
      </c>
      <c r="C36" s="2" t="n">
        <v>97</v>
      </c>
      <c r="D36" s="2" t="inlineStr">
        <is>
          <t>Solid Dose Line 1</t>
        </is>
      </c>
      <c r="E36" s="2" t="inlineStr">
        <is>
          <t>Product C</t>
        </is>
      </c>
      <c r="F36" s="2" t="inlineStr">
        <is>
          <t>Corrective</t>
        </is>
      </c>
      <c r="G36" s="2" t="n">
        <v>2.36</v>
      </c>
      <c r="H36" s="2" t="n">
        <v>11.8</v>
      </c>
      <c r="I36" s="2" t="n">
        <v>644.3</v>
      </c>
      <c r="J36" s="2" t="inlineStr">
        <is>
          <t>Completed</t>
        </is>
      </c>
    </row>
    <row r="37">
      <c r="A37" s="2" t="n">
        <v>34</v>
      </c>
      <c r="B37" s="4" t="n">
        <v>46072</v>
      </c>
      <c r="C37" s="2" t="n">
        <v>100</v>
      </c>
      <c r="D37" s="2" t="inlineStr">
        <is>
          <t>Solid Dose Line 2</t>
        </is>
      </c>
      <c r="E37" s="2" t="inlineStr">
        <is>
          <t>Product B</t>
        </is>
      </c>
      <c r="F37" s="2" t="inlineStr">
        <is>
          <t>Preventive</t>
        </is>
      </c>
      <c r="G37" s="2" t="n">
        <v>2.64</v>
      </c>
      <c r="H37" s="2" t="n">
        <v>6.9</v>
      </c>
      <c r="I37" s="2" t="n">
        <v>168.42</v>
      </c>
      <c r="J37" s="2" t="inlineStr">
        <is>
          <t>Completed</t>
        </is>
      </c>
    </row>
    <row r="38">
      <c r="A38" s="2" t="n">
        <v>35</v>
      </c>
      <c r="B38" s="4" t="n">
        <v>46073</v>
      </c>
      <c r="C38" s="2" t="n">
        <v>101</v>
      </c>
      <c r="D38" s="2" t="inlineStr">
        <is>
          <t>Solid Dose Line 1</t>
        </is>
      </c>
      <c r="E38" s="2" t="inlineStr">
        <is>
          <t>Product B</t>
        </is>
      </c>
      <c r="F38" s="2" t="inlineStr">
        <is>
          <t>Corrective</t>
        </is>
      </c>
      <c r="G38" s="2" t="n">
        <v>3.05</v>
      </c>
      <c r="H38" s="2" t="n">
        <v>13</v>
      </c>
      <c r="I38" s="2" t="n">
        <v>654.33</v>
      </c>
      <c r="J38" s="2" t="inlineStr">
        <is>
          <t>Completed</t>
        </is>
      </c>
    </row>
    <row r="39">
      <c r="A39" s="2" t="n">
        <v>36</v>
      </c>
      <c r="B39" s="4" t="n">
        <v>46073</v>
      </c>
      <c r="C39" s="2" t="n">
        <v>102</v>
      </c>
      <c r="D39" s="2" t="inlineStr">
        <is>
          <t>Solid Dose Line 2</t>
        </is>
      </c>
      <c r="E39" s="2" t="inlineStr">
        <is>
          <t>Product A</t>
        </is>
      </c>
      <c r="F39" s="2" t="inlineStr">
        <is>
          <t>Corrective</t>
        </is>
      </c>
      <c r="G39" s="2" t="n">
        <v>0.62</v>
      </c>
      <c r="H39" s="2" t="n">
        <v>13.7</v>
      </c>
      <c r="I39" s="2" t="n">
        <v>498.93</v>
      </c>
      <c r="J39" s="2" t="inlineStr">
        <is>
          <t>Completed</t>
        </is>
      </c>
    </row>
    <row r="40">
      <c r="A40" s="2" t="n">
        <v>37</v>
      </c>
      <c r="B40" s="4" t="n">
        <v>46074</v>
      </c>
      <c r="C40" s="2" t="n">
        <v>104</v>
      </c>
      <c r="D40" s="2" t="inlineStr">
        <is>
          <t>Solid Dose Line 2</t>
        </is>
      </c>
      <c r="E40" s="2" t="inlineStr">
        <is>
          <t>Product C</t>
        </is>
      </c>
      <c r="F40" s="2" t="inlineStr">
        <is>
          <t>Corrective</t>
        </is>
      </c>
      <c r="G40" s="2" t="n">
        <v>2.37</v>
      </c>
      <c r="H40" s="2" t="n">
        <v>11.7</v>
      </c>
      <c r="I40" s="2" t="n">
        <v>491.77</v>
      </c>
      <c r="J40" s="2" t="inlineStr">
        <is>
          <t>Completed</t>
        </is>
      </c>
    </row>
    <row r="41">
      <c r="A41" s="2" t="n">
        <v>38</v>
      </c>
      <c r="B41" s="4" t="n">
        <v>46076</v>
      </c>
      <c r="C41" s="2" t="n">
        <v>108</v>
      </c>
      <c r="D41" s="2" t="inlineStr">
        <is>
          <t>Solid Dose Line 2</t>
        </is>
      </c>
      <c r="E41" s="2" t="inlineStr">
        <is>
          <t>Product A</t>
        </is>
      </c>
      <c r="F41" s="2" t="inlineStr">
        <is>
          <t>Preventive</t>
        </is>
      </c>
      <c r="G41" s="2" t="n">
        <v>0.86</v>
      </c>
      <c r="H41" s="2" t="n">
        <v>8.4</v>
      </c>
      <c r="I41" s="2" t="n">
        <v>393.75</v>
      </c>
      <c r="J41" s="2" t="inlineStr">
        <is>
          <t>Completed</t>
        </is>
      </c>
    </row>
    <row r="42">
      <c r="A42" s="2" t="n">
        <v>39</v>
      </c>
      <c r="B42" s="4" t="n">
        <v>46077</v>
      </c>
      <c r="C42" s="2" t="n">
        <v>109</v>
      </c>
      <c r="D42" s="2" t="inlineStr">
        <is>
          <t>Solid Dose Line 1</t>
        </is>
      </c>
      <c r="E42" s="2" t="inlineStr">
        <is>
          <t>Product B</t>
        </is>
      </c>
      <c r="F42" s="2" t="inlineStr">
        <is>
          <t>Preventive</t>
        </is>
      </c>
      <c r="G42" s="2" t="n">
        <v>0.61</v>
      </c>
      <c r="H42" s="2" t="n">
        <v>12.2</v>
      </c>
      <c r="I42" s="2" t="n">
        <v>158.54</v>
      </c>
      <c r="J42" s="2" t="inlineStr">
        <is>
          <t>Completed</t>
        </is>
      </c>
    </row>
    <row r="43">
      <c r="A43" s="2" t="n">
        <v>40</v>
      </c>
      <c r="B43" s="4" t="n">
        <v>46077</v>
      </c>
      <c r="C43" s="2" t="n">
        <v>110</v>
      </c>
      <c r="D43" s="2" t="inlineStr">
        <is>
          <t>Solid Dose Line 2</t>
        </is>
      </c>
      <c r="E43" s="2" t="inlineStr">
        <is>
          <t>Product B</t>
        </is>
      </c>
      <c r="F43" s="2" t="inlineStr">
        <is>
          <t>Preventive</t>
        </is>
      </c>
      <c r="G43" s="2" t="n">
        <v>0</v>
      </c>
      <c r="H43" s="2" t="n">
        <v>4.9</v>
      </c>
      <c r="I43" s="2" t="n">
        <v>213.04</v>
      </c>
      <c r="J43" s="2" t="inlineStr">
        <is>
          <t>Completed</t>
        </is>
      </c>
    </row>
    <row r="44">
      <c r="A44" s="2" t="n">
        <v>41</v>
      </c>
      <c r="B44" s="4" t="n">
        <v>46079</v>
      </c>
      <c r="C44" s="2" t="n">
        <v>114</v>
      </c>
      <c r="D44" s="2" t="inlineStr">
        <is>
          <t>Solid Dose Line 2</t>
        </is>
      </c>
      <c r="E44" s="2" t="inlineStr">
        <is>
          <t>Product A</t>
        </is>
      </c>
      <c r="F44" s="2" t="inlineStr">
        <is>
          <t>Corrective</t>
        </is>
      </c>
      <c r="G44" s="2" t="n">
        <v>1.73</v>
      </c>
      <c r="H44" s="2" t="n">
        <v>16.4</v>
      </c>
      <c r="I44" s="2" t="n">
        <v>414.14</v>
      </c>
      <c r="J44" s="2" t="inlineStr">
        <is>
          <t>Completed</t>
        </is>
      </c>
    </row>
    <row r="45">
      <c r="A45" s="2" t="n">
        <v>42</v>
      </c>
      <c r="B45" s="4" t="n">
        <v>46080</v>
      </c>
      <c r="C45" s="2" t="n">
        <v>116</v>
      </c>
      <c r="D45" s="2" t="inlineStr">
        <is>
          <t>Solid Dose Line 2</t>
        </is>
      </c>
      <c r="E45" s="2" t="inlineStr">
        <is>
          <t>Product C</t>
        </is>
      </c>
      <c r="F45" s="2" t="inlineStr">
        <is>
          <t>Preventive</t>
        </is>
      </c>
      <c r="G45" s="2" t="n">
        <v>4.56</v>
      </c>
      <c r="H45" s="2" t="n">
        <v>10.7</v>
      </c>
      <c r="I45" s="2" t="n">
        <v>153.92</v>
      </c>
      <c r="J45" s="2" t="inlineStr">
        <is>
          <t>Completed</t>
        </is>
      </c>
    </row>
    <row r="46">
      <c r="A46" s="2" t="n">
        <v>43</v>
      </c>
      <c r="B46" s="4" t="n">
        <v>46082</v>
      </c>
      <c r="C46" s="2" t="n">
        <v>119</v>
      </c>
      <c r="D46" s="2" t="inlineStr">
        <is>
          <t>Solid Dose Line 1</t>
        </is>
      </c>
      <c r="E46" s="2" t="inlineStr">
        <is>
          <t>Product B</t>
        </is>
      </c>
      <c r="F46" s="2" t="inlineStr">
        <is>
          <t>Corrective</t>
        </is>
      </c>
      <c r="G46" s="2" t="n">
        <v>0.15</v>
      </c>
      <c r="H46" s="2" t="n">
        <v>8.1</v>
      </c>
      <c r="I46" s="2" t="n">
        <v>428.71</v>
      </c>
      <c r="J46" s="2" t="inlineStr">
        <is>
          <t>Completed</t>
        </is>
      </c>
    </row>
    <row r="47">
      <c r="A47" s="2" t="n">
        <v>44</v>
      </c>
      <c r="B47" s="4" t="n">
        <v>46086</v>
      </c>
      <c r="C47" s="2" t="n">
        <v>127</v>
      </c>
      <c r="D47" s="2" t="inlineStr">
        <is>
          <t>Solid Dose Line 1</t>
        </is>
      </c>
      <c r="E47" s="2" t="inlineStr">
        <is>
          <t>Product B</t>
        </is>
      </c>
      <c r="F47" s="2" t="inlineStr">
        <is>
          <t>Preventive</t>
        </is>
      </c>
      <c r="G47" s="2" t="n">
        <v>1.13</v>
      </c>
      <c r="H47" s="2" t="n">
        <v>9.800000000000001</v>
      </c>
      <c r="I47" s="2" t="n">
        <v>368.93</v>
      </c>
      <c r="J47" s="2" t="inlineStr">
        <is>
          <t>Completed</t>
        </is>
      </c>
    </row>
    <row r="48">
      <c r="A48" s="2" t="n">
        <v>45</v>
      </c>
      <c r="B48" s="4" t="n">
        <v>46088</v>
      </c>
      <c r="C48" s="2" t="n">
        <v>131</v>
      </c>
      <c r="D48" s="2" t="inlineStr">
        <is>
          <t>Solid Dose Line 1</t>
        </is>
      </c>
      <c r="E48" s="2" t="inlineStr">
        <is>
          <t>Product A</t>
        </is>
      </c>
      <c r="F48" s="2" t="inlineStr">
        <is>
          <t>Preventive</t>
        </is>
      </c>
      <c r="G48" s="2" t="n">
        <v>0</v>
      </c>
      <c r="H48" s="2" t="n">
        <v>10.3</v>
      </c>
      <c r="I48" s="2" t="n">
        <v>355.13</v>
      </c>
      <c r="J48" s="2" t="inlineStr">
        <is>
          <t>Follow-up Required</t>
        </is>
      </c>
    </row>
    <row r="49">
      <c r="A49" s="2" t="n">
        <v>46</v>
      </c>
      <c r="B49" s="4" t="n">
        <v>46090</v>
      </c>
      <c r="C49" s="2" t="n">
        <v>136</v>
      </c>
      <c r="D49" s="2" t="inlineStr">
        <is>
          <t>Solid Dose Line 2</t>
        </is>
      </c>
      <c r="E49" s="2" t="inlineStr">
        <is>
          <t>Product C</t>
        </is>
      </c>
      <c r="F49" s="2" t="inlineStr">
        <is>
          <t>Corrective</t>
        </is>
      </c>
      <c r="G49" s="2" t="n">
        <v>2.48</v>
      </c>
      <c r="H49" s="2" t="n">
        <v>4.4</v>
      </c>
      <c r="I49" s="2" t="n">
        <v>778.25</v>
      </c>
      <c r="J49" s="2" t="inlineStr">
        <is>
          <t>Completed</t>
        </is>
      </c>
    </row>
    <row r="50">
      <c r="A50" s="2" t="n">
        <v>47</v>
      </c>
      <c r="B50" s="4" t="n">
        <v>46091</v>
      </c>
      <c r="C50" s="2" t="n">
        <v>137</v>
      </c>
      <c r="D50" s="2" t="inlineStr">
        <is>
          <t>Solid Dose Line 1</t>
        </is>
      </c>
      <c r="E50" s="2" t="inlineStr">
        <is>
          <t>Product B</t>
        </is>
      </c>
      <c r="F50" s="2" t="inlineStr">
        <is>
          <t>Corrective</t>
        </is>
      </c>
      <c r="G50" s="2" t="n">
        <v>3.36</v>
      </c>
      <c r="H50" s="2" t="n">
        <v>5.4</v>
      </c>
      <c r="I50" s="2" t="n">
        <v>1004.08</v>
      </c>
      <c r="J50" s="2" t="inlineStr">
        <is>
          <t>Completed</t>
        </is>
      </c>
    </row>
    <row r="51">
      <c r="A51" s="2" t="n">
        <v>48</v>
      </c>
      <c r="B51" s="4" t="n">
        <v>46092</v>
      </c>
      <c r="C51" s="2" t="n">
        <v>140</v>
      </c>
      <c r="D51" s="2" t="inlineStr">
        <is>
          <t>Solid Dose Line 2</t>
        </is>
      </c>
      <c r="E51" s="2" t="inlineStr">
        <is>
          <t>Product B</t>
        </is>
      </c>
      <c r="F51" s="2" t="inlineStr">
        <is>
          <t>Corrective</t>
        </is>
      </c>
      <c r="G51" s="2" t="n">
        <v>1.78</v>
      </c>
      <c r="H51" s="2" t="n">
        <v>11.6</v>
      </c>
      <c r="I51" s="2" t="n">
        <v>843.36</v>
      </c>
      <c r="J51" s="2" t="inlineStr">
        <is>
          <t>Completed</t>
        </is>
      </c>
    </row>
    <row r="52">
      <c r="A52" s="2" t="n">
        <v>49</v>
      </c>
      <c r="B52" s="4" t="n">
        <v>46094</v>
      </c>
      <c r="C52" s="2" t="n">
        <v>144</v>
      </c>
      <c r="D52" s="2" t="inlineStr">
        <is>
          <t>Solid Dose Line 2</t>
        </is>
      </c>
      <c r="E52" s="2" t="inlineStr">
        <is>
          <t>Product A</t>
        </is>
      </c>
      <c r="F52" s="2" t="inlineStr">
        <is>
          <t>Corrective</t>
        </is>
      </c>
      <c r="G52" s="2" t="n">
        <v>1.99</v>
      </c>
      <c r="H52" s="2" t="n">
        <v>17.6</v>
      </c>
      <c r="I52" s="2" t="n">
        <v>431.38</v>
      </c>
      <c r="J52" s="2" t="inlineStr">
        <is>
          <t>Completed</t>
        </is>
      </c>
    </row>
    <row r="53">
      <c r="A53" s="2" t="n">
        <v>50</v>
      </c>
      <c r="B53" s="4" t="n">
        <v>46095</v>
      </c>
      <c r="C53" s="2" t="n">
        <v>145</v>
      </c>
      <c r="D53" s="2" t="inlineStr">
        <is>
          <t>Solid Dose Line 1</t>
        </is>
      </c>
      <c r="E53" s="2" t="inlineStr">
        <is>
          <t>Product A</t>
        </is>
      </c>
      <c r="F53" s="2" t="inlineStr">
        <is>
          <t>Emergency</t>
        </is>
      </c>
      <c r="G53" s="2" t="n">
        <v>4.97</v>
      </c>
      <c r="H53" s="2" t="n">
        <v>7.3</v>
      </c>
      <c r="I53" s="2" t="n">
        <v>912.54</v>
      </c>
      <c r="J53" s="2" t="inlineStr">
        <is>
          <t>Follow-up Required</t>
        </is>
      </c>
    </row>
    <row r="54">
      <c r="A54" s="2" t="n">
        <v>51</v>
      </c>
      <c r="B54" s="4" t="n">
        <v>46096</v>
      </c>
      <c r="C54" s="2" t="n">
        <v>147</v>
      </c>
      <c r="D54" s="2" t="inlineStr">
        <is>
          <t>Solid Dose Line 1</t>
        </is>
      </c>
      <c r="E54" s="2" t="inlineStr">
        <is>
          <t>Product C</t>
        </is>
      </c>
      <c r="F54" s="2" t="inlineStr">
        <is>
          <t>Corrective</t>
        </is>
      </c>
      <c r="G54" s="2" t="n">
        <v>0.05</v>
      </c>
      <c r="H54" s="2" t="n">
        <v>3.5</v>
      </c>
      <c r="I54" s="2" t="n">
        <v>1079.05</v>
      </c>
      <c r="J54" s="2" t="inlineStr">
        <is>
          <t>Completed</t>
        </is>
      </c>
    </row>
    <row r="55">
      <c r="A55" s="2" t="n">
        <v>52</v>
      </c>
      <c r="B55" s="4" t="n">
        <v>46096</v>
      </c>
      <c r="C55" s="2" t="n">
        <v>148</v>
      </c>
      <c r="D55" s="2" t="inlineStr">
        <is>
          <t>Solid Dose Line 2</t>
        </is>
      </c>
      <c r="E55" s="2" t="inlineStr">
        <is>
          <t>Product A</t>
        </is>
      </c>
      <c r="F55" s="2" t="inlineStr">
        <is>
          <t>Preventive</t>
        </is>
      </c>
      <c r="G55" s="2" t="n">
        <v>2.24</v>
      </c>
      <c r="H55" s="2" t="n">
        <v>12.6</v>
      </c>
      <c r="I55" s="2" t="n">
        <v>278.38</v>
      </c>
      <c r="J55" s="2" t="inlineStr">
        <is>
          <t>Completed</t>
        </is>
      </c>
    </row>
    <row r="56">
      <c r="A56" s="2" t="n">
        <v>53</v>
      </c>
      <c r="B56" s="4" t="n">
        <v>46097</v>
      </c>
      <c r="C56" s="2" t="n">
        <v>149</v>
      </c>
      <c r="D56" s="2" t="inlineStr">
        <is>
          <t>Solid Dose Line 1</t>
        </is>
      </c>
      <c r="E56" s="2" t="inlineStr">
        <is>
          <t>Product B</t>
        </is>
      </c>
      <c r="F56" s="2" t="inlineStr">
        <is>
          <t>Corrective</t>
        </is>
      </c>
      <c r="G56" s="2" t="n">
        <v>0.13</v>
      </c>
      <c r="H56" s="2" t="n">
        <v>2.2</v>
      </c>
      <c r="I56" s="2" t="n">
        <v>598.79</v>
      </c>
      <c r="J56" s="2" t="inlineStr">
        <is>
          <t>Completed</t>
        </is>
      </c>
    </row>
    <row r="57">
      <c r="A57" s="2" t="n">
        <v>54</v>
      </c>
      <c r="B57" s="4" t="n">
        <v>46101</v>
      </c>
      <c r="C57" s="2" t="n">
        <v>157</v>
      </c>
      <c r="D57" s="2" t="inlineStr">
        <is>
          <t>Solid Dose Line 1</t>
        </is>
      </c>
      <c r="E57" s="2" t="inlineStr">
        <is>
          <t>Product B</t>
        </is>
      </c>
      <c r="F57" s="2" t="inlineStr">
        <is>
          <t>Preventive</t>
        </is>
      </c>
      <c r="G57" s="2" t="n">
        <v>2.48</v>
      </c>
      <c r="H57" s="2" t="n">
        <v>2.4</v>
      </c>
      <c r="I57" s="2" t="n">
        <v>287.44</v>
      </c>
      <c r="J57" s="2" t="inlineStr">
        <is>
          <t>Completed</t>
        </is>
      </c>
    </row>
    <row r="58">
      <c r="A58" s="2" t="n">
        <v>55</v>
      </c>
      <c r="B58" s="4" t="n">
        <v>46101</v>
      </c>
      <c r="C58" s="2" t="n">
        <v>158</v>
      </c>
      <c r="D58" s="2" t="inlineStr">
        <is>
          <t>Solid Dose Line 2</t>
        </is>
      </c>
      <c r="E58" s="2" t="inlineStr">
        <is>
          <t>Product A</t>
        </is>
      </c>
      <c r="F58" s="2" t="inlineStr">
        <is>
          <t>Corrective</t>
        </is>
      </c>
      <c r="G58" s="2" t="n">
        <v>1.22</v>
      </c>
      <c r="H58" s="2" t="n">
        <v>9</v>
      </c>
      <c r="I58" s="2" t="n">
        <v>863.3099999999999</v>
      </c>
      <c r="J58" s="2" t="inlineStr">
        <is>
          <t>Completed</t>
        </is>
      </c>
    </row>
    <row r="59">
      <c r="A59" s="2" t="n">
        <v>56</v>
      </c>
      <c r="B59" s="4" t="n">
        <v>46105</v>
      </c>
      <c r="C59" s="2" t="n">
        <v>165</v>
      </c>
      <c r="D59" s="2" t="inlineStr">
        <is>
          <t>Solid Dose Line 1</t>
        </is>
      </c>
      <c r="E59" s="2" t="inlineStr">
        <is>
          <t>Product A</t>
        </is>
      </c>
      <c r="F59" s="2" t="inlineStr">
        <is>
          <t>Corrective</t>
        </is>
      </c>
      <c r="G59" s="2" t="n">
        <v>1.1</v>
      </c>
      <c r="H59" s="2" t="n">
        <v>7.9</v>
      </c>
      <c r="I59" s="2" t="n">
        <v>746.11</v>
      </c>
      <c r="J59" s="2" t="inlineStr">
        <is>
          <t>Completed</t>
        </is>
      </c>
    </row>
    <row r="60">
      <c r="A60" s="2" t="n">
        <v>57</v>
      </c>
      <c r="B60" s="4" t="n">
        <v>46108</v>
      </c>
      <c r="C60" s="2" t="n">
        <v>171</v>
      </c>
      <c r="D60" s="2" t="inlineStr">
        <is>
          <t>Solid Dose Line 1</t>
        </is>
      </c>
      <c r="E60" s="2" t="inlineStr">
        <is>
          <t>Product B</t>
        </is>
      </c>
      <c r="F60" s="2" t="inlineStr">
        <is>
          <t>Emergency</t>
        </is>
      </c>
      <c r="G60" s="2" t="n">
        <v>0.97</v>
      </c>
      <c r="H60" s="2" t="n">
        <v>8</v>
      </c>
      <c r="I60" s="2" t="n">
        <v>1581.73</v>
      </c>
      <c r="J60" s="2" t="inlineStr">
        <is>
          <t>Completed</t>
        </is>
      </c>
    </row>
    <row r="61">
      <c r="A61" s="2" t="n">
        <v>58</v>
      </c>
      <c r="B61" s="4" t="n">
        <v>46112</v>
      </c>
      <c r="C61" s="2" t="n">
        <v>179</v>
      </c>
      <c r="D61" s="2" t="inlineStr">
        <is>
          <t>Solid Dose Line 1</t>
        </is>
      </c>
      <c r="E61" s="2" t="inlineStr">
        <is>
          <t>Product B</t>
        </is>
      </c>
      <c r="F61" s="2" t="inlineStr">
        <is>
          <t>Preventive</t>
        </is>
      </c>
      <c r="G61" s="2" t="n">
        <v>0.9</v>
      </c>
      <c r="H61" s="2" t="n">
        <v>15.2</v>
      </c>
      <c r="I61" s="2" t="n">
        <v>165.16</v>
      </c>
      <c r="J61" s="2" t="inlineStr">
        <is>
          <t>Completed</t>
        </is>
      </c>
    </row>
    <row r="62">
      <c r="A62" s="2" t="n">
        <v>59</v>
      </c>
      <c r="B62" s="4" t="n">
        <v>46113</v>
      </c>
      <c r="C62" s="2" t="n">
        <v>182</v>
      </c>
      <c r="D62" s="2" t="inlineStr">
        <is>
          <t>Solid Dose Line 2</t>
        </is>
      </c>
      <c r="E62" s="2" t="inlineStr">
        <is>
          <t>Product A</t>
        </is>
      </c>
      <c r="F62" s="2" t="inlineStr">
        <is>
          <t>Corrective</t>
        </is>
      </c>
      <c r="G62" s="2" t="n">
        <v>1.66</v>
      </c>
      <c r="H62" s="2" t="n">
        <v>14.4</v>
      </c>
      <c r="I62" s="2" t="n">
        <v>1011.66</v>
      </c>
      <c r="J62" s="2" t="inlineStr">
        <is>
          <t>Completed</t>
        </is>
      </c>
    </row>
    <row r="63">
      <c r="A63" s="2" t="n">
        <v>60</v>
      </c>
      <c r="B63" s="4" t="n">
        <v>46114</v>
      </c>
      <c r="C63" s="2" t="n">
        <v>183</v>
      </c>
      <c r="D63" s="2" t="inlineStr">
        <is>
          <t>Solid Dose Line 1</t>
        </is>
      </c>
      <c r="E63" s="2" t="inlineStr">
        <is>
          <t>Product C</t>
        </is>
      </c>
      <c r="F63" s="2" t="inlineStr">
        <is>
          <t>Corrective</t>
        </is>
      </c>
      <c r="G63" s="2" t="n">
        <v>0.74</v>
      </c>
      <c r="H63" s="2" t="n">
        <v>7</v>
      </c>
      <c r="I63" s="2" t="n">
        <v>839.7</v>
      </c>
      <c r="J63" s="2" t="inlineStr">
        <is>
          <t>Completed</t>
        </is>
      </c>
    </row>
    <row r="64">
      <c r="A64" s="2" t="n">
        <v>61</v>
      </c>
      <c r="B64" s="4" t="n">
        <v>46115</v>
      </c>
      <c r="C64" s="2" t="n">
        <v>186</v>
      </c>
      <c r="D64" s="2" t="inlineStr">
        <is>
          <t>Solid Dose Line 2</t>
        </is>
      </c>
      <c r="E64" s="2" t="inlineStr">
        <is>
          <t>Product C</t>
        </is>
      </c>
      <c r="F64" s="2" t="inlineStr">
        <is>
          <t>Corrective</t>
        </is>
      </c>
      <c r="G64" s="2" t="n">
        <v>1.98</v>
      </c>
      <c r="H64" s="2" t="n">
        <v>2.5</v>
      </c>
      <c r="I64" s="2" t="n">
        <v>510.41</v>
      </c>
      <c r="J64" s="2" t="inlineStr">
        <is>
          <t>Completed</t>
        </is>
      </c>
    </row>
    <row r="65">
      <c r="A65" s="2" t="n">
        <v>62</v>
      </c>
      <c r="B65" s="4" t="n">
        <v>46117</v>
      </c>
      <c r="C65" s="2" t="n">
        <v>190</v>
      </c>
      <c r="D65" s="2" t="inlineStr">
        <is>
          <t>Solid Dose Line 2</t>
        </is>
      </c>
      <c r="E65" s="2" t="inlineStr">
        <is>
          <t>Product C</t>
        </is>
      </c>
      <c r="F65" s="2" t="inlineStr">
        <is>
          <t>Corrective</t>
        </is>
      </c>
      <c r="G65" s="2" t="n">
        <v>2.73</v>
      </c>
      <c r="H65" s="2" t="n">
        <v>8.4</v>
      </c>
      <c r="I65" s="2" t="n">
        <v>998.86</v>
      </c>
      <c r="J65" s="2" t="inlineStr">
        <is>
          <t>Completed</t>
        </is>
      </c>
    </row>
    <row r="66">
      <c r="A66" s="2" t="n">
        <v>63</v>
      </c>
      <c r="B66" s="4" t="n">
        <v>46119</v>
      </c>
      <c r="C66" s="2" t="n">
        <v>194</v>
      </c>
      <c r="D66" s="2" t="inlineStr">
        <is>
          <t>Solid Dose Line 2</t>
        </is>
      </c>
      <c r="E66" s="2" t="inlineStr">
        <is>
          <t>Product B</t>
        </is>
      </c>
      <c r="F66" s="2" t="inlineStr">
        <is>
          <t>Emergency</t>
        </is>
      </c>
      <c r="G66" s="2" t="n">
        <v>0</v>
      </c>
      <c r="H66" s="2" t="n">
        <v>6.9</v>
      </c>
      <c r="I66" s="2" t="n">
        <v>1756.92</v>
      </c>
      <c r="J66" s="2" t="inlineStr">
        <is>
          <t>Follow-up Required</t>
        </is>
      </c>
    </row>
    <row r="67">
      <c r="A67" s="2" t="n">
        <v>64</v>
      </c>
      <c r="B67" s="4" t="n">
        <v>46121</v>
      </c>
      <c r="C67" s="2" t="n">
        <v>198</v>
      </c>
      <c r="D67" s="2" t="inlineStr">
        <is>
          <t>Solid Dose Line 2</t>
        </is>
      </c>
      <c r="E67" s="2" t="inlineStr">
        <is>
          <t>Product A</t>
        </is>
      </c>
      <c r="F67" s="2" t="inlineStr">
        <is>
          <t>Corrective</t>
        </is>
      </c>
      <c r="G67" s="2" t="n">
        <v>2.15</v>
      </c>
      <c r="H67" s="2" t="n">
        <v>9.6</v>
      </c>
      <c r="I67" s="2" t="n">
        <v>981.65</v>
      </c>
      <c r="J67" s="2" t="inlineStr">
        <is>
          <t>Completed</t>
        </is>
      </c>
    </row>
    <row r="68">
      <c r="A68" s="2" t="n">
        <v>65</v>
      </c>
      <c r="B68" s="4" t="n">
        <v>46123</v>
      </c>
      <c r="C68" s="2" t="n">
        <v>201</v>
      </c>
      <c r="D68" s="2" t="inlineStr">
        <is>
          <t>Solid Dose Line 1</t>
        </is>
      </c>
      <c r="E68" s="2" t="inlineStr">
        <is>
          <t>Product C</t>
        </is>
      </c>
      <c r="F68" s="2" t="inlineStr">
        <is>
          <t>Corrective</t>
        </is>
      </c>
      <c r="G68" s="2" t="n">
        <v>1.33</v>
      </c>
      <c r="H68" s="2" t="n">
        <v>13.7</v>
      </c>
      <c r="I68" s="2" t="n">
        <v>521.6</v>
      </c>
      <c r="J68" s="2" t="inlineStr">
        <is>
          <t>Completed</t>
        </is>
      </c>
    </row>
    <row r="69">
      <c r="A69" s="2" t="n">
        <v>66</v>
      </c>
      <c r="B69" s="4" t="n">
        <v>46125</v>
      </c>
      <c r="C69" s="2" t="n">
        <v>206</v>
      </c>
      <c r="D69" s="2" t="inlineStr">
        <is>
          <t>Solid Dose Line 2</t>
        </is>
      </c>
      <c r="E69" s="2" t="inlineStr">
        <is>
          <t>Product A</t>
        </is>
      </c>
      <c r="F69" s="2" t="inlineStr">
        <is>
          <t>Preventive</t>
        </is>
      </c>
      <c r="G69" s="2" t="n">
        <v>1.68</v>
      </c>
      <c r="H69" s="2" t="n">
        <v>14.3</v>
      </c>
      <c r="I69" s="2" t="n">
        <v>200.55</v>
      </c>
      <c r="J69" s="2" t="inlineStr">
        <is>
          <t>Completed</t>
        </is>
      </c>
    </row>
    <row r="70">
      <c r="A70" s="2" t="n">
        <v>67</v>
      </c>
      <c r="B70" s="4" t="n">
        <v>46126</v>
      </c>
      <c r="C70" s="2" t="n">
        <v>207</v>
      </c>
      <c r="D70" s="2" t="inlineStr">
        <is>
          <t>Solid Dose Line 1</t>
        </is>
      </c>
      <c r="E70" s="2" t="inlineStr">
        <is>
          <t>Product A</t>
        </is>
      </c>
      <c r="F70" s="2" t="inlineStr">
        <is>
          <t>Emergency</t>
        </is>
      </c>
      <c r="G70" s="2" t="n">
        <v>2.11</v>
      </c>
      <c r="H70" s="2" t="n">
        <v>15.8</v>
      </c>
      <c r="I70" s="2" t="n">
        <v>2045.88</v>
      </c>
      <c r="J70" s="2" t="inlineStr">
        <is>
          <t>Completed</t>
        </is>
      </c>
    </row>
    <row r="71">
      <c r="A71" s="2" t="n">
        <v>68</v>
      </c>
      <c r="B71" s="4" t="n">
        <v>46130</v>
      </c>
      <c r="C71" s="2" t="n">
        <v>216</v>
      </c>
      <c r="D71" s="2" t="inlineStr">
        <is>
          <t>Solid Dose Line 2</t>
        </is>
      </c>
      <c r="E71" s="2" t="inlineStr">
        <is>
          <t>Product C</t>
        </is>
      </c>
      <c r="F71" s="2" t="inlineStr">
        <is>
          <t>Corrective</t>
        </is>
      </c>
      <c r="G71" s="2" t="n">
        <v>1.07</v>
      </c>
      <c r="H71" s="2" t="n">
        <v>14.5</v>
      </c>
      <c r="I71" s="2" t="n">
        <v>420.19</v>
      </c>
      <c r="J71" s="2" t="inlineStr">
        <is>
          <t>Completed</t>
        </is>
      </c>
    </row>
    <row r="72">
      <c r="A72" s="2" t="n">
        <v>69</v>
      </c>
      <c r="B72" s="4" t="n">
        <v>46132</v>
      </c>
      <c r="C72" s="2" t="n">
        <v>220</v>
      </c>
      <c r="D72" s="2" t="inlineStr">
        <is>
          <t>Solid Dose Line 2</t>
        </is>
      </c>
      <c r="E72" s="2" t="inlineStr">
        <is>
          <t>Product A</t>
        </is>
      </c>
      <c r="F72" s="2" t="inlineStr">
        <is>
          <t>Preventive</t>
        </is>
      </c>
      <c r="G72" s="2" t="n">
        <v>2.46</v>
      </c>
      <c r="H72" s="2" t="n">
        <v>16.5</v>
      </c>
      <c r="I72" s="2" t="n">
        <v>192.77</v>
      </c>
      <c r="J72" s="2" t="inlineStr">
        <is>
          <t>Completed</t>
        </is>
      </c>
    </row>
    <row r="73">
      <c r="A73" s="2" t="n">
        <v>70</v>
      </c>
      <c r="B73" s="4" t="n">
        <v>46135</v>
      </c>
      <c r="C73" s="2" t="n">
        <v>225</v>
      </c>
      <c r="D73" s="2" t="inlineStr">
        <is>
          <t>Solid Dose Line 1</t>
        </is>
      </c>
      <c r="E73" s="2" t="inlineStr">
        <is>
          <t>Product B</t>
        </is>
      </c>
      <c r="F73" s="2" t="inlineStr">
        <is>
          <t>Corrective</t>
        </is>
      </c>
      <c r="G73" s="2" t="n">
        <v>1.56</v>
      </c>
      <c r="H73" s="2" t="n">
        <v>10.6</v>
      </c>
      <c r="I73" s="2" t="n">
        <v>478.77</v>
      </c>
      <c r="J73" s="2" t="inlineStr">
        <is>
          <t>Completed</t>
        </is>
      </c>
    </row>
    <row r="74">
      <c r="A74" s="2" t="n">
        <v>71</v>
      </c>
      <c r="B74" s="4" t="n">
        <v>46137</v>
      </c>
      <c r="C74" s="2" t="n">
        <v>230</v>
      </c>
      <c r="D74" s="2" t="inlineStr">
        <is>
          <t>Solid Dose Line 2</t>
        </is>
      </c>
      <c r="E74" s="2" t="inlineStr">
        <is>
          <t>Product A</t>
        </is>
      </c>
      <c r="F74" s="2" t="inlineStr">
        <is>
          <t>Corrective</t>
        </is>
      </c>
      <c r="G74" s="2" t="n">
        <v>0.2</v>
      </c>
      <c r="H74" s="2" t="n">
        <v>10.2</v>
      </c>
      <c r="I74" s="2" t="n">
        <v>966.97</v>
      </c>
      <c r="J74" s="2" t="inlineStr">
        <is>
          <t>Completed</t>
        </is>
      </c>
    </row>
    <row r="75">
      <c r="A75" s="2" t="n">
        <v>72</v>
      </c>
      <c r="B75" s="4" t="n">
        <v>46138</v>
      </c>
      <c r="C75" s="2" t="n">
        <v>231</v>
      </c>
      <c r="D75" s="2" t="inlineStr">
        <is>
          <t>Solid Dose Line 1</t>
        </is>
      </c>
      <c r="E75" s="2" t="inlineStr">
        <is>
          <t>Product B</t>
        </is>
      </c>
      <c r="F75" s="2" t="inlineStr">
        <is>
          <t>Corrective</t>
        </is>
      </c>
      <c r="G75" s="2" t="n">
        <v>1.57</v>
      </c>
      <c r="H75" s="2" t="n">
        <v>4.1</v>
      </c>
      <c r="I75" s="2" t="n">
        <v>535.0599999999999</v>
      </c>
      <c r="J75" s="2" t="inlineStr">
        <is>
          <t>Completed</t>
        </is>
      </c>
    </row>
    <row r="76">
      <c r="A76" s="2" t="n">
        <v>73</v>
      </c>
      <c r="B76" s="4" t="n">
        <v>46139</v>
      </c>
      <c r="C76" s="2" t="n">
        <v>233</v>
      </c>
      <c r="D76" s="2" t="inlineStr">
        <is>
          <t>Solid Dose Line 1</t>
        </is>
      </c>
      <c r="E76" s="2" t="inlineStr">
        <is>
          <t>Product B</t>
        </is>
      </c>
      <c r="F76" s="2" t="inlineStr">
        <is>
          <t>Corrective</t>
        </is>
      </c>
      <c r="G76" s="2" t="n">
        <v>2.24</v>
      </c>
      <c r="H76" s="2" t="n">
        <v>11.3</v>
      </c>
      <c r="I76" s="2" t="n">
        <v>892.1</v>
      </c>
      <c r="J76" s="2" t="inlineStr">
        <is>
          <t>Completed</t>
        </is>
      </c>
    </row>
    <row r="77">
      <c r="A77" s="2" t="n">
        <v>74</v>
      </c>
      <c r="B77" s="4" t="n">
        <v>46139</v>
      </c>
      <c r="C77" s="2" t="n">
        <v>234</v>
      </c>
      <c r="D77" s="2" t="inlineStr">
        <is>
          <t>Solid Dose Line 2</t>
        </is>
      </c>
      <c r="E77" s="2" t="inlineStr">
        <is>
          <t>Product A</t>
        </is>
      </c>
      <c r="F77" s="2" t="inlineStr">
        <is>
          <t>Corrective</t>
        </is>
      </c>
      <c r="G77" s="2" t="n">
        <v>0</v>
      </c>
      <c r="H77" s="2" t="n">
        <v>15.6</v>
      </c>
      <c r="I77" s="2" t="n">
        <v>420.11</v>
      </c>
      <c r="J77" s="2" t="inlineStr">
        <is>
          <t>Completed</t>
        </is>
      </c>
    </row>
    <row r="78">
      <c r="A78" s="2" t="n">
        <v>75</v>
      </c>
      <c r="B78" s="4" t="n">
        <v>46141</v>
      </c>
      <c r="C78" s="2" t="n">
        <v>237</v>
      </c>
      <c r="D78" s="2" t="inlineStr">
        <is>
          <t>Solid Dose Line 1</t>
        </is>
      </c>
      <c r="E78" s="2" t="inlineStr">
        <is>
          <t>Product A</t>
        </is>
      </c>
      <c r="F78" s="2" t="inlineStr">
        <is>
          <t>Preventive</t>
        </is>
      </c>
      <c r="G78" s="2" t="n">
        <v>1.99</v>
      </c>
      <c r="H78" s="2" t="n">
        <v>14.7</v>
      </c>
      <c r="I78" s="2" t="n">
        <v>210.82</v>
      </c>
      <c r="J78" s="2" t="inlineStr">
        <is>
          <t>Completed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1" t="inlineStr">
        <is>
          <t>PHARMACEUTICAL PRODUCTION ANALYSIS — EXCEL PROJECT</t>
        </is>
      </c>
      <c r="B1" s="2" t="n"/>
    </row>
    <row r="2">
      <c r="A2" s="2" t="n"/>
      <c r="B2" s="2" t="n"/>
    </row>
    <row r="3">
      <c r="A3" s="3" t="inlineStr">
        <is>
          <t>Important</t>
        </is>
      </c>
      <c r="B3" s="2" t="inlineStr">
        <is>
          <t>This is synthetic training data. It is for production/analytics practice, not pharmaceutical manufacturing instructions.</t>
        </is>
      </c>
    </row>
    <row r="4">
      <c r="A4" s="3" t="inlineStr">
        <is>
          <t>Scenario</t>
        </is>
      </c>
      <c r="B4" s="2" t="inlineStr">
        <is>
          <t>You are a Production Analyst supporting a pharmaceutical solid-dose manufacturing facility.</t>
        </is>
      </c>
    </row>
    <row r="5">
      <c r="A5" s="3" t="inlineStr">
        <is>
          <t>Objective</t>
        </is>
      </c>
      <c r="B5" s="2" t="inlineStr">
        <is>
          <t>Analyze batch performance, production efficiency, quality losses, deviations and maintenance.</t>
        </is>
      </c>
    </row>
    <row r="6">
      <c r="A6" s="3" t="inlineStr">
        <is>
          <t>Step 1</t>
        </is>
      </c>
      <c r="B6" s="2" t="inlineStr">
        <is>
          <t>Understand the batch-level data grain and inspect data quality: duplicates, blanks, invalid values and outliers.</t>
        </is>
      </c>
    </row>
    <row r="7">
      <c r="A7" s="3" t="inlineStr">
        <is>
          <t>Step 2</t>
        </is>
      </c>
      <c r="B7" s="2" t="inlineStr">
        <is>
          <t>Calculate Production Achievement %, Availability, Performance, Quality and OEE.</t>
        </is>
      </c>
    </row>
    <row r="8">
      <c r="A8" s="3" t="inlineStr">
        <is>
          <t>Step 3</t>
        </is>
      </c>
      <c r="B8" s="2" t="inlineStr">
        <is>
          <t>Analyze production performance by production line.</t>
        </is>
      </c>
    </row>
    <row r="9">
      <c r="A9" s="3" t="inlineStr">
        <is>
          <t>Step 4</t>
        </is>
      </c>
      <c r="B9" s="2" t="inlineStr">
        <is>
          <t>Compare Day, Evening and Night shifts.</t>
        </is>
      </c>
    </row>
    <row r="10">
      <c r="A10" s="3" t="inlineStr">
        <is>
          <t>Step 5</t>
        </is>
      </c>
      <c r="B10" s="2" t="inlineStr">
        <is>
          <t>Compare Products A, B and C for output, yield and reject rate.</t>
        </is>
      </c>
    </row>
    <row r="11">
      <c r="A11" s="3" t="inlineStr">
        <is>
          <t>Step 6</t>
        </is>
      </c>
      <c r="B11" s="2" t="inlineStr">
        <is>
          <t>Analyze rejected and under-review batches and quantify their production impact.</t>
        </is>
      </c>
    </row>
    <row r="12">
      <c r="A12" s="3" t="inlineStr">
        <is>
          <t>Step 7</t>
        </is>
      </c>
      <c r="B12" s="2" t="inlineStr">
        <is>
          <t>Analyze deviations by type, severity, line and product.</t>
        </is>
      </c>
    </row>
    <row r="13">
      <c r="A13" s="3" t="inlineStr">
        <is>
          <t>Step 8</t>
        </is>
      </c>
      <c r="B13" s="2" t="inlineStr">
        <is>
          <t>Compare preventive, corrective and emergency maintenance.</t>
        </is>
      </c>
    </row>
    <row r="14">
      <c r="A14" s="3" t="inlineStr">
        <is>
          <t>Step 9</t>
        </is>
      </c>
      <c r="B14" s="2" t="inlineStr">
        <is>
          <t>Calculate MTTR and MTBF using clearly documented assumptions.</t>
        </is>
      </c>
    </row>
    <row r="15">
      <c r="A15" s="3" t="inlineStr">
        <is>
          <t>Step 10</t>
        </is>
      </c>
      <c r="B15" s="2" t="inlineStr">
        <is>
          <t>Analyze maintenance cost and downtime by line.</t>
        </is>
      </c>
    </row>
    <row r="16">
      <c r="A16" s="3" t="inlineStr">
        <is>
          <t>Step 11</t>
        </is>
      </c>
      <c r="B16" s="2" t="inlineStr">
        <is>
          <t>Identify relationships between downtime, deviations, OEE and batch performance.</t>
        </is>
      </c>
    </row>
    <row r="17">
      <c r="A17" s="3" t="inlineStr">
        <is>
          <t>Step 12</t>
        </is>
      </c>
      <c r="B17" s="2" t="inlineStr">
        <is>
          <t>Build an executive Production &amp; Quality dashboard.</t>
        </is>
      </c>
    </row>
    <row r="18">
      <c r="A18" s="3" t="inlineStr">
        <is>
          <t>Step 13</t>
        </is>
      </c>
      <c r="B18" s="2" t="inlineStr">
        <is>
          <t>Write 5 evidence-based findings and 5 improvement recommendations.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1" t="inlineStr">
        <is>
          <t>PHARMACEUTICAL PRODUCTION KPI LAYER</t>
        </is>
      </c>
      <c r="B1" s="2" t="n"/>
    </row>
    <row r="2">
      <c r="A2" s="2" t="n"/>
      <c r="B2" s="2" t="n"/>
    </row>
    <row r="3">
      <c r="A3" s="3" t="inlineStr">
        <is>
          <t>Planned Units</t>
        </is>
      </c>
      <c r="B3" s="3">
        <f>SUM(Production_Data!F5:F244)</f>
        <v/>
      </c>
    </row>
    <row r="4">
      <c r="A4" s="3" t="inlineStr">
        <is>
          <t>Actual Units</t>
        </is>
      </c>
      <c r="B4" s="3">
        <f>SUM(Production_Data!G5:G244)</f>
        <v/>
      </c>
    </row>
    <row r="5">
      <c r="A5" s="3" t="inlineStr">
        <is>
          <t>Good Units</t>
        </is>
      </c>
      <c r="B5" s="3">
        <f>SUM(Production_Data!H5:H244)</f>
        <v/>
      </c>
    </row>
    <row r="6">
      <c r="A6" s="3" t="inlineStr">
        <is>
          <t>Rejected Units</t>
        </is>
      </c>
      <c r="B6" s="3">
        <f>SUM(Production_Data!I5:I244)</f>
        <v/>
      </c>
    </row>
    <row r="7">
      <c r="A7" s="3" t="inlineStr">
        <is>
          <t>Achievement %</t>
        </is>
      </c>
      <c r="B7" s="9">
        <f>B4/B3</f>
        <v/>
      </c>
    </row>
    <row r="8">
      <c r="A8" s="3" t="inlineStr">
        <is>
          <t>Average OEE %</t>
        </is>
      </c>
      <c r="B8" s="9">
        <f>AVERAGE(Production_Data!W5:W244)</f>
        <v/>
      </c>
    </row>
    <row r="9">
      <c r="A9" s="3" t="inlineStr">
        <is>
          <t>Average Availability %</t>
        </is>
      </c>
      <c r="B9" s="9">
        <f>AVERAGE(Production_Data!T5:T244)</f>
        <v/>
      </c>
    </row>
    <row r="10">
      <c r="A10" s="3" t="inlineStr">
        <is>
          <t>Average Performance %</t>
        </is>
      </c>
      <c r="B10" s="9">
        <f>AVERAGE(Production_Data!U5:U244)</f>
        <v/>
      </c>
    </row>
    <row r="11">
      <c r="A11" s="3" t="inlineStr">
        <is>
          <t>Average Quality %</t>
        </is>
      </c>
      <c r="B11" s="9">
        <f>AVERAGE(Production_Data!V5:V244)</f>
        <v/>
      </c>
    </row>
    <row r="12">
      <c r="A12" s="3" t="inlineStr">
        <is>
          <t>Total Downtime hr</t>
        </is>
      </c>
      <c r="B12" s="3">
        <f>SUM(Production_Data!K5:K244)</f>
        <v/>
      </c>
    </row>
    <row r="13">
      <c r="A13" s="3" t="inlineStr">
        <is>
          <t>Maintenance Cost</t>
        </is>
      </c>
      <c r="B13" s="3">
        <f>SUM(Production_Data!O5:O244)</f>
        <v/>
      </c>
    </row>
    <row r="14">
      <c r="A14" s="3" t="inlineStr">
        <is>
          <t>Reject Rate %</t>
        </is>
      </c>
      <c r="B14" s="9">
        <f>B6/B5</f>
        <v/>
      </c>
    </row>
    <row r="15">
      <c r="A15" s="3" t="inlineStr">
        <is>
          <t>Average Yield %</t>
        </is>
      </c>
      <c r="B15" s="9">
        <f>AVERAGE(Production_Data!X5:X244)</f>
        <v/>
      </c>
    </row>
    <row r="16">
      <c r="A16" s="3" t="inlineStr">
        <is>
          <t>Deviation Count</t>
        </is>
      </c>
      <c r="B16" s="3">
        <f>COUNTIF(Production_Data!L5:L244,"&lt;&gt;None")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3" t="inlineStr">
        <is>
          <t>Production Line</t>
        </is>
      </c>
      <c r="B1" s="3" t="inlineStr">
        <is>
          <t>Actual Units</t>
        </is>
      </c>
      <c r="C1" s="3" t="inlineStr">
        <is>
          <t>Achievement %</t>
        </is>
      </c>
      <c r="D1" s="3" t="inlineStr">
        <is>
          <t>OEE %</t>
        </is>
      </c>
      <c r="E1" s="3" t="inlineStr">
        <is>
          <t>Downtime hr</t>
        </is>
      </c>
      <c r="F1" s="3" t="inlineStr">
        <is>
          <t>Reject Rate %</t>
        </is>
      </c>
      <c r="G1" s="3" t="inlineStr">
        <is>
          <t>Maintenance Cost</t>
        </is>
      </c>
    </row>
    <row r="2">
      <c r="A2" s="2" t="inlineStr">
        <is>
          <t>Solid Dose Line 1</t>
        </is>
      </c>
      <c r="B2" s="2">
        <f>SUMIF(Production_Data!C:C,A2,Production_Data!G:G)</f>
        <v/>
      </c>
      <c r="C2" s="5">
        <f>SUMIF(Production_Data!C:C,A2,Production_Data!G:G)/SUMIF(Production_Data!C:C,A2,Production_Data!F:F)</f>
        <v/>
      </c>
      <c r="D2" s="5">
        <f>AVERAGEIF(Production_Data!C:C,A2,Production_Data!W:W)</f>
        <v/>
      </c>
      <c r="E2" s="2">
        <f>SUMIF(Production_Data!C:C,A2,Production_Data!K:K)</f>
        <v/>
      </c>
      <c r="F2" s="5">
        <f>SUMIF(Production_Data!C:C,A2,Production_Data!I:I)/SUMIF(Production_Data!C:C,A2,Production_Data!G:G)</f>
        <v/>
      </c>
      <c r="G2" s="2">
        <f>SUMIF(Production_Data!C:C,A2,Production_Data!O:O)</f>
        <v/>
      </c>
    </row>
    <row r="3">
      <c r="A3" s="2" t="inlineStr">
        <is>
          <t>Solid Dose Line 2</t>
        </is>
      </c>
      <c r="B3" s="2">
        <f>SUMIF(Production_Data!C:C,A3,Production_Data!G:G)</f>
        <v/>
      </c>
      <c r="C3" s="5">
        <f>SUMIF(Production_Data!C:C,A3,Production_Data!G:G)/SUMIF(Production_Data!C:C,A3,Production_Data!F:F)</f>
        <v/>
      </c>
      <c r="D3" s="5">
        <f>AVERAGEIF(Production_Data!C:C,A3,Production_Data!W:W)</f>
        <v/>
      </c>
      <c r="E3" s="2">
        <f>SUMIF(Production_Data!C:C,A3,Production_Data!K:K)</f>
        <v/>
      </c>
      <c r="F3" s="5">
        <f>SUMIF(Production_Data!C:C,A3,Production_Data!I:I)/SUMIF(Production_Data!C:C,A3,Production_Data!G:G)</f>
        <v/>
      </c>
      <c r="G3" s="2">
        <f>SUMIF(Production_Data!C:C,A3,Production_Data!O:O)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3" t="inlineStr">
        <is>
          <t>Shift</t>
        </is>
      </c>
      <c r="B1" s="3" t="inlineStr">
        <is>
          <t>Actual Units</t>
        </is>
      </c>
      <c r="C1" s="3" t="inlineStr">
        <is>
          <t>Achievement %</t>
        </is>
      </c>
      <c r="D1" s="3" t="inlineStr">
        <is>
          <t>OEE %</t>
        </is>
      </c>
      <c r="E1" s="3" t="inlineStr">
        <is>
          <t>Downtime hr</t>
        </is>
      </c>
      <c r="F1" s="3" t="inlineStr">
        <is>
          <t>Reject Rate %</t>
        </is>
      </c>
    </row>
    <row r="2">
      <c r="A2" s="2" t="inlineStr">
        <is>
          <t>Day</t>
        </is>
      </c>
      <c r="B2" s="2">
        <f>SUMIF(Production_Data!E:E,A2,Production_Data!G:G)</f>
        <v/>
      </c>
      <c r="C2" s="5">
        <f>SUMIF(Production_Data!E:E,A2,Production_Data!G:G)/SUMIF(Production_Data!E:E,A2,Production_Data!F:F)</f>
        <v/>
      </c>
      <c r="D2" s="5">
        <f>AVERAGEIF(Production_Data!E:E,A2,Production_Data!W:W)</f>
        <v/>
      </c>
      <c r="E2" s="2">
        <f>SUMIF(Production_Data!E:E,A2,Production_Data!K:K)</f>
        <v/>
      </c>
      <c r="F2" s="5">
        <f>SUMIF(Production_Data!E:E,A2,Production_Data!I:I)/SUMIF(Production_Data!E:E,A2,Production_Data!G:G)</f>
        <v/>
      </c>
    </row>
    <row r="3">
      <c r="A3" s="2" t="inlineStr">
        <is>
          <t>Evening</t>
        </is>
      </c>
      <c r="B3" s="2">
        <f>SUMIF(Production_Data!E:E,A3,Production_Data!G:G)</f>
        <v/>
      </c>
      <c r="C3" s="5">
        <f>SUMIF(Production_Data!E:E,A3,Production_Data!G:G)/SUMIF(Production_Data!E:E,A3,Production_Data!F:F)</f>
        <v/>
      </c>
      <c r="D3" s="5">
        <f>AVERAGEIF(Production_Data!E:E,A3,Production_Data!W:W)</f>
        <v/>
      </c>
      <c r="E3" s="2">
        <f>SUMIF(Production_Data!E:E,A3,Production_Data!K:K)</f>
        <v/>
      </c>
      <c r="F3" s="5">
        <f>SUMIF(Production_Data!E:E,A3,Production_Data!I:I)/SUMIF(Production_Data!E:E,A3,Production_Data!G:G)</f>
        <v/>
      </c>
    </row>
    <row r="4">
      <c r="A4" s="2" t="inlineStr">
        <is>
          <t>Night</t>
        </is>
      </c>
      <c r="B4" s="2">
        <f>SUMIF(Production_Data!E:E,A4,Production_Data!G:G)</f>
        <v/>
      </c>
      <c r="C4" s="5">
        <f>SUMIF(Production_Data!E:E,A4,Production_Data!G:G)/SUMIF(Production_Data!E:E,A4,Production_Data!F:F)</f>
        <v/>
      </c>
      <c r="D4" s="5">
        <f>AVERAGEIF(Production_Data!E:E,A4,Production_Data!W:W)</f>
        <v/>
      </c>
      <c r="E4" s="2">
        <f>SUMIF(Production_Data!E:E,A4,Production_Data!K:K)</f>
        <v/>
      </c>
      <c r="F4" s="5">
        <f>SUMIF(Production_Data!E:E,A4,Production_Data!I:I)/SUMIF(Production_Data!E:E,A4,Production_Data!G:G)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3" t="inlineStr">
        <is>
          <t>Product</t>
        </is>
      </c>
      <c r="B1" s="3" t="inlineStr">
        <is>
          <t>Actual Units</t>
        </is>
      </c>
      <c r="C1" s="3" t="inlineStr">
        <is>
          <t>Achievement %</t>
        </is>
      </c>
      <c r="D1" s="3" t="inlineStr">
        <is>
          <t>OEE %</t>
        </is>
      </c>
      <c r="E1" s="3" t="inlineStr">
        <is>
          <t>Yield %</t>
        </is>
      </c>
      <c r="F1" s="3" t="inlineStr">
        <is>
          <t>Reject Rate %</t>
        </is>
      </c>
      <c r="G1" s="3" t="inlineStr">
        <is>
          <t>Energy/Unit</t>
        </is>
      </c>
    </row>
    <row r="2">
      <c r="A2" s="2" t="inlineStr">
        <is>
          <t>Product A</t>
        </is>
      </c>
      <c r="B2" s="2">
        <f>SUMIF(Production_Data!D:D,A2,Production_Data!G:G)</f>
        <v/>
      </c>
      <c r="C2" s="5">
        <f>SUMIF(Production_Data!D:D,A2,Production_Data!G:G)/SUMIF(Production_Data!D:D,A2,Production_Data!F:F)</f>
        <v/>
      </c>
      <c r="D2" s="5">
        <f>AVERAGEIF(Production_Data!D:D,A2,Production_Data!W:W)</f>
        <v/>
      </c>
      <c r="E2" s="5">
        <f>AVERAGEIF(Production_Data!D:D,A2,Production_Data!X:X)</f>
        <v/>
      </c>
      <c r="F2" s="5">
        <f>SUMIF(Production_Data!D:D,A2,Production_Data!I:I)/SUMIF(Production_Data!D:D,A2,Production_Data!G:G)</f>
        <v/>
      </c>
      <c r="G2" s="2">
        <f>SUMIF(Production_Data!D:D,A2,Production_Data!Q:Q)/SUMIF(Production_Data!D:D,A2,Production_Data!G:G)</f>
        <v/>
      </c>
    </row>
    <row r="3">
      <c r="A3" s="2" t="inlineStr">
        <is>
          <t>Product B</t>
        </is>
      </c>
      <c r="B3" s="2">
        <f>SUMIF(Production_Data!D:D,A3,Production_Data!G:G)</f>
        <v/>
      </c>
      <c r="C3" s="5">
        <f>SUMIF(Production_Data!D:D,A3,Production_Data!G:G)/SUMIF(Production_Data!D:D,A3,Production_Data!F:F)</f>
        <v/>
      </c>
      <c r="D3" s="5">
        <f>AVERAGEIF(Production_Data!D:D,A3,Production_Data!W:W)</f>
        <v/>
      </c>
      <c r="E3" s="5">
        <f>AVERAGEIF(Production_Data!D:D,A3,Production_Data!X:X)</f>
        <v/>
      </c>
      <c r="F3" s="5">
        <f>SUMIF(Production_Data!D:D,A3,Production_Data!I:I)/SUMIF(Production_Data!D:D,A3,Production_Data!G:G)</f>
        <v/>
      </c>
      <c r="G3" s="2">
        <f>SUMIF(Production_Data!D:D,A3,Production_Data!Q:Q)/SUMIF(Production_Data!D:D,A3,Production_Data!G:G)</f>
        <v/>
      </c>
    </row>
    <row r="4">
      <c r="A4" s="2" t="inlineStr">
        <is>
          <t>Product C</t>
        </is>
      </c>
      <c r="B4" s="2">
        <f>SUMIF(Production_Data!D:D,A4,Production_Data!G:G)</f>
        <v/>
      </c>
      <c r="C4" s="5">
        <f>SUMIF(Production_Data!D:D,A4,Production_Data!G:G)/SUMIF(Production_Data!D:D,A4,Production_Data!F:F)</f>
        <v/>
      </c>
      <c r="D4" s="5">
        <f>AVERAGEIF(Production_Data!D:D,A4,Production_Data!W:W)</f>
        <v/>
      </c>
      <c r="E4" s="5">
        <f>AVERAGEIF(Production_Data!D:D,A4,Production_Data!X:X)</f>
        <v/>
      </c>
      <c r="F4" s="5">
        <f>SUMIF(Production_Data!D:D,A4,Production_Data!I:I)/SUMIF(Production_Data!D:D,A4,Production_Data!G:G)</f>
        <v/>
      </c>
      <c r="G4" s="2">
        <f>SUMIF(Production_Data!D:D,A4,Production_Data!Q:Q)/SUMIF(Production_Data!D:D,A4,Production_Data!G:G)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3" t="inlineStr">
        <is>
          <t>Deviation Type</t>
        </is>
      </c>
      <c r="B1" s="3" t="inlineStr">
        <is>
          <t>Events</t>
        </is>
      </c>
      <c r="C1" s="3" t="inlineStr">
        <is>
          <t>Investigation Hours</t>
        </is>
      </c>
    </row>
    <row r="2">
      <c r="A2" s="2" t="inlineStr">
        <is>
          <t>Equipment</t>
        </is>
      </c>
      <c r="B2" s="2">
        <f>COUNTIF(Deviation_Log!F:F,A2)</f>
        <v/>
      </c>
      <c r="C2" s="2">
        <f>SUMIF(Deviation_Log!F:F,A2,Deviation_Log!I:I)</f>
        <v/>
      </c>
    </row>
    <row r="3">
      <c r="A3" s="2" t="inlineStr">
        <is>
          <t>Documentation</t>
        </is>
      </c>
      <c r="B3" s="2">
        <f>COUNTIF(Deviation_Log!F:F,A3)</f>
        <v/>
      </c>
      <c r="C3" s="2">
        <f>SUMIF(Deviation_Log!F:F,A3,Deviation_Log!I:I)</f>
        <v/>
      </c>
    </row>
    <row r="4">
      <c r="A4" s="2" t="inlineStr">
        <is>
          <t>Material</t>
        </is>
      </c>
      <c r="B4" s="2">
        <f>COUNTIF(Deviation_Log!F:F,A4)</f>
        <v/>
      </c>
      <c r="C4" s="2">
        <f>SUMIF(Deviation_Log!F:F,A4,Deviation_Log!I:I)</f>
        <v/>
      </c>
    </row>
    <row r="5">
      <c r="A5" s="2" t="inlineStr">
        <is>
          <t>Process</t>
        </is>
      </c>
      <c r="B5" s="2">
        <f>COUNTIF(Deviation_Log!F:F,A5)</f>
        <v/>
      </c>
      <c r="C5" s="2">
        <f>SUMIF(Deviation_Log!F:F,A5,Deviation_Log!I:I)</f>
        <v/>
      </c>
    </row>
    <row r="6">
      <c r="A6" s="2" t="inlineStr">
        <is>
          <t>Environmental</t>
        </is>
      </c>
      <c r="B6" s="2">
        <f>COUNTIF(Deviation_Log!F:F,A6)</f>
        <v/>
      </c>
      <c r="C6" s="2">
        <f>SUMIF(Deviation_Log!F:F,A6,Deviation_Log!I:I)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3" t="inlineStr">
        <is>
          <t>Severity</t>
        </is>
      </c>
      <c r="B1" s="3" t="inlineStr">
        <is>
          <t>Events</t>
        </is>
      </c>
      <c r="C1" s="3" t="inlineStr">
        <is>
          <t>CAPA Required</t>
        </is>
      </c>
    </row>
    <row r="2">
      <c r="A2" s="2" t="inlineStr">
        <is>
          <t>Minor</t>
        </is>
      </c>
      <c r="B2" s="2">
        <f>COUNTIF(Deviation_Log!G:G,A2)</f>
        <v/>
      </c>
      <c r="C2" s="2">
        <f>COUNTIFS(Deviation_Log!G:G,A2,Deviation_Log!H:H,"CAPA Required")</f>
        <v/>
      </c>
    </row>
    <row r="3">
      <c r="A3" s="2" t="inlineStr">
        <is>
          <t>Major</t>
        </is>
      </c>
      <c r="B3" s="2">
        <f>COUNTIF(Deviation_Log!G:G,A3)</f>
        <v/>
      </c>
      <c r="C3" s="2">
        <f>COUNTIFS(Deviation_Log!G:G,A3,Deviation_Log!H:H,"CAPA Required")</f>
        <v/>
      </c>
    </row>
    <row r="4">
      <c r="A4" s="2" t="inlineStr">
        <is>
          <t>Critical</t>
        </is>
      </c>
      <c r="B4" s="2">
        <f>COUNTIF(Deviation_Log!G:G,A4)</f>
        <v/>
      </c>
      <c r="C4" s="2">
        <f>COUNTIFS(Deviation_Log!G:G,A4,Deviation_Log!H:H,"CAPA Required")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3" t="inlineStr">
        <is>
          <t>Maintenance Type</t>
        </is>
      </c>
      <c r="B1" s="3" t="inlineStr">
        <is>
          <t>Events</t>
        </is>
      </c>
      <c r="C1" s="3" t="inlineStr">
        <is>
          <t>Downtime hr</t>
        </is>
      </c>
      <c r="D1" s="3" t="inlineStr">
        <is>
          <t>Cost</t>
        </is>
      </c>
      <c r="E1" s="3" t="inlineStr">
        <is>
          <t>Avg Tech Hours</t>
        </is>
      </c>
    </row>
    <row r="2">
      <c r="A2" s="2" t="inlineStr">
        <is>
          <t>Preventive</t>
        </is>
      </c>
      <c r="B2" s="2">
        <f>COUNTIF(Maintenance_Log!F:F,A2)</f>
        <v/>
      </c>
      <c r="C2" s="2">
        <f>SUMIF(Maintenance_Log!F:F,A2,Maintenance_Log!G:G)</f>
        <v/>
      </c>
      <c r="D2" s="2">
        <f>SUMIF(Maintenance_Log!F:F,A2,Maintenance_Log!I:I)</f>
        <v/>
      </c>
      <c r="E2" s="2">
        <f>AVERAGEIF(Maintenance_Log!F:F,A2,Maintenance_Log!H:H)</f>
        <v/>
      </c>
    </row>
    <row r="3">
      <c r="A3" s="2" t="inlineStr">
        <is>
          <t>Corrective</t>
        </is>
      </c>
      <c r="B3" s="2">
        <f>COUNTIF(Maintenance_Log!F:F,A3)</f>
        <v/>
      </c>
      <c r="C3" s="2">
        <f>SUMIF(Maintenance_Log!F:F,A3,Maintenance_Log!G:G)</f>
        <v/>
      </c>
      <c r="D3" s="2">
        <f>SUMIF(Maintenance_Log!F:F,A3,Maintenance_Log!I:I)</f>
        <v/>
      </c>
      <c r="E3" s="2">
        <f>AVERAGEIF(Maintenance_Log!F:F,A3,Maintenance_Log!H:H)</f>
        <v/>
      </c>
    </row>
    <row r="4">
      <c r="A4" s="2" t="inlineStr">
        <is>
          <t>Emergency</t>
        </is>
      </c>
      <c r="B4" s="2">
        <f>COUNTIF(Maintenance_Log!F:F,A4)</f>
        <v/>
      </c>
      <c r="C4" s="2">
        <f>SUMIF(Maintenance_Log!F:F,A4,Maintenance_Log!G:G)</f>
        <v/>
      </c>
      <c r="D4" s="2">
        <f>SUMIF(Maintenance_Log!F:F,A4,Maintenance_Log!I:I)</f>
        <v/>
      </c>
      <c r="E4" s="2">
        <f>AVERAGEIF(Maintenance_Log!F:F,A4,Maintenance_Log!H:H)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0" t="inlineStr">
        <is>
          <t>PHARMACEUTICAL PRODUCTION PERFORMANCE DASHBOARD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1" t="inlineStr">
        <is>
          <t>Actual Units</t>
        </is>
      </c>
      <c r="B3" s="2" t="n"/>
      <c r="C3" s="11" t="inlineStr">
        <is>
          <t>OEE</t>
        </is>
      </c>
      <c r="D3" s="2" t="n"/>
      <c r="E3" s="11" t="inlineStr">
        <is>
          <t>Downtime (hr)</t>
        </is>
      </c>
      <c r="F3" s="2" t="n"/>
      <c r="G3" s="11" t="inlineStr">
        <is>
          <t>Deviation Count</t>
        </is>
      </c>
      <c r="H3" s="2" t="n"/>
    </row>
    <row r="4">
      <c r="A4" s="12">
        <f>KPI_Calculations!B4</f>
        <v/>
      </c>
      <c r="B4" s="2" t="n"/>
      <c r="C4" s="13">
        <f>KPI_Calculations!B8</f>
        <v/>
      </c>
      <c r="D4" s="2" t="n"/>
      <c r="E4" s="12">
        <f>KPI_Calculations!B12</f>
        <v/>
      </c>
      <c r="F4" s="2" t="n"/>
      <c r="G4" s="12">
        <f>KPI_Calculations!B16</f>
        <v/>
      </c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14" t="inlineStr">
        <is>
          <t>Management Questions</t>
        </is>
      </c>
      <c r="B39" s="2" t="n"/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1. Which production line has the lowest OEE?</t>
        </is>
      </c>
      <c r="B40" s="2" t="n"/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2. Which shift has the largest production gap?</t>
        </is>
      </c>
      <c r="B41" s="2" t="n"/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3. Which product has the highest rejection rate?</t>
        </is>
      </c>
      <c r="B42" s="2" t="n"/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4. What is the main deviation category?</t>
        </is>
      </c>
      <c r="B43" s="2" t="n"/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5. How much downtime is associated with corrective/emergency maintenance?</t>
        </is>
      </c>
      <c r="B44" s="2" t="n"/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6. Which area should management investigate first based on the data?</t>
        </is>
      </c>
      <c r="B45" s="2" t="n"/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7. What three measurable actions could improve performance?</t>
        </is>
      </c>
      <c r="B46" s="2" t="n"/>
      <c r="C46" s="2" t="n"/>
      <c r="D46" s="2" t="n"/>
      <c r="E46" s="2" t="n"/>
      <c r="F46" s="2" t="n"/>
      <c r="G46" s="2" t="n"/>
      <c r="H46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2026-09-27T10:07:11Z</dcterms:created>
  <dcterms:modified xmlns:dcterms="http://purl.org/dc/terms/" xmlns:xsi="http://www.w3.org/2001/XMLSchema-instance" xsi:type="dcterms:W3CDTF">2026-09-27T10:07:11Z</dcterms:modified>
</cp:coreProperties>
</file>