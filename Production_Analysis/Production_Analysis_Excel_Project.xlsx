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Project_Instructions" sheetId="2" state="visible" r:id="rId2"/>
    <sheet xmlns:r="http://schemas.openxmlformats.org/officeDocument/2006/relationships" name="KPI_Calculations" sheetId="3" state="visible" r:id="rId3"/>
    <sheet xmlns:r="http://schemas.openxmlformats.org/officeDocument/2006/relationships" name="Shift_Analysis" sheetId="4" state="visible" r:id="rId4"/>
    <sheet xmlns:r="http://schemas.openxmlformats.org/officeDocument/2006/relationships" name="Product_Analysis" sheetId="5" state="visible" r:id="rId5"/>
    <sheet xmlns:r="http://schemas.openxmlformats.org/officeDocument/2006/relationships" name="Downtime_Analysis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</font>
    <font>
      <b val="1"/>
      <sz val="20"/>
    </font>
    <font>
      <b val="1"/>
      <sz val="11"/>
    </font>
    <font>
      <b val="1"/>
      <sz val="16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166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Production by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'Shift_Analysis'!C1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'Shift_Analysis'!$A$2:$A$4</f>
            </numRef>
          </cat>
          <val>
            <numRef>
              <f>'Shift_Analysis'!$C$2:$C$4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Shift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Production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Downtime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'Downtime_Analysis'!C1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'Downtime_Analysis'!$A$2:$A$7</f>
            </numRef>
          </cat>
          <val>
            <numRef>
              <f>'Downtime_Analysis'!$C$2:$C$7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Achievement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'Product_Analysis'!$A$2:$A$4</f>
            </numRef>
          </cat>
          <val>
            <numRef>
              <f>'Product_Analysis'!$D$2:$D$4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ductionData" displayName="ProductionData" ref="A4:L274" headerRowCount="1">
  <autoFilter ref="A4:L274"/>
  <tableColumns count="12">
    <tableColumn id="1" name="Record_ID"/>
    <tableColumn id="2" name="Date"/>
    <tableColumn id="3" name="Shift"/>
    <tableColumn id="4" name="Product"/>
    <tableColumn id="5" name="Target_Production_t"/>
    <tableColumn id="6" name="Actual_Production_t"/>
    <tableColumn id="7" name="Downtime_hr"/>
    <tableColumn id="8" name="Downtime_Reason"/>
    <tableColumn id="9" name="Raw_Material_t"/>
    <tableColumn id="10" name="Energy_kWh"/>
    <tableColumn id="11" name="Defects_t"/>
    <tableColumn id="12" name="Operator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21" customWidth="1" min="5" max="5"/>
    <col width="21" customWidth="1" min="6" max="6"/>
    <col width="13" customWidth="1" min="7" max="7"/>
    <col width="23" customWidth="1" min="8" max="8"/>
    <col width="16" customWidth="1" min="9" max="9"/>
    <col width="12" customWidth="1" min="10" max="10"/>
    <col width="12" customWidth="1" min="11" max="11"/>
    <col width="12" customWidth="1" min="12" max="12"/>
    <col width="15" customWidth="1" min="13" max="13"/>
    <col width="19" customWidth="1" min="14" max="14"/>
    <col width="18" customWidth="1" min="15" max="15"/>
    <col width="16" customWidth="1" min="16" max="16"/>
    <col width="21" customWidth="1" min="17" max="17"/>
    <col width="24" customWidth="1" min="18" max="18"/>
  </cols>
  <sheetData>
    <row r="1">
      <c r="A1" s="1" t="inlineStr">
        <is>
          <t>PRODUCTION ANALYSIS PROJECT</t>
        </is>
      </c>
    </row>
    <row r="2">
      <c r="A2" s="2" t="inlineStr">
        <is>
          <t>Industrial Production Dataset | 90 Days | 270 Production Records</t>
        </is>
      </c>
    </row>
    <row r="3"/>
    <row r="4">
      <c r="A4" s="3" t="inlineStr">
        <is>
          <t>Record_ID</t>
        </is>
      </c>
      <c r="B4" s="3" t="inlineStr">
        <is>
          <t>Date</t>
        </is>
      </c>
      <c r="C4" s="3" t="inlineStr">
        <is>
          <t>Shift</t>
        </is>
      </c>
      <c r="D4" s="3" t="inlineStr">
        <is>
          <t>Product</t>
        </is>
      </c>
      <c r="E4" s="3" t="inlineStr">
        <is>
          <t>Target_Production_t</t>
        </is>
      </c>
      <c r="F4" s="3" t="inlineStr">
        <is>
          <t>Actual_Production_t</t>
        </is>
      </c>
      <c r="G4" s="3" t="inlineStr">
        <is>
          <t>Downtime_hr</t>
        </is>
      </c>
      <c r="H4" s="3" t="inlineStr">
        <is>
          <t>Downtime_Reason</t>
        </is>
      </c>
      <c r="I4" s="3" t="inlineStr">
        <is>
          <t>Raw_Material_t</t>
        </is>
      </c>
      <c r="J4" s="3" t="inlineStr">
        <is>
          <t>Energy_kWh</t>
        </is>
      </c>
      <c r="K4" s="3" t="inlineStr">
        <is>
          <t>Defects_t</t>
        </is>
      </c>
      <c r="L4" s="3" t="inlineStr">
        <is>
          <t>Operators</t>
        </is>
      </c>
      <c r="M4" s="4" t="inlineStr">
        <is>
          <t>Achievement_%</t>
        </is>
      </c>
      <c r="N4" s="4" t="inlineStr">
        <is>
          <t>Efficiency_%</t>
        </is>
      </c>
      <c r="O4" s="4" t="inlineStr">
        <is>
          <t>Material_per_Ton</t>
        </is>
      </c>
      <c r="P4" s="4" t="inlineStr">
        <is>
          <t>Energy_per_Ton</t>
        </is>
      </c>
      <c r="Q4" s="4" t="inlineStr">
        <is>
          <t>Defect_Rate_%</t>
        </is>
      </c>
      <c r="R4" s="4" t="inlineStr">
        <is>
          <t>Status</t>
        </is>
      </c>
    </row>
    <row r="5">
      <c r="A5" t="n">
        <v>1</v>
      </c>
      <c r="B5" s="5" t="n">
        <v>46023</v>
      </c>
      <c r="C5" t="inlineStr">
        <is>
          <t>Day</t>
        </is>
      </c>
      <c r="D5" t="inlineStr">
        <is>
          <t>OPC</t>
        </is>
      </c>
      <c r="E5" s="6" t="n">
        <v>1124</v>
      </c>
      <c r="F5" s="6" t="n">
        <v>1093.8</v>
      </c>
      <c r="G5" s="6" t="n">
        <v>2.36</v>
      </c>
      <c r="H5" t="inlineStr">
        <is>
          <t>Mechanical Failure</t>
        </is>
      </c>
      <c r="I5" s="6" t="n">
        <v>1723</v>
      </c>
      <c r="J5" s="6" t="n">
        <v>93045.5</v>
      </c>
      <c r="K5" t="n">
        <v>0</v>
      </c>
      <c r="L5" t="n">
        <v>8</v>
      </c>
      <c r="M5" s="7">
        <f>F5/E5</f>
        <v/>
      </c>
      <c r="N5" s="7">
        <f>F5/(E5+G5*45)</f>
        <v/>
      </c>
      <c r="O5" s="6">
        <f>I5/F5</f>
        <v/>
      </c>
      <c r="P5" s="6">
        <f>J5/F5</f>
        <v/>
      </c>
      <c r="Q5" s="7">
        <f>IFERROR(K5/F5,0)</f>
        <v/>
      </c>
      <c r="R5">
        <f>IF(M5&gt;=1,"On Target",IF(M5&gt;=0.9,"Watch","Below Target"))</f>
        <v/>
      </c>
    </row>
    <row r="6">
      <c r="A6" t="n">
        <v>2</v>
      </c>
      <c r="B6" s="5" t="n">
        <v>46023</v>
      </c>
      <c r="C6" t="inlineStr">
        <is>
          <t>Evening</t>
        </is>
      </c>
      <c r="D6" t="inlineStr">
        <is>
          <t>PPC</t>
        </is>
      </c>
      <c r="E6" s="6" t="n">
        <v>1039</v>
      </c>
      <c r="F6" s="6" t="n">
        <v>864.5</v>
      </c>
      <c r="G6" s="6" t="n">
        <v>3.17</v>
      </c>
      <c r="H6" t="inlineStr">
        <is>
          <t>Mechanical Failure</t>
        </is>
      </c>
      <c r="I6" s="6" t="n">
        <v>1235</v>
      </c>
      <c r="J6" s="6" t="n">
        <v>74174.60000000001</v>
      </c>
      <c r="K6" t="n">
        <v>2</v>
      </c>
      <c r="L6" t="n">
        <v>10</v>
      </c>
      <c r="M6" s="7">
        <f>F6/E6</f>
        <v/>
      </c>
      <c r="N6" s="7">
        <f>F6/(E6+G6*45)</f>
        <v/>
      </c>
      <c r="O6" s="6">
        <f>I6/F6</f>
        <v/>
      </c>
      <c r="P6" s="6">
        <f>J6/F6</f>
        <v/>
      </c>
      <c r="Q6" s="7">
        <f>IFERROR(K6/F6,0)</f>
        <v/>
      </c>
      <c r="R6">
        <f>IF(M6&gt;=1,"On Target",IF(M6&gt;=0.9,"Watch","Below Target"))</f>
        <v/>
      </c>
    </row>
    <row r="7">
      <c r="A7" t="n">
        <v>3</v>
      </c>
      <c r="B7" s="5" t="n">
        <v>46023</v>
      </c>
      <c r="C7" t="inlineStr">
        <is>
          <t>Night</t>
        </is>
      </c>
      <c r="D7" t="inlineStr">
        <is>
          <t>SRC</t>
        </is>
      </c>
      <c r="E7" s="6" t="n">
        <v>954</v>
      </c>
      <c r="F7" s="6" t="n">
        <v>704</v>
      </c>
      <c r="G7" s="6" t="n">
        <v>4.33</v>
      </c>
      <c r="H7" t="inlineStr">
        <is>
          <t>Mechanical Failure</t>
        </is>
      </c>
      <c r="I7" s="6" t="n">
        <v>1056.7</v>
      </c>
      <c r="J7" s="6" t="n">
        <v>58043.3</v>
      </c>
      <c r="K7" t="n">
        <v>1</v>
      </c>
      <c r="L7" t="n">
        <v>8</v>
      </c>
      <c r="M7" s="7">
        <f>F7/E7</f>
        <v/>
      </c>
      <c r="N7" s="7">
        <f>F7/(E7+G7*45)</f>
        <v/>
      </c>
      <c r="O7" s="6">
        <f>I7/F7</f>
        <v/>
      </c>
      <c r="P7" s="6">
        <f>J7/F7</f>
        <v/>
      </c>
      <c r="Q7" s="7">
        <f>IFERROR(K7/F7,0)</f>
        <v/>
      </c>
      <c r="R7">
        <f>IF(M7&gt;=1,"On Target",IF(M7&gt;=0.9,"Watch","Below Target"))</f>
        <v/>
      </c>
    </row>
    <row r="8">
      <c r="A8" t="n">
        <v>4</v>
      </c>
      <c r="B8" s="5" t="n">
        <v>46024</v>
      </c>
      <c r="C8" t="inlineStr">
        <is>
          <t>Day</t>
        </is>
      </c>
      <c r="D8" t="inlineStr">
        <is>
          <t>SRC</t>
        </is>
      </c>
      <c r="E8" s="6" t="n">
        <v>999</v>
      </c>
      <c r="F8" s="6" t="n">
        <v>940.5</v>
      </c>
      <c r="G8" s="6" t="n">
        <v>2.77</v>
      </c>
      <c r="H8" t="inlineStr">
        <is>
          <t>Mechanical Failure</t>
        </is>
      </c>
      <c r="I8" s="6" t="n">
        <v>1455.2</v>
      </c>
      <c r="J8" s="6" t="n">
        <v>72980</v>
      </c>
      <c r="K8" t="n">
        <v>3</v>
      </c>
      <c r="L8" t="n">
        <v>8</v>
      </c>
      <c r="M8" s="7">
        <f>F8/E8</f>
        <v/>
      </c>
      <c r="N8" s="7">
        <f>F8/(E8+G8*45)</f>
        <v/>
      </c>
      <c r="O8" s="6">
        <f>I8/F8</f>
        <v/>
      </c>
      <c r="P8" s="6">
        <f>J8/F8</f>
        <v/>
      </c>
      <c r="Q8" s="7">
        <f>IFERROR(K8/F8,0)</f>
        <v/>
      </c>
      <c r="R8">
        <f>IF(M8&gt;=1,"On Target",IF(M8&gt;=0.9,"Watch","Below Target"))</f>
        <v/>
      </c>
    </row>
    <row r="9">
      <c r="A9" t="n">
        <v>5</v>
      </c>
      <c r="B9" s="5" t="n">
        <v>46024</v>
      </c>
      <c r="C9" t="inlineStr">
        <is>
          <t>Evening</t>
        </is>
      </c>
      <c r="D9" t="inlineStr">
        <is>
          <t>PPC</t>
        </is>
      </c>
      <c r="E9" s="6" t="n">
        <v>1011</v>
      </c>
      <c r="F9" s="6" t="n">
        <v>891.2</v>
      </c>
      <c r="G9" s="6" t="n">
        <v>2.11</v>
      </c>
      <c r="H9" t="inlineStr">
        <is>
          <t>Planned Maintenance</t>
        </is>
      </c>
      <c r="I9" s="6" t="n">
        <v>1349.1</v>
      </c>
      <c r="J9" s="6" t="n">
        <v>77359</v>
      </c>
      <c r="K9" t="n">
        <v>4</v>
      </c>
      <c r="L9" t="n">
        <v>10</v>
      </c>
      <c r="M9" s="7">
        <f>F9/E9</f>
        <v/>
      </c>
      <c r="N9" s="7">
        <f>F9/(E9+G9*45)</f>
        <v/>
      </c>
      <c r="O9" s="6">
        <f>I9/F9</f>
        <v/>
      </c>
      <c r="P9" s="6">
        <f>J9/F9</f>
        <v/>
      </c>
      <c r="Q9" s="7">
        <f>IFERROR(K9/F9,0)</f>
        <v/>
      </c>
      <c r="R9">
        <f>IF(M9&gt;=1,"On Target",IF(M9&gt;=0.9,"Watch","Below Target"))</f>
        <v/>
      </c>
    </row>
    <row r="10">
      <c r="A10" t="n">
        <v>6</v>
      </c>
      <c r="B10" s="5" t="n">
        <v>46024</v>
      </c>
      <c r="C10" t="inlineStr">
        <is>
          <t>Night</t>
        </is>
      </c>
      <c r="D10" t="inlineStr">
        <is>
          <t>OPC</t>
        </is>
      </c>
      <c r="E10" s="6" t="n">
        <v>1149</v>
      </c>
      <c r="F10" s="6" t="n">
        <v>941.2</v>
      </c>
      <c r="G10" s="6" t="n">
        <v>3</v>
      </c>
      <c r="H10" t="inlineStr">
        <is>
          <t>Quality Issue</t>
        </is>
      </c>
      <c r="I10" s="6" t="n">
        <v>1445.8</v>
      </c>
      <c r="J10" s="6" t="n">
        <v>77502.5</v>
      </c>
      <c r="K10" t="n">
        <v>2</v>
      </c>
      <c r="L10" t="n">
        <v>11</v>
      </c>
      <c r="M10" s="7">
        <f>F10/E10</f>
        <v/>
      </c>
      <c r="N10" s="7">
        <f>F10/(E10+G10*45)</f>
        <v/>
      </c>
      <c r="O10" s="6">
        <f>I10/F10</f>
        <v/>
      </c>
      <c r="P10" s="6">
        <f>J10/F10</f>
        <v/>
      </c>
      <c r="Q10" s="7">
        <f>IFERROR(K10/F10,0)</f>
        <v/>
      </c>
      <c r="R10">
        <f>IF(M10&gt;=1,"On Target",IF(M10&gt;=0.9,"Watch","Below Target"))</f>
        <v/>
      </c>
    </row>
    <row r="11">
      <c r="A11" t="n">
        <v>7</v>
      </c>
      <c r="B11" s="5" t="n">
        <v>46025</v>
      </c>
      <c r="C11" t="inlineStr">
        <is>
          <t>Day</t>
        </is>
      </c>
      <c r="D11" t="inlineStr">
        <is>
          <t>OPC</t>
        </is>
      </c>
      <c r="E11" s="6" t="n">
        <v>1180</v>
      </c>
      <c r="F11" s="6" t="n">
        <v>1068</v>
      </c>
      <c r="G11" s="6" t="n">
        <v>1.58</v>
      </c>
      <c r="H11" t="inlineStr">
        <is>
          <t>Electrical Failure</t>
        </is>
      </c>
      <c r="I11" s="6" t="n">
        <v>1647.2</v>
      </c>
      <c r="J11" s="6" t="n">
        <v>83705.89999999999</v>
      </c>
      <c r="K11" t="n">
        <v>7</v>
      </c>
      <c r="L11" t="n">
        <v>12</v>
      </c>
      <c r="M11" s="7">
        <f>F11/E11</f>
        <v/>
      </c>
      <c r="N11" s="7">
        <f>F11/(E11+G11*45)</f>
        <v/>
      </c>
      <c r="O11" s="6">
        <f>I11/F11</f>
        <v/>
      </c>
      <c r="P11" s="6">
        <f>J11/F11</f>
        <v/>
      </c>
      <c r="Q11" s="7">
        <f>IFERROR(K11/F11,0)</f>
        <v/>
      </c>
      <c r="R11">
        <f>IF(M11&gt;=1,"On Target",IF(M11&gt;=0.9,"Watch","Below Target"))</f>
        <v/>
      </c>
    </row>
    <row r="12">
      <c r="A12" t="n">
        <v>8</v>
      </c>
      <c r="B12" s="5" t="n">
        <v>46025</v>
      </c>
      <c r="C12" t="inlineStr">
        <is>
          <t>Evening</t>
        </is>
      </c>
      <c r="D12" t="inlineStr">
        <is>
          <t>OPC</t>
        </is>
      </c>
      <c r="E12" s="6" t="n">
        <v>1153</v>
      </c>
      <c r="F12" s="6" t="n">
        <v>971.5</v>
      </c>
      <c r="G12" s="6" t="n">
        <v>3.62</v>
      </c>
      <c r="H12" t="inlineStr">
        <is>
          <t>Quality Issue</t>
        </is>
      </c>
      <c r="I12" s="6" t="n">
        <v>1489</v>
      </c>
      <c r="J12" s="6" t="n">
        <v>77157.3</v>
      </c>
      <c r="K12" t="n">
        <v>5</v>
      </c>
      <c r="L12" t="n">
        <v>8</v>
      </c>
      <c r="M12" s="7">
        <f>F12/E12</f>
        <v/>
      </c>
      <c r="N12" s="7">
        <f>F12/(E12+G12*45)</f>
        <v/>
      </c>
      <c r="O12" s="6">
        <f>I12/F12</f>
        <v/>
      </c>
      <c r="P12" s="6">
        <f>J12/F12</f>
        <v/>
      </c>
      <c r="Q12" s="7">
        <f>IFERROR(K12/F12,0)</f>
        <v/>
      </c>
      <c r="R12">
        <f>IF(M12&gt;=1,"On Target",IF(M12&gt;=0.9,"Watch","Below Target"))</f>
        <v/>
      </c>
    </row>
    <row r="13">
      <c r="A13" t="n">
        <v>9</v>
      </c>
      <c r="B13" s="5" t="n">
        <v>46025</v>
      </c>
      <c r="C13" t="inlineStr">
        <is>
          <t>Night</t>
        </is>
      </c>
      <c r="D13" t="inlineStr">
        <is>
          <t>OPC</t>
        </is>
      </c>
      <c r="E13" s="6" t="n">
        <v>1160</v>
      </c>
      <c r="F13" s="6" t="n">
        <v>854.5</v>
      </c>
      <c r="G13" s="6" t="n">
        <v>4.3</v>
      </c>
      <c r="H13" t="inlineStr">
        <is>
          <t>Electrical Failure</t>
        </is>
      </c>
      <c r="I13" s="6" t="n">
        <v>1292.2</v>
      </c>
      <c r="J13" s="6" t="n">
        <v>71286.10000000001</v>
      </c>
      <c r="K13" t="n">
        <v>2</v>
      </c>
      <c r="L13" t="n">
        <v>9</v>
      </c>
      <c r="M13" s="7">
        <f>F13/E13</f>
        <v/>
      </c>
      <c r="N13" s="7">
        <f>F13/(E13+G13*45)</f>
        <v/>
      </c>
      <c r="O13" s="6">
        <f>I13/F13</f>
        <v/>
      </c>
      <c r="P13" s="6">
        <f>J13/F13</f>
        <v/>
      </c>
      <c r="Q13" s="7">
        <f>IFERROR(K13/F13,0)</f>
        <v/>
      </c>
      <c r="R13">
        <f>IF(M13&gt;=1,"On Target",IF(M13&gt;=0.9,"Watch","Below Target"))</f>
        <v/>
      </c>
    </row>
    <row r="14">
      <c r="A14" t="n">
        <v>10</v>
      </c>
      <c r="B14" s="5" t="n">
        <v>46026</v>
      </c>
      <c r="C14" t="inlineStr">
        <is>
          <t>Day</t>
        </is>
      </c>
      <c r="D14" t="inlineStr">
        <is>
          <t>PPC</t>
        </is>
      </c>
      <c r="E14" s="6" t="n">
        <v>1037</v>
      </c>
      <c r="F14" s="6" t="n">
        <v>1065.6</v>
      </c>
      <c r="G14" s="6" t="n">
        <v>0.09</v>
      </c>
      <c r="H14" t="inlineStr">
        <is>
          <t>No Downtime</t>
        </is>
      </c>
      <c r="I14" s="6" t="n">
        <v>1623.3</v>
      </c>
      <c r="J14" s="6" t="n">
        <v>91504.60000000001</v>
      </c>
      <c r="K14" t="n">
        <v>3</v>
      </c>
      <c r="L14" t="n">
        <v>7</v>
      </c>
      <c r="M14" s="7">
        <f>F14/E14</f>
        <v/>
      </c>
      <c r="N14" s="7">
        <f>F14/(E14+G14*45)</f>
        <v/>
      </c>
      <c r="O14" s="6">
        <f>I14/F14</f>
        <v/>
      </c>
      <c r="P14" s="6">
        <f>J14/F14</f>
        <v/>
      </c>
      <c r="Q14" s="7">
        <f>IFERROR(K14/F14,0)</f>
        <v/>
      </c>
      <c r="R14">
        <f>IF(M14&gt;=1,"On Target",IF(M14&gt;=0.9,"Watch","Below Target"))</f>
        <v/>
      </c>
    </row>
    <row r="15">
      <c r="A15" t="n">
        <v>11</v>
      </c>
      <c r="B15" s="5" t="n">
        <v>46026</v>
      </c>
      <c r="C15" t="inlineStr">
        <is>
          <t>Evening</t>
        </is>
      </c>
      <c r="D15" t="inlineStr">
        <is>
          <t>PPC</t>
        </is>
      </c>
      <c r="E15" s="6" t="n">
        <v>1086</v>
      </c>
      <c r="F15" s="6" t="n">
        <v>981.7</v>
      </c>
      <c r="G15" s="6" t="n">
        <v>2.16</v>
      </c>
      <c r="H15" t="inlineStr">
        <is>
          <t>Electrical Failure</t>
        </is>
      </c>
      <c r="I15" s="6" t="n">
        <v>1507.7</v>
      </c>
      <c r="J15" s="6" t="n">
        <v>79844.10000000001</v>
      </c>
      <c r="K15" t="n">
        <v>3</v>
      </c>
      <c r="L15" t="n">
        <v>7</v>
      </c>
      <c r="M15" s="7">
        <f>F15/E15</f>
        <v/>
      </c>
      <c r="N15" s="7">
        <f>F15/(E15+G15*45)</f>
        <v/>
      </c>
      <c r="O15" s="6">
        <f>I15/F15</f>
        <v/>
      </c>
      <c r="P15" s="6">
        <f>J15/F15</f>
        <v/>
      </c>
      <c r="Q15" s="7">
        <f>IFERROR(K15/F15,0)</f>
        <v/>
      </c>
      <c r="R15">
        <f>IF(M15&gt;=1,"On Target",IF(M15&gt;=0.9,"Watch","Below Target"))</f>
        <v/>
      </c>
    </row>
    <row r="16">
      <c r="A16" t="n">
        <v>12</v>
      </c>
      <c r="B16" s="5" t="n">
        <v>46026</v>
      </c>
      <c r="C16" t="inlineStr">
        <is>
          <t>Night</t>
        </is>
      </c>
      <c r="D16" t="inlineStr">
        <is>
          <t>OPC</t>
        </is>
      </c>
      <c r="E16" s="6" t="n">
        <v>1121</v>
      </c>
      <c r="F16" s="6" t="n">
        <v>824.1</v>
      </c>
      <c r="G16" s="6" t="n">
        <v>3.07</v>
      </c>
      <c r="H16" t="inlineStr">
        <is>
          <t>Electrical Failure</t>
        </is>
      </c>
      <c r="I16" s="6" t="n">
        <v>1255.6</v>
      </c>
      <c r="J16" s="6" t="n">
        <v>66150.5</v>
      </c>
      <c r="K16" t="n">
        <v>1</v>
      </c>
      <c r="L16" t="n">
        <v>11</v>
      </c>
      <c r="M16" s="7">
        <f>F16/E16</f>
        <v/>
      </c>
      <c r="N16" s="7">
        <f>F16/(E16+G16*45)</f>
        <v/>
      </c>
      <c r="O16" s="6">
        <f>I16/F16</f>
        <v/>
      </c>
      <c r="P16" s="6">
        <f>J16/F16</f>
        <v/>
      </c>
      <c r="Q16" s="7">
        <f>IFERROR(K16/F16,0)</f>
        <v/>
      </c>
      <c r="R16">
        <f>IF(M16&gt;=1,"On Target",IF(M16&gt;=0.9,"Watch","Below Target"))</f>
        <v/>
      </c>
    </row>
    <row r="17">
      <c r="A17" t="n">
        <v>13</v>
      </c>
      <c r="B17" s="5" t="n">
        <v>46027</v>
      </c>
      <c r="C17" t="inlineStr">
        <is>
          <t>Day</t>
        </is>
      </c>
      <c r="D17" t="inlineStr">
        <is>
          <t>OPC</t>
        </is>
      </c>
      <c r="E17" s="6" t="n">
        <v>1110</v>
      </c>
      <c r="F17" s="6" t="n">
        <v>1058.1</v>
      </c>
      <c r="G17" s="6" t="n">
        <v>1.22</v>
      </c>
      <c r="H17" t="inlineStr">
        <is>
          <t>Quality Issue</t>
        </is>
      </c>
      <c r="I17" s="6" t="n">
        <v>1650.7</v>
      </c>
      <c r="J17" s="6" t="n">
        <v>89949.2</v>
      </c>
      <c r="K17" t="n">
        <v>3</v>
      </c>
      <c r="L17" t="n">
        <v>12</v>
      </c>
      <c r="M17" s="7">
        <f>F17/E17</f>
        <v/>
      </c>
      <c r="N17" s="7">
        <f>F17/(E17+G17*45)</f>
        <v/>
      </c>
      <c r="O17" s="6">
        <f>I17/F17</f>
        <v/>
      </c>
      <c r="P17" s="6">
        <f>J17/F17</f>
        <v/>
      </c>
      <c r="Q17" s="7">
        <f>IFERROR(K17/F17,0)</f>
        <v/>
      </c>
      <c r="R17">
        <f>IF(M17&gt;=1,"On Target",IF(M17&gt;=0.9,"Watch","Below Target"))</f>
        <v/>
      </c>
    </row>
    <row r="18">
      <c r="A18" t="n">
        <v>14</v>
      </c>
      <c r="B18" s="5" t="n">
        <v>46027</v>
      </c>
      <c r="C18" t="inlineStr">
        <is>
          <t>Evening</t>
        </is>
      </c>
      <c r="D18" t="inlineStr">
        <is>
          <t>OPC</t>
        </is>
      </c>
      <c r="E18" s="6" t="n">
        <v>1125</v>
      </c>
      <c r="F18" s="6" t="n">
        <v>1059.6</v>
      </c>
      <c r="G18" s="6" t="n">
        <v>1.72</v>
      </c>
      <c r="H18" t="inlineStr">
        <is>
          <t>Mechanical Failure</t>
        </is>
      </c>
      <c r="I18" s="6" t="n">
        <v>1673.9</v>
      </c>
      <c r="J18" s="6" t="n">
        <v>90593.3</v>
      </c>
      <c r="K18" t="n">
        <v>0</v>
      </c>
      <c r="L18" t="n">
        <v>9</v>
      </c>
      <c r="M18" s="7">
        <f>F18/E18</f>
        <v/>
      </c>
      <c r="N18" s="7">
        <f>F18/(E18+G18*45)</f>
        <v/>
      </c>
      <c r="O18" s="6">
        <f>I18/F18</f>
        <v/>
      </c>
      <c r="P18" s="6">
        <f>J18/F18</f>
        <v/>
      </c>
      <c r="Q18" s="7">
        <f>IFERROR(K18/F18,0)</f>
        <v/>
      </c>
      <c r="R18">
        <f>IF(M18&gt;=1,"On Target",IF(M18&gt;=0.9,"Watch","Below Target"))</f>
        <v/>
      </c>
    </row>
    <row r="19">
      <c r="A19" t="n">
        <v>15</v>
      </c>
      <c r="B19" s="5" t="n">
        <v>46027</v>
      </c>
      <c r="C19" t="inlineStr">
        <is>
          <t>Night</t>
        </is>
      </c>
      <c r="D19" t="inlineStr">
        <is>
          <t>SRC</t>
        </is>
      </c>
      <c r="E19" s="6" t="n">
        <v>959</v>
      </c>
      <c r="F19" s="6" t="n">
        <v>766.6</v>
      </c>
      <c r="G19" s="6" t="n">
        <v>3.35</v>
      </c>
      <c r="H19" t="inlineStr">
        <is>
          <t>Planned Maintenance</t>
        </is>
      </c>
      <c r="I19" s="6" t="n">
        <v>1144.3</v>
      </c>
      <c r="J19" s="6" t="n">
        <v>61877.1</v>
      </c>
      <c r="K19" t="n">
        <v>5</v>
      </c>
      <c r="L19" t="n">
        <v>10</v>
      </c>
      <c r="M19" s="7">
        <f>F19/E19</f>
        <v/>
      </c>
      <c r="N19" s="7">
        <f>F19/(E19+G19*45)</f>
        <v/>
      </c>
      <c r="O19" s="6">
        <f>I19/F19</f>
        <v/>
      </c>
      <c r="P19" s="6">
        <f>J19/F19</f>
        <v/>
      </c>
      <c r="Q19" s="7">
        <f>IFERROR(K19/F19,0)</f>
        <v/>
      </c>
      <c r="R19">
        <f>IF(M19&gt;=1,"On Target",IF(M19&gt;=0.9,"Watch","Below Target"))</f>
        <v/>
      </c>
    </row>
    <row r="20">
      <c r="A20" t="n">
        <v>16</v>
      </c>
      <c r="B20" s="5" t="n">
        <v>46028</v>
      </c>
      <c r="C20" t="inlineStr">
        <is>
          <t>Day</t>
        </is>
      </c>
      <c r="D20" t="inlineStr">
        <is>
          <t>OPC</t>
        </is>
      </c>
      <c r="E20" s="6" t="n">
        <v>1110</v>
      </c>
      <c r="F20" s="6" t="n">
        <v>1001.2</v>
      </c>
      <c r="G20" s="6" t="n">
        <v>3.42</v>
      </c>
      <c r="H20" t="inlineStr">
        <is>
          <t>Electrical Failure</t>
        </is>
      </c>
      <c r="I20" s="6" t="n">
        <v>1540.1</v>
      </c>
      <c r="J20" s="6" t="n">
        <v>83288.10000000001</v>
      </c>
      <c r="K20" t="n">
        <v>3</v>
      </c>
      <c r="L20" t="n">
        <v>10</v>
      </c>
      <c r="M20" s="7">
        <f>F20/E20</f>
        <v/>
      </c>
      <c r="N20" s="7">
        <f>F20/(E20+G20*45)</f>
        <v/>
      </c>
      <c r="O20" s="6">
        <f>I20/F20</f>
        <v/>
      </c>
      <c r="P20" s="6">
        <f>J20/F20</f>
        <v/>
      </c>
      <c r="Q20" s="7">
        <f>IFERROR(K20/F20,0)</f>
        <v/>
      </c>
      <c r="R20">
        <f>IF(M20&gt;=1,"On Target",IF(M20&gt;=0.9,"Watch","Below Target"))</f>
        <v/>
      </c>
    </row>
    <row r="21">
      <c r="A21" t="n">
        <v>17</v>
      </c>
      <c r="B21" s="5" t="n">
        <v>46028</v>
      </c>
      <c r="C21" t="inlineStr">
        <is>
          <t>Evening</t>
        </is>
      </c>
      <c r="D21" t="inlineStr">
        <is>
          <t>SRC</t>
        </is>
      </c>
      <c r="E21" s="6" t="n">
        <v>964</v>
      </c>
      <c r="F21" s="6" t="n">
        <v>851.1</v>
      </c>
      <c r="G21" s="6" t="n">
        <v>2.78</v>
      </c>
      <c r="H21" t="inlineStr">
        <is>
          <t>Planned Maintenance</t>
        </is>
      </c>
      <c r="I21" s="6" t="n">
        <v>1264.6</v>
      </c>
      <c r="J21" s="6" t="n">
        <v>72468.3</v>
      </c>
      <c r="K21" t="n">
        <v>5</v>
      </c>
      <c r="L21" t="n">
        <v>10</v>
      </c>
      <c r="M21" s="7">
        <f>F21/E21</f>
        <v/>
      </c>
      <c r="N21" s="7">
        <f>F21/(E21+G21*45)</f>
        <v/>
      </c>
      <c r="O21" s="6">
        <f>I21/F21</f>
        <v/>
      </c>
      <c r="P21" s="6">
        <f>J21/F21</f>
        <v/>
      </c>
      <c r="Q21" s="7">
        <f>IFERROR(K21/F21,0)</f>
        <v/>
      </c>
      <c r="R21">
        <f>IF(M21&gt;=1,"On Target",IF(M21&gt;=0.9,"Watch","Below Target"))</f>
        <v/>
      </c>
    </row>
    <row r="22">
      <c r="A22" t="n">
        <v>18</v>
      </c>
      <c r="B22" s="5" t="n">
        <v>46028</v>
      </c>
      <c r="C22" t="inlineStr">
        <is>
          <t>Night</t>
        </is>
      </c>
      <c r="D22" t="inlineStr">
        <is>
          <t>PPC</t>
        </is>
      </c>
      <c r="E22" s="6" t="n">
        <v>1031</v>
      </c>
      <c r="F22" s="6" t="n">
        <v>742.6</v>
      </c>
      <c r="G22" s="6" t="n">
        <v>4.78</v>
      </c>
      <c r="H22" t="inlineStr">
        <is>
          <t>Planned Maintenance</t>
        </is>
      </c>
      <c r="I22" s="6" t="n">
        <v>1199.9</v>
      </c>
      <c r="J22" s="6" t="n">
        <v>61174.4</v>
      </c>
      <c r="K22" t="n">
        <v>1</v>
      </c>
      <c r="L22" t="n">
        <v>11</v>
      </c>
      <c r="M22" s="7">
        <f>F22/E22</f>
        <v/>
      </c>
      <c r="N22" s="7">
        <f>F22/(E22+G22*45)</f>
        <v/>
      </c>
      <c r="O22" s="6">
        <f>I22/F22</f>
        <v/>
      </c>
      <c r="P22" s="6">
        <f>J22/F22</f>
        <v/>
      </c>
      <c r="Q22" s="7">
        <f>IFERROR(K22/F22,0)</f>
        <v/>
      </c>
      <c r="R22">
        <f>IF(M22&gt;=1,"On Target",IF(M22&gt;=0.9,"Watch","Below Target"))</f>
        <v/>
      </c>
    </row>
    <row r="23">
      <c r="A23" t="n">
        <v>19</v>
      </c>
      <c r="B23" s="5" t="n">
        <v>46029</v>
      </c>
      <c r="C23" t="inlineStr">
        <is>
          <t>Day</t>
        </is>
      </c>
      <c r="D23" t="inlineStr">
        <is>
          <t>PPC</t>
        </is>
      </c>
      <c r="E23" s="6" t="n">
        <v>1013</v>
      </c>
      <c r="F23" s="6" t="n">
        <v>741.1</v>
      </c>
      <c r="G23" s="6" t="n">
        <v>6.67</v>
      </c>
      <c r="H23" t="inlineStr">
        <is>
          <t>Mechanical Failure</t>
        </is>
      </c>
      <c r="I23" s="6" t="n">
        <v>1123.3</v>
      </c>
      <c r="J23" s="6" t="n">
        <v>62966.9</v>
      </c>
      <c r="K23" t="n">
        <v>4</v>
      </c>
      <c r="L23" t="n">
        <v>7</v>
      </c>
      <c r="M23" s="7">
        <f>F23/E23</f>
        <v/>
      </c>
      <c r="N23" s="7">
        <f>F23/(E23+G23*45)</f>
        <v/>
      </c>
      <c r="O23" s="6">
        <f>I23/F23</f>
        <v/>
      </c>
      <c r="P23" s="6">
        <f>J23/F23</f>
        <v/>
      </c>
      <c r="Q23" s="7">
        <f>IFERROR(K23/F23,0)</f>
        <v/>
      </c>
      <c r="R23">
        <f>IF(M23&gt;=1,"On Target",IF(M23&gt;=0.9,"Watch","Below Target"))</f>
        <v/>
      </c>
    </row>
    <row r="24">
      <c r="A24" t="n">
        <v>20</v>
      </c>
      <c r="B24" s="5" t="n">
        <v>46029</v>
      </c>
      <c r="C24" t="inlineStr">
        <is>
          <t>Evening</t>
        </is>
      </c>
      <c r="D24" t="inlineStr">
        <is>
          <t>OPC</t>
        </is>
      </c>
      <c r="E24" s="6" t="n">
        <v>1127</v>
      </c>
      <c r="F24" s="6" t="n">
        <v>924.3</v>
      </c>
      <c r="G24" s="6" t="n">
        <v>4</v>
      </c>
      <c r="H24" t="inlineStr">
        <is>
          <t>Planned Maintenance</t>
        </is>
      </c>
      <c r="I24" s="6" t="n">
        <v>1412.3</v>
      </c>
      <c r="J24" s="6" t="n">
        <v>72798</v>
      </c>
      <c r="K24" t="n">
        <v>4</v>
      </c>
      <c r="L24" t="n">
        <v>7</v>
      </c>
      <c r="M24" s="7">
        <f>F24/E24</f>
        <v/>
      </c>
      <c r="N24" s="7">
        <f>F24/(E24+G24*45)</f>
        <v/>
      </c>
      <c r="O24" s="6">
        <f>I24/F24</f>
        <v/>
      </c>
      <c r="P24" s="6">
        <f>J24/F24</f>
        <v/>
      </c>
      <c r="Q24" s="7">
        <f>IFERROR(K24/F24,0)</f>
        <v/>
      </c>
      <c r="R24">
        <f>IF(M24&gt;=1,"On Target",IF(M24&gt;=0.9,"Watch","Below Target"))</f>
        <v/>
      </c>
    </row>
    <row r="25">
      <c r="A25" t="n">
        <v>21</v>
      </c>
      <c r="B25" s="5" t="n">
        <v>46029</v>
      </c>
      <c r="C25" t="inlineStr">
        <is>
          <t>Night</t>
        </is>
      </c>
      <c r="D25" t="inlineStr">
        <is>
          <t>OPC</t>
        </is>
      </c>
      <c r="E25" s="6" t="n">
        <v>1157</v>
      </c>
      <c r="F25" s="6" t="n">
        <v>1071.8</v>
      </c>
      <c r="G25" s="6" t="n">
        <v>0</v>
      </c>
      <c r="H25" t="inlineStr">
        <is>
          <t>Raw Material Shortage</t>
        </is>
      </c>
      <c r="I25" s="6" t="n">
        <v>1653.8</v>
      </c>
      <c r="J25" s="6" t="n">
        <v>81732.39999999999</v>
      </c>
      <c r="K25" t="n">
        <v>1</v>
      </c>
      <c r="L25" t="n">
        <v>10</v>
      </c>
      <c r="M25" s="7">
        <f>F25/E25</f>
        <v/>
      </c>
      <c r="N25" s="7">
        <f>F25/(E25+G25*45)</f>
        <v/>
      </c>
      <c r="O25" s="6">
        <f>I25/F25</f>
        <v/>
      </c>
      <c r="P25" s="6">
        <f>J25/F25</f>
        <v/>
      </c>
      <c r="Q25" s="7">
        <f>IFERROR(K25/F25,0)</f>
        <v/>
      </c>
      <c r="R25">
        <f>IF(M25&gt;=1,"On Target",IF(M25&gt;=0.9,"Watch","Below Target"))</f>
        <v/>
      </c>
    </row>
    <row r="26">
      <c r="A26" t="n">
        <v>22</v>
      </c>
      <c r="B26" s="5" t="n">
        <v>46030</v>
      </c>
      <c r="C26" t="inlineStr">
        <is>
          <t>Day</t>
        </is>
      </c>
      <c r="D26" t="inlineStr">
        <is>
          <t>PPC</t>
        </is>
      </c>
      <c r="E26" s="6" t="n">
        <v>1074</v>
      </c>
      <c r="F26" s="6" t="n">
        <v>778.6</v>
      </c>
      <c r="G26" s="6" t="n">
        <v>6.38</v>
      </c>
      <c r="H26" t="inlineStr">
        <is>
          <t>Mechanical Failure</t>
        </is>
      </c>
      <c r="I26" s="6" t="n">
        <v>1185.3</v>
      </c>
      <c r="J26" s="6" t="n">
        <v>62570</v>
      </c>
      <c r="K26" t="n">
        <v>2</v>
      </c>
      <c r="L26" t="n">
        <v>8</v>
      </c>
      <c r="M26" s="7">
        <f>F26/E26</f>
        <v/>
      </c>
      <c r="N26" s="7">
        <f>F26/(E26+G26*45)</f>
        <v/>
      </c>
      <c r="O26" s="6">
        <f>I26/F26</f>
        <v/>
      </c>
      <c r="P26" s="6">
        <f>J26/F26</f>
        <v/>
      </c>
      <c r="Q26" s="7">
        <f>IFERROR(K26/F26,0)</f>
        <v/>
      </c>
      <c r="R26">
        <f>IF(M26&gt;=1,"On Target",IF(M26&gt;=0.9,"Watch","Below Target"))</f>
        <v/>
      </c>
    </row>
    <row r="27">
      <c r="A27" t="n">
        <v>23</v>
      </c>
      <c r="B27" s="5" t="n">
        <v>46030</v>
      </c>
      <c r="C27" t="inlineStr">
        <is>
          <t>Evening</t>
        </is>
      </c>
      <c r="D27" t="inlineStr">
        <is>
          <t>PPC</t>
        </is>
      </c>
      <c r="E27" s="6" t="n">
        <v>1031</v>
      </c>
      <c r="F27" s="6" t="n">
        <v>759.7</v>
      </c>
      <c r="G27" s="6" t="n">
        <v>6.02</v>
      </c>
      <c r="H27" t="inlineStr">
        <is>
          <t>Mechanical Failure</t>
        </is>
      </c>
      <c r="I27" s="6" t="n">
        <v>1130.9</v>
      </c>
      <c r="J27" s="6" t="n">
        <v>61274.4</v>
      </c>
      <c r="K27" t="n">
        <v>2</v>
      </c>
      <c r="L27" t="n">
        <v>11</v>
      </c>
      <c r="M27" s="7">
        <f>F27/E27</f>
        <v/>
      </c>
      <c r="N27" s="7">
        <f>F27/(E27+G27*45)</f>
        <v/>
      </c>
      <c r="O27" s="6">
        <f>I27/F27</f>
        <v/>
      </c>
      <c r="P27" s="6">
        <f>J27/F27</f>
        <v/>
      </c>
      <c r="Q27" s="7">
        <f>IFERROR(K27/F27,0)</f>
        <v/>
      </c>
      <c r="R27">
        <f>IF(M27&gt;=1,"On Target",IF(M27&gt;=0.9,"Watch","Below Target"))</f>
        <v/>
      </c>
    </row>
    <row r="28">
      <c r="A28" t="n">
        <v>24</v>
      </c>
      <c r="B28" s="5" t="n">
        <v>46030</v>
      </c>
      <c r="C28" t="inlineStr">
        <is>
          <t>Night</t>
        </is>
      </c>
      <c r="D28" t="inlineStr">
        <is>
          <t>PPC</t>
        </is>
      </c>
      <c r="E28" s="6" t="n">
        <v>1015</v>
      </c>
      <c r="F28" s="6" t="n">
        <v>812.9</v>
      </c>
      <c r="G28" s="6" t="n">
        <v>2.28</v>
      </c>
      <c r="H28" t="inlineStr">
        <is>
          <t>Quality Issue</t>
        </is>
      </c>
      <c r="I28" s="6" t="n">
        <v>1274.3</v>
      </c>
      <c r="J28" s="6" t="n">
        <v>69348.60000000001</v>
      </c>
      <c r="K28" t="n">
        <v>4</v>
      </c>
      <c r="L28" t="n">
        <v>10</v>
      </c>
      <c r="M28" s="7">
        <f>F28/E28</f>
        <v/>
      </c>
      <c r="N28" s="7">
        <f>F28/(E28+G28*45)</f>
        <v/>
      </c>
      <c r="O28" s="6">
        <f>I28/F28</f>
        <v/>
      </c>
      <c r="P28" s="6">
        <f>J28/F28</f>
        <v/>
      </c>
      <c r="Q28" s="7">
        <f>IFERROR(K28/F28,0)</f>
        <v/>
      </c>
      <c r="R28">
        <f>IF(M28&gt;=1,"On Target",IF(M28&gt;=0.9,"Watch","Below Target"))</f>
        <v/>
      </c>
    </row>
    <row r="29">
      <c r="A29" t="n">
        <v>25</v>
      </c>
      <c r="B29" s="5" t="n">
        <v>46031</v>
      </c>
      <c r="C29" t="inlineStr">
        <is>
          <t>Day</t>
        </is>
      </c>
      <c r="D29" t="inlineStr">
        <is>
          <t>PPC</t>
        </is>
      </c>
      <c r="E29" s="6" t="n">
        <v>1071</v>
      </c>
      <c r="F29" s="6" t="n">
        <v>985.7</v>
      </c>
      <c r="G29" s="6" t="n">
        <v>3.06</v>
      </c>
      <c r="H29" t="inlineStr">
        <is>
          <t>Raw Material Shortage</t>
        </is>
      </c>
      <c r="I29" s="6" t="n">
        <v>1486.7</v>
      </c>
      <c r="J29" s="6" t="n">
        <v>79570.8</v>
      </c>
      <c r="K29" t="n">
        <v>4</v>
      </c>
      <c r="L29" t="n">
        <v>11</v>
      </c>
      <c r="M29" s="7">
        <f>F29/E29</f>
        <v/>
      </c>
      <c r="N29" s="7">
        <f>F29/(E29+G29*45)</f>
        <v/>
      </c>
      <c r="O29" s="6">
        <f>I29/F29</f>
        <v/>
      </c>
      <c r="P29" s="6">
        <f>J29/F29</f>
        <v/>
      </c>
      <c r="Q29" s="7">
        <f>IFERROR(K29/F29,0)</f>
        <v/>
      </c>
      <c r="R29">
        <f>IF(M29&gt;=1,"On Target",IF(M29&gt;=0.9,"Watch","Below Target"))</f>
        <v/>
      </c>
    </row>
    <row r="30">
      <c r="A30" t="n">
        <v>26</v>
      </c>
      <c r="B30" s="5" t="n">
        <v>46031</v>
      </c>
      <c r="C30" t="inlineStr">
        <is>
          <t>Evening</t>
        </is>
      </c>
      <c r="D30" t="inlineStr">
        <is>
          <t>PPC</t>
        </is>
      </c>
      <c r="E30" s="6" t="n">
        <v>1072</v>
      </c>
      <c r="F30" s="6" t="n">
        <v>831.3</v>
      </c>
      <c r="G30" s="6" t="n">
        <v>4.61</v>
      </c>
      <c r="H30" t="inlineStr">
        <is>
          <t>Mechanical Failure</t>
        </is>
      </c>
      <c r="I30" s="6" t="n">
        <v>1243.7</v>
      </c>
      <c r="J30" s="6" t="n">
        <v>67287.10000000001</v>
      </c>
      <c r="K30" t="n">
        <v>1</v>
      </c>
      <c r="L30" t="n">
        <v>12</v>
      </c>
      <c r="M30" s="7">
        <f>F30/E30</f>
        <v/>
      </c>
      <c r="N30" s="7">
        <f>F30/(E30+G30*45)</f>
        <v/>
      </c>
      <c r="O30" s="6">
        <f>I30/F30</f>
        <v/>
      </c>
      <c r="P30" s="6">
        <f>J30/F30</f>
        <v/>
      </c>
      <c r="Q30" s="7">
        <f>IFERROR(K30/F30,0)</f>
        <v/>
      </c>
      <c r="R30">
        <f>IF(M30&gt;=1,"On Target",IF(M30&gt;=0.9,"Watch","Below Target"))</f>
        <v/>
      </c>
    </row>
    <row r="31">
      <c r="A31" t="n">
        <v>27</v>
      </c>
      <c r="B31" s="5" t="n">
        <v>46031</v>
      </c>
      <c r="C31" t="inlineStr">
        <is>
          <t>Night</t>
        </is>
      </c>
      <c r="D31" t="inlineStr">
        <is>
          <t>PPC</t>
        </is>
      </c>
      <c r="E31" s="6" t="n">
        <v>1085</v>
      </c>
      <c r="F31" s="6" t="n">
        <v>976.9</v>
      </c>
      <c r="G31" s="6" t="n">
        <v>1.27</v>
      </c>
      <c r="H31" t="inlineStr">
        <is>
          <t>Quality Issue</t>
        </is>
      </c>
      <c r="I31" s="6" t="n">
        <v>1470.5</v>
      </c>
      <c r="J31" s="6" t="n">
        <v>80650.3</v>
      </c>
      <c r="K31" t="n">
        <v>3</v>
      </c>
      <c r="L31" t="n">
        <v>9</v>
      </c>
      <c r="M31" s="7">
        <f>F31/E31</f>
        <v/>
      </c>
      <c r="N31" s="7">
        <f>F31/(E31+G31*45)</f>
        <v/>
      </c>
      <c r="O31" s="6">
        <f>I31/F31</f>
        <v/>
      </c>
      <c r="P31" s="6">
        <f>J31/F31</f>
        <v/>
      </c>
      <c r="Q31" s="7">
        <f>IFERROR(K31/F31,0)</f>
        <v/>
      </c>
      <c r="R31">
        <f>IF(M31&gt;=1,"On Target",IF(M31&gt;=0.9,"Watch","Below Target"))</f>
        <v/>
      </c>
    </row>
    <row r="32">
      <c r="A32" t="n">
        <v>28</v>
      </c>
      <c r="B32" s="5" t="n">
        <v>46032</v>
      </c>
      <c r="C32" t="inlineStr">
        <is>
          <t>Day</t>
        </is>
      </c>
      <c r="D32" t="inlineStr">
        <is>
          <t>PPC</t>
        </is>
      </c>
      <c r="E32" s="6" t="n">
        <v>1010</v>
      </c>
      <c r="F32" s="6" t="n">
        <v>817.2</v>
      </c>
      <c r="G32" s="6" t="n">
        <v>5.3</v>
      </c>
      <c r="H32" t="inlineStr">
        <is>
          <t>Planned Maintenance</t>
        </is>
      </c>
      <c r="I32" s="6" t="n">
        <v>1275.6</v>
      </c>
      <c r="J32" s="6" t="n">
        <v>68745.10000000001</v>
      </c>
      <c r="K32" t="n">
        <v>2</v>
      </c>
      <c r="L32" t="n">
        <v>11</v>
      </c>
      <c r="M32" s="7">
        <f>F32/E32</f>
        <v/>
      </c>
      <c r="N32" s="7">
        <f>F32/(E32+G32*45)</f>
        <v/>
      </c>
      <c r="O32" s="6">
        <f>I32/F32</f>
        <v/>
      </c>
      <c r="P32" s="6">
        <f>J32/F32</f>
        <v/>
      </c>
      <c r="Q32" s="7">
        <f>IFERROR(K32/F32,0)</f>
        <v/>
      </c>
      <c r="R32">
        <f>IF(M32&gt;=1,"On Target",IF(M32&gt;=0.9,"Watch","Below Target"))</f>
        <v/>
      </c>
    </row>
    <row r="33">
      <c r="A33" t="n">
        <v>29</v>
      </c>
      <c r="B33" s="5" t="n">
        <v>46032</v>
      </c>
      <c r="C33" t="inlineStr">
        <is>
          <t>Evening</t>
        </is>
      </c>
      <c r="D33" t="inlineStr">
        <is>
          <t>PPC</t>
        </is>
      </c>
      <c r="E33" s="6" t="n">
        <v>1021</v>
      </c>
      <c r="F33" s="6" t="n">
        <v>992.6</v>
      </c>
      <c r="G33" s="6" t="n">
        <v>0.1</v>
      </c>
      <c r="H33" t="inlineStr">
        <is>
          <t>No Downtime</t>
        </is>
      </c>
      <c r="I33" s="6" t="n">
        <v>1491.9</v>
      </c>
      <c r="J33" s="6" t="n">
        <v>82219.2</v>
      </c>
      <c r="K33" t="n">
        <v>2</v>
      </c>
      <c r="L33" t="n">
        <v>8</v>
      </c>
      <c r="M33" s="7">
        <f>F33/E33</f>
        <v/>
      </c>
      <c r="N33" s="7">
        <f>F33/(E33+G33*45)</f>
        <v/>
      </c>
      <c r="O33" s="6">
        <f>I33/F33</f>
        <v/>
      </c>
      <c r="P33" s="6">
        <f>J33/F33</f>
        <v/>
      </c>
      <c r="Q33" s="7">
        <f>IFERROR(K33/F33,0)</f>
        <v/>
      </c>
      <c r="R33">
        <f>IF(M33&gt;=1,"On Target",IF(M33&gt;=0.9,"Watch","Below Target"))</f>
        <v/>
      </c>
    </row>
    <row r="34">
      <c r="A34" t="n">
        <v>30</v>
      </c>
      <c r="B34" s="5" t="n">
        <v>46032</v>
      </c>
      <c r="C34" t="inlineStr">
        <is>
          <t>Night</t>
        </is>
      </c>
      <c r="D34" t="inlineStr">
        <is>
          <t>OPC</t>
        </is>
      </c>
      <c r="E34" s="6" t="n">
        <v>1116</v>
      </c>
      <c r="F34" s="6" t="n">
        <v>773.9</v>
      </c>
      <c r="G34" s="6" t="n">
        <v>5.07</v>
      </c>
      <c r="H34" t="inlineStr">
        <is>
          <t>Planned Maintenance</t>
        </is>
      </c>
      <c r="I34" s="6" t="n">
        <v>1198.4</v>
      </c>
      <c r="J34" s="6" t="n">
        <v>65409.7</v>
      </c>
      <c r="K34" t="n">
        <v>1</v>
      </c>
      <c r="L34" t="n">
        <v>7</v>
      </c>
      <c r="M34" s="7">
        <f>F34/E34</f>
        <v/>
      </c>
      <c r="N34" s="7">
        <f>F34/(E34+G34*45)</f>
        <v/>
      </c>
      <c r="O34" s="6">
        <f>I34/F34</f>
        <v/>
      </c>
      <c r="P34" s="6">
        <f>J34/F34</f>
        <v/>
      </c>
      <c r="Q34" s="7">
        <f>IFERROR(K34/F34,0)</f>
        <v/>
      </c>
      <c r="R34">
        <f>IF(M34&gt;=1,"On Target",IF(M34&gt;=0.9,"Watch","Below Target"))</f>
        <v/>
      </c>
    </row>
    <row r="35">
      <c r="A35" t="n">
        <v>31</v>
      </c>
      <c r="B35" s="5" t="n">
        <v>46033</v>
      </c>
      <c r="C35" t="inlineStr">
        <is>
          <t>Day</t>
        </is>
      </c>
      <c r="D35" t="inlineStr">
        <is>
          <t>PPC</t>
        </is>
      </c>
      <c r="E35" s="6" t="n">
        <v>1058</v>
      </c>
      <c r="F35" s="6" t="n">
        <v>882.3</v>
      </c>
      <c r="G35" s="6" t="n">
        <v>4.69</v>
      </c>
      <c r="H35" t="inlineStr">
        <is>
          <t>Electrical Failure</t>
        </is>
      </c>
      <c r="I35" s="6" t="n">
        <v>1346.7</v>
      </c>
      <c r="J35" s="6" t="n">
        <v>76129.8</v>
      </c>
      <c r="K35" t="n">
        <v>3</v>
      </c>
      <c r="L35" t="n">
        <v>12</v>
      </c>
      <c r="M35" s="7">
        <f>F35/E35</f>
        <v/>
      </c>
      <c r="N35" s="7">
        <f>F35/(E35+G35*45)</f>
        <v/>
      </c>
      <c r="O35" s="6">
        <f>I35/F35</f>
        <v/>
      </c>
      <c r="P35" s="6">
        <f>J35/F35</f>
        <v/>
      </c>
      <c r="Q35" s="7">
        <f>IFERROR(K35/F35,0)</f>
        <v/>
      </c>
      <c r="R35">
        <f>IF(M35&gt;=1,"On Target",IF(M35&gt;=0.9,"Watch","Below Target"))</f>
        <v/>
      </c>
    </row>
    <row r="36">
      <c r="A36" t="n">
        <v>32</v>
      </c>
      <c r="B36" s="5" t="n">
        <v>46033</v>
      </c>
      <c r="C36" t="inlineStr">
        <is>
          <t>Evening</t>
        </is>
      </c>
      <c r="D36" t="inlineStr">
        <is>
          <t>SRC</t>
        </is>
      </c>
      <c r="E36" s="6" t="n">
        <v>1001</v>
      </c>
      <c r="F36" s="6" t="n">
        <v>894.5</v>
      </c>
      <c r="G36" s="6" t="n">
        <v>2.05</v>
      </c>
      <c r="H36" t="inlineStr">
        <is>
          <t>Electrical Failure</t>
        </is>
      </c>
      <c r="I36" s="6" t="n">
        <v>1346.8</v>
      </c>
      <c r="J36" s="6" t="n">
        <v>76870.7</v>
      </c>
      <c r="K36" t="n">
        <v>4</v>
      </c>
      <c r="L36" t="n">
        <v>11</v>
      </c>
      <c r="M36" s="7">
        <f>F36/E36</f>
        <v/>
      </c>
      <c r="N36" s="7">
        <f>F36/(E36+G36*45)</f>
        <v/>
      </c>
      <c r="O36" s="6">
        <f>I36/F36</f>
        <v/>
      </c>
      <c r="P36" s="6">
        <f>J36/F36</f>
        <v/>
      </c>
      <c r="Q36" s="7">
        <f>IFERROR(K36/F36,0)</f>
        <v/>
      </c>
      <c r="R36">
        <f>IF(M36&gt;=1,"On Target",IF(M36&gt;=0.9,"Watch","Below Target"))</f>
        <v/>
      </c>
    </row>
    <row r="37">
      <c r="A37" t="n">
        <v>33</v>
      </c>
      <c r="B37" s="5" t="n">
        <v>46033</v>
      </c>
      <c r="C37" t="inlineStr">
        <is>
          <t>Night</t>
        </is>
      </c>
      <c r="D37" t="inlineStr">
        <is>
          <t>OPC</t>
        </is>
      </c>
      <c r="E37" s="6" t="n">
        <v>1134</v>
      </c>
      <c r="F37" s="6" t="n">
        <v>1025.8</v>
      </c>
      <c r="G37" s="6" t="n">
        <v>0.39</v>
      </c>
      <c r="H37" t="inlineStr">
        <is>
          <t>No Downtime</t>
        </is>
      </c>
      <c r="I37" s="6" t="n">
        <v>1624.4</v>
      </c>
      <c r="J37" s="6" t="n">
        <v>85778.39999999999</v>
      </c>
      <c r="K37" t="n">
        <v>6</v>
      </c>
      <c r="L37" t="n">
        <v>7</v>
      </c>
      <c r="M37" s="7">
        <f>F37/E37</f>
        <v/>
      </c>
      <c r="N37" s="7">
        <f>F37/(E37+G37*45)</f>
        <v/>
      </c>
      <c r="O37" s="6">
        <f>I37/F37</f>
        <v/>
      </c>
      <c r="P37" s="6">
        <f>J37/F37</f>
        <v/>
      </c>
      <c r="Q37" s="7">
        <f>IFERROR(K37/F37,0)</f>
        <v/>
      </c>
      <c r="R37">
        <f>IF(M37&gt;=1,"On Target",IF(M37&gt;=0.9,"Watch","Below Target"))</f>
        <v/>
      </c>
    </row>
    <row r="38">
      <c r="A38" t="n">
        <v>34</v>
      </c>
      <c r="B38" s="5" t="n">
        <v>46034</v>
      </c>
      <c r="C38" t="inlineStr">
        <is>
          <t>Day</t>
        </is>
      </c>
      <c r="D38" t="inlineStr">
        <is>
          <t>SRC</t>
        </is>
      </c>
      <c r="E38" s="6" t="n">
        <v>1005</v>
      </c>
      <c r="F38" s="6" t="n">
        <v>987.3</v>
      </c>
      <c r="G38" s="6" t="n">
        <v>0.49</v>
      </c>
      <c r="H38" t="inlineStr">
        <is>
          <t>No Downtime</t>
        </is>
      </c>
      <c r="I38" s="6" t="n">
        <v>1477.7</v>
      </c>
      <c r="J38" s="6" t="n">
        <v>86325.7</v>
      </c>
      <c r="K38" t="n">
        <v>2</v>
      </c>
      <c r="L38" t="n">
        <v>9</v>
      </c>
      <c r="M38" s="7">
        <f>F38/E38</f>
        <v/>
      </c>
      <c r="N38" s="7">
        <f>F38/(E38+G38*45)</f>
        <v/>
      </c>
      <c r="O38" s="6">
        <f>I38/F38</f>
        <v/>
      </c>
      <c r="P38" s="6">
        <f>J38/F38</f>
        <v/>
      </c>
      <c r="Q38" s="7">
        <f>IFERROR(K38/F38,0)</f>
        <v/>
      </c>
      <c r="R38">
        <f>IF(M38&gt;=1,"On Target",IF(M38&gt;=0.9,"Watch","Below Target"))</f>
        <v/>
      </c>
    </row>
    <row r="39">
      <c r="A39" t="n">
        <v>35</v>
      </c>
      <c r="B39" s="5" t="n">
        <v>46034</v>
      </c>
      <c r="C39" t="inlineStr">
        <is>
          <t>Evening</t>
        </is>
      </c>
      <c r="D39" t="inlineStr">
        <is>
          <t>OPC</t>
        </is>
      </c>
      <c r="E39" s="6" t="n">
        <v>1128</v>
      </c>
      <c r="F39" s="6" t="n">
        <v>878</v>
      </c>
      <c r="G39" s="6" t="n">
        <v>4.08</v>
      </c>
      <c r="H39" t="inlineStr">
        <is>
          <t>Mechanical Failure</t>
        </is>
      </c>
      <c r="I39" s="6" t="n">
        <v>1344.5</v>
      </c>
      <c r="J39" s="6" t="n">
        <v>69094.3</v>
      </c>
      <c r="K39" t="n">
        <v>4</v>
      </c>
      <c r="L39" t="n">
        <v>7</v>
      </c>
      <c r="M39" s="7">
        <f>F39/E39</f>
        <v/>
      </c>
      <c r="N39" s="7">
        <f>F39/(E39+G39*45)</f>
        <v/>
      </c>
      <c r="O39" s="6">
        <f>I39/F39</f>
        <v/>
      </c>
      <c r="P39" s="6">
        <f>J39/F39</f>
        <v/>
      </c>
      <c r="Q39" s="7">
        <f>IFERROR(K39/F39,0)</f>
        <v/>
      </c>
      <c r="R39">
        <f>IF(M39&gt;=1,"On Target",IF(M39&gt;=0.9,"Watch","Below Target"))</f>
        <v/>
      </c>
    </row>
    <row r="40">
      <c r="A40" t="n">
        <v>36</v>
      </c>
      <c r="B40" s="5" t="n">
        <v>46034</v>
      </c>
      <c r="C40" t="inlineStr">
        <is>
          <t>Night</t>
        </is>
      </c>
      <c r="D40" t="inlineStr">
        <is>
          <t>OPC</t>
        </is>
      </c>
      <c r="E40" s="6" t="n">
        <v>1115</v>
      </c>
      <c r="F40" s="6" t="n">
        <v>759.6</v>
      </c>
      <c r="G40" s="6" t="n">
        <v>6.59</v>
      </c>
      <c r="H40" t="inlineStr">
        <is>
          <t>Mechanical Failure</t>
        </is>
      </c>
      <c r="I40" s="6" t="n">
        <v>1150.1</v>
      </c>
      <c r="J40" s="6" t="n">
        <v>63154.7</v>
      </c>
      <c r="K40" t="n">
        <v>1</v>
      </c>
      <c r="L40" t="n">
        <v>7</v>
      </c>
      <c r="M40" s="7">
        <f>F40/E40</f>
        <v/>
      </c>
      <c r="N40" s="7">
        <f>F40/(E40+G40*45)</f>
        <v/>
      </c>
      <c r="O40" s="6">
        <f>I40/F40</f>
        <v/>
      </c>
      <c r="P40" s="6">
        <f>J40/F40</f>
        <v/>
      </c>
      <c r="Q40" s="7">
        <f>IFERROR(K40/F40,0)</f>
        <v/>
      </c>
      <c r="R40">
        <f>IF(M40&gt;=1,"On Target",IF(M40&gt;=0.9,"Watch","Below Target"))</f>
        <v/>
      </c>
    </row>
    <row r="41">
      <c r="A41" t="n">
        <v>37</v>
      </c>
      <c r="B41" s="5" t="n">
        <v>46035</v>
      </c>
      <c r="C41" t="inlineStr">
        <is>
          <t>Day</t>
        </is>
      </c>
      <c r="D41" t="inlineStr">
        <is>
          <t>OPC</t>
        </is>
      </c>
      <c r="E41" s="6" t="n">
        <v>1124</v>
      </c>
      <c r="F41" s="6" t="n">
        <v>870.1</v>
      </c>
      <c r="G41" s="6" t="n">
        <v>5.15</v>
      </c>
      <c r="H41" t="inlineStr">
        <is>
          <t>Planned Maintenance</t>
        </is>
      </c>
      <c r="I41" s="6" t="n">
        <v>1389.2</v>
      </c>
      <c r="J41" s="6" t="n">
        <v>68533.7</v>
      </c>
      <c r="K41" t="n">
        <v>1</v>
      </c>
      <c r="L41" t="n">
        <v>8</v>
      </c>
      <c r="M41" s="7">
        <f>F41/E41</f>
        <v/>
      </c>
      <c r="N41" s="7">
        <f>F41/(E41+G41*45)</f>
        <v/>
      </c>
      <c r="O41" s="6">
        <f>I41/F41</f>
        <v/>
      </c>
      <c r="P41" s="6">
        <f>J41/F41</f>
        <v/>
      </c>
      <c r="Q41" s="7">
        <f>IFERROR(K41/F41,0)</f>
        <v/>
      </c>
      <c r="R41">
        <f>IF(M41&gt;=1,"On Target",IF(M41&gt;=0.9,"Watch","Below Target"))</f>
        <v/>
      </c>
    </row>
    <row r="42">
      <c r="A42" t="n">
        <v>38</v>
      </c>
      <c r="B42" s="5" t="n">
        <v>46035</v>
      </c>
      <c r="C42" t="inlineStr">
        <is>
          <t>Evening</t>
        </is>
      </c>
      <c r="D42" t="inlineStr">
        <is>
          <t>OPC</t>
        </is>
      </c>
      <c r="E42" s="6" t="n">
        <v>1169</v>
      </c>
      <c r="F42" s="6" t="n">
        <v>1128.2</v>
      </c>
      <c r="G42" s="6" t="n">
        <v>0.49</v>
      </c>
      <c r="H42" t="inlineStr">
        <is>
          <t>No Downtime</t>
        </is>
      </c>
      <c r="I42" s="6" t="n">
        <v>1728.4</v>
      </c>
      <c r="J42" s="6" t="n">
        <v>100982.4</v>
      </c>
      <c r="K42" t="n">
        <v>3</v>
      </c>
      <c r="L42" t="n">
        <v>12</v>
      </c>
      <c r="M42" s="7">
        <f>F42/E42</f>
        <v/>
      </c>
      <c r="N42" s="7">
        <f>F42/(E42+G42*45)</f>
        <v/>
      </c>
      <c r="O42" s="6">
        <f>I42/F42</f>
        <v/>
      </c>
      <c r="P42" s="6">
        <f>J42/F42</f>
        <v/>
      </c>
      <c r="Q42" s="7">
        <f>IFERROR(K42/F42,0)</f>
        <v/>
      </c>
      <c r="R42">
        <f>IF(M42&gt;=1,"On Target",IF(M42&gt;=0.9,"Watch","Below Target"))</f>
        <v/>
      </c>
    </row>
    <row r="43">
      <c r="A43" t="n">
        <v>39</v>
      </c>
      <c r="B43" s="5" t="n">
        <v>46035</v>
      </c>
      <c r="C43" t="inlineStr">
        <is>
          <t>Night</t>
        </is>
      </c>
      <c r="D43" t="inlineStr">
        <is>
          <t>OPC</t>
        </is>
      </c>
      <c r="E43" s="6" t="n">
        <v>1115</v>
      </c>
      <c r="F43" s="6" t="n">
        <v>1067.8</v>
      </c>
      <c r="G43" s="6" t="n">
        <v>0.43</v>
      </c>
      <c r="H43" t="inlineStr">
        <is>
          <t>No Downtime</t>
        </is>
      </c>
      <c r="I43" s="6" t="n">
        <v>1667.2</v>
      </c>
      <c r="J43" s="6" t="n">
        <v>85556.89999999999</v>
      </c>
      <c r="K43" t="n">
        <v>3</v>
      </c>
      <c r="L43" t="n">
        <v>12</v>
      </c>
      <c r="M43" s="7">
        <f>F43/E43</f>
        <v/>
      </c>
      <c r="N43" s="7">
        <f>F43/(E43+G43*45)</f>
        <v/>
      </c>
      <c r="O43" s="6">
        <f>I43/F43</f>
        <v/>
      </c>
      <c r="P43" s="6">
        <f>J43/F43</f>
        <v/>
      </c>
      <c r="Q43" s="7">
        <f>IFERROR(K43/F43,0)</f>
        <v/>
      </c>
      <c r="R43">
        <f>IF(M43&gt;=1,"On Target",IF(M43&gt;=0.9,"Watch","Below Target"))</f>
        <v/>
      </c>
    </row>
    <row r="44">
      <c r="A44" t="n">
        <v>40</v>
      </c>
      <c r="B44" s="5" t="n">
        <v>46036</v>
      </c>
      <c r="C44" t="inlineStr">
        <is>
          <t>Day</t>
        </is>
      </c>
      <c r="D44" t="inlineStr">
        <is>
          <t>SRC</t>
        </is>
      </c>
      <c r="E44" s="6" t="n">
        <v>988</v>
      </c>
      <c r="F44" s="6" t="n">
        <v>966.4</v>
      </c>
      <c r="G44" s="6" t="n">
        <v>2.01</v>
      </c>
      <c r="H44" t="inlineStr">
        <is>
          <t>Raw Material Shortage</t>
        </is>
      </c>
      <c r="I44" s="6" t="n">
        <v>1465.2</v>
      </c>
      <c r="J44" s="6" t="n">
        <v>79027.2</v>
      </c>
      <c r="K44" t="n">
        <v>9</v>
      </c>
      <c r="L44" t="n">
        <v>12</v>
      </c>
      <c r="M44" s="7">
        <f>F44/E44</f>
        <v/>
      </c>
      <c r="N44" s="7">
        <f>F44/(E44+G44*45)</f>
        <v/>
      </c>
      <c r="O44" s="6">
        <f>I44/F44</f>
        <v/>
      </c>
      <c r="P44" s="6">
        <f>J44/F44</f>
        <v/>
      </c>
      <c r="Q44" s="7">
        <f>IFERROR(K44/F44,0)</f>
        <v/>
      </c>
      <c r="R44">
        <f>IF(M44&gt;=1,"On Target",IF(M44&gt;=0.9,"Watch","Below Target"))</f>
        <v/>
      </c>
    </row>
    <row r="45">
      <c r="A45" t="n">
        <v>41</v>
      </c>
      <c r="B45" s="5" t="n">
        <v>46036</v>
      </c>
      <c r="C45" t="inlineStr">
        <is>
          <t>Evening</t>
        </is>
      </c>
      <c r="D45" t="inlineStr">
        <is>
          <t>OPC</t>
        </is>
      </c>
      <c r="E45" s="6" t="n">
        <v>1154</v>
      </c>
      <c r="F45" s="6" t="n">
        <v>956.4</v>
      </c>
      <c r="G45" s="6" t="n">
        <v>4.16</v>
      </c>
      <c r="H45" t="inlineStr">
        <is>
          <t>Planned Maintenance</t>
        </is>
      </c>
      <c r="I45" s="6" t="n">
        <v>1426</v>
      </c>
      <c r="J45" s="6" t="n">
        <v>77259.10000000001</v>
      </c>
      <c r="K45" t="n">
        <v>6</v>
      </c>
      <c r="L45" t="n">
        <v>12</v>
      </c>
      <c r="M45" s="7">
        <f>F45/E45</f>
        <v/>
      </c>
      <c r="N45" s="7">
        <f>F45/(E45+G45*45)</f>
        <v/>
      </c>
      <c r="O45" s="6">
        <f>I45/F45</f>
        <v/>
      </c>
      <c r="P45" s="6">
        <f>J45/F45</f>
        <v/>
      </c>
      <c r="Q45" s="7">
        <f>IFERROR(K45/F45,0)</f>
        <v/>
      </c>
      <c r="R45">
        <f>IF(M45&gt;=1,"On Target",IF(M45&gt;=0.9,"Watch","Below Target"))</f>
        <v/>
      </c>
    </row>
    <row r="46">
      <c r="A46" t="n">
        <v>42</v>
      </c>
      <c r="B46" s="5" t="n">
        <v>46036</v>
      </c>
      <c r="C46" t="inlineStr">
        <is>
          <t>Night</t>
        </is>
      </c>
      <c r="D46" t="inlineStr">
        <is>
          <t>PPC</t>
        </is>
      </c>
      <c r="E46" s="6" t="n">
        <v>1026</v>
      </c>
      <c r="F46" s="6" t="n">
        <v>978.7</v>
      </c>
      <c r="G46" s="6" t="n">
        <v>0.11</v>
      </c>
      <c r="H46" t="inlineStr">
        <is>
          <t>No Downtime</t>
        </is>
      </c>
      <c r="I46" s="6" t="n">
        <v>1523.8</v>
      </c>
      <c r="J46" s="6" t="n">
        <v>73365.7</v>
      </c>
      <c r="K46" t="n">
        <v>4</v>
      </c>
      <c r="L46" t="n">
        <v>10</v>
      </c>
      <c r="M46" s="7">
        <f>F46/E46</f>
        <v/>
      </c>
      <c r="N46" s="7">
        <f>F46/(E46+G46*45)</f>
        <v/>
      </c>
      <c r="O46" s="6">
        <f>I46/F46</f>
        <v/>
      </c>
      <c r="P46" s="6">
        <f>J46/F46</f>
        <v/>
      </c>
      <c r="Q46" s="7">
        <f>IFERROR(K46/F46,0)</f>
        <v/>
      </c>
      <c r="R46">
        <f>IF(M46&gt;=1,"On Target",IF(M46&gt;=0.9,"Watch","Below Target"))</f>
        <v/>
      </c>
    </row>
    <row r="47">
      <c r="A47" t="n">
        <v>43</v>
      </c>
      <c r="B47" s="5" t="n">
        <v>46037</v>
      </c>
      <c r="C47" t="inlineStr">
        <is>
          <t>Day</t>
        </is>
      </c>
      <c r="D47" t="inlineStr">
        <is>
          <t>OPC</t>
        </is>
      </c>
      <c r="E47" s="6" t="n">
        <v>1160</v>
      </c>
      <c r="F47" s="6" t="n">
        <v>1019.8</v>
      </c>
      <c r="G47" s="6" t="n">
        <v>3.85</v>
      </c>
      <c r="H47" t="inlineStr">
        <is>
          <t>Raw Material Shortage</t>
        </is>
      </c>
      <c r="I47" s="6" t="n">
        <v>1566.5</v>
      </c>
      <c r="J47" s="6" t="n">
        <v>86012.39999999999</v>
      </c>
      <c r="K47" t="n">
        <v>1</v>
      </c>
      <c r="L47" t="n">
        <v>12</v>
      </c>
      <c r="M47" s="7">
        <f>F47/E47</f>
        <v/>
      </c>
      <c r="N47" s="7">
        <f>F47/(E47+G47*45)</f>
        <v/>
      </c>
      <c r="O47" s="6">
        <f>I47/F47</f>
        <v/>
      </c>
      <c r="P47" s="6">
        <f>J47/F47</f>
        <v/>
      </c>
      <c r="Q47" s="7">
        <f>IFERROR(K47/F47,0)</f>
        <v/>
      </c>
      <c r="R47">
        <f>IF(M47&gt;=1,"On Target",IF(M47&gt;=0.9,"Watch","Below Target"))</f>
        <v/>
      </c>
    </row>
    <row r="48">
      <c r="A48" t="n">
        <v>44</v>
      </c>
      <c r="B48" s="5" t="n">
        <v>46037</v>
      </c>
      <c r="C48" t="inlineStr">
        <is>
          <t>Evening</t>
        </is>
      </c>
      <c r="D48" t="inlineStr">
        <is>
          <t>PPC</t>
        </is>
      </c>
      <c r="E48" s="6" t="n">
        <v>1086</v>
      </c>
      <c r="F48" s="6" t="n">
        <v>886.3</v>
      </c>
      <c r="G48" s="6" t="n">
        <v>2.84</v>
      </c>
      <c r="H48" t="inlineStr">
        <is>
          <t>Raw Material Shortage</t>
        </is>
      </c>
      <c r="I48" s="6" t="n">
        <v>1279.7</v>
      </c>
      <c r="J48" s="6" t="n">
        <v>79878.5</v>
      </c>
      <c r="K48" t="n">
        <v>3</v>
      </c>
      <c r="L48" t="n">
        <v>10</v>
      </c>
      <c r="M48" s="7">
        <f>F48/E48</f>
        <v/>
      </c>
      <c r="N48" s="7">
        <f>F48/(E48+G48*45)</f>
        <v/>
      </c>
      <c r="O48" s="6">
        <f>I48/F48</f>
        <v/>
      </c>
      <c r="P48" s="6">
        <f>J48/F48</f>
        <v/>
      </c>
      <c r="Q48" s="7">
        <f>IFERROR(K48/F48,0)</f>
        <v/>
      </c>
      <c r="R48">
        <f>IF(M48&gt;=1,"On Target",IF(M48&gt;=0.9,"Watch","Below Target"))</f>
        <v/>
      </c>
    </row>
    <row r="49">
      <c r="A49" t="n">
        <v>45</v>
      </c>
      <c r="B49" s="5" t="n">
        <v>46037</v>
      </c>
      <c r="C49" t="inlineStr">
        <is>
          <t>Night</t>
        </is>
      </c>
      <c r="D49" t="inlineStr">
        <is>
          <t>OPC</t>
        </is>
      </c>
      <c r="E49" s="6" t="n">
        <v>1176</v>
      </c>
      <c r="F49" s="6" t="n">
        <v>1100.9</v>
      </c>
      <c r="G49" s="6" t="n">
        <v>0.3</v>
      </c>
      <c r="H49" t="inlineStr">
        <is>
          <t>No Downtime</t>
        </is>
      </c>
      <c r="I49" s="6" t="n">
        <v>1697.2</v>
      </c>
      <c r="J49" s="6" t="n">
        <v>87948.10000000001</v>
      </c>
      <c r="K49" t="n">
        <v>2</v>
      </c>
      <c r="L49" t="n">
        <v>12</v>
      </c>
      <c r="M49" s="7">
        <f>F49/E49</f>
        <v/>
      </c>
      <c r="N49" s="7">
        <f>F49/(E49+G49*45)</f>
        <v/>
      </c>
      <c r="O49" s="6">
        <f>I49/F49</f>
        <v/>
      </c>
      <c r="P49" s="6">
        <f>J49/F49</f>
        <v/>
      </c>
      <c r="Q49" s="7">
        <f>IFERROR(K49/F49,0)</f>
        <v/>
      </c>
      <c r="R49">
        <f>IF(M49&gt;=1,"On Target",IF(M49&gt;=0.9,"Watch","Below Target"))</f>
        <v/>
      </c>
    </row>
    <row r="50">
      <c r="A50" t="n">
        <v>46</v>
      </c>
      <c r="B50" s="5" t="n">
        <v>46038</v>
      </c>
      <c r="C50" t="inlineStr">
        <is>
          <t>Day</t>
        </is>
      </c>
      <c r="D50" t="inlineStr">
        <is>
          <t>OPC</t>
        </is>
      </c>
      <c r="E50" s="6" t="n">
        <v>1121</v>
      </c>
      <c r="F50" s="6" t="n">
        <v>1036.4</v>
      </c>
      <c r="G50" s="6" t="n">
        <v>1.26</v>
      </c>
      <c r="H50" t="inlineStr">
        <is>
          <t>Quality Issue</t>
        </is>
      </c>
      <c r="I50" s="6" t="n">
        <v>1571.7</v>
      </c>
      <c r="J50" s="6" t="n">
        <v>85163.5</v>
      </c>
      <c r="K50" t="n">
        <v>2</v>
      </c>
      <c r="L50" t="n">
        <v>12</v>
      </c>
      <c r="M50" s="7">
        <f>F50/E50</f>
        <v/>
      </c>
      <c r="N50" s="7">
        <f>F50/(E50+G50*45)</f>
        <v/>
      </c>
      <c r="O50" s="6">
        <f>I50/F50</f>
        <v/>
      </c>
      <c r="P50" s="6">
        <f>J50/F50</f>
        <v/>
      </c>
      <c r="Q50" s="7">
        <f>IFERROR(K50/F50,0)</f>
        <v/>
      </c>
      <c r="R50">
        <f>IF(M50&gt;=1,"On Target",IF(M50&gt;=0.9,"Watch","Below Target"))</f>
        <v/>
      </c>
    </row>
    <row r="51">
      <c r="A51" t="n">
        <v>47</v>
      </c>
      <c r="B51" s="5" t="n">
        <v>46038</v>
      </c>
      <c r="C51" t="inlineStr">
        <is>
          <t>Evening</t>
        </is>
      </c>
      <c r="D51" t="inlineStr">
        <is>
          <t>OPC</t>
        </is>
      </c>
      <c r="E51" s="6" t="n">
        <v>1157</v>
      </c>
      <c r="F51" s="6" t="n">
        <v>1107.2</v>
      </c>
      <c r="G51" s="6" t="n">
        <v>0.37</v>
      </c>
      <c r="H51" t="inlineStr">
        <is>
          <t>No Downtime</t>
        </is>
      </c>
      <c r="I51" s="6" t="n">
        <v>1662.4</v>
      </c>
      <c r="J51" s="6" t="n">
        <v>88243.10000000001</v>
      </c>
      <c r="K51" t="n">
        <v>4</v>
      </c>
      <c r="L51" t="n">
        <v>11</v>
      </c>
      <c r="M51" s="7">
        <f>F51/E51</f>
        <v/>
      </c>
      <c r="N51" s="7">
        <f>F51/(E51+G51*45)</f>
        <v/>
      </c>
      <c r="O51" s="6">
        <f>I51/F51</f>
        <v/>
      </c>
      <c r="P51" s="6">
        <f>J51/F51</f>
        <v/>
      </c>
      <c r="Q51" s="7">
        <f>IFERROR(K51/F51,0)</f>
        <v/>
      </c>
      <c r="R51">
        <f>IF(M51&gt;=1,"On Target",IF(M51&gt;=0.9,"Watch","Below Target"))</f>
        <v/>
      </c>
    </row>
    <row r="52">
      <c r="A52" t="n">
        <v>48</v>
      </c>
      <c r="B52" s="5" t="n">
        <v>46038</v>
      </c>
      <c r="C52" t="inlineStr">
        <is>
          <t>Night</t>
        </is>
      </c>
      <c r="D52" t="inlineStr">
        <is>
          <t>OPC</t>
        </is>
      </c>
      <c r="E52" s="6" t="n">
        <v>1168</v>
      </c>
      <c r="F52" s="6" t="n">
        <v>1011.2</v>
      </c>
      <c r="G52" s="6" t="n">
        <v>0.26</v>
      </c>
      <c r="H52" t="inlineStr">
        <is>
          <t>No Downtime</t>
        </is>
      </c>
      <c r="I52" s="6" t="n">
        <v>1502.6</v>
      </c>
      <c r="J52" s="6" t="n">
        <v>83236.8</v>
      </c>
      <c r="K52" t="n">
        <v>3</v>
      </c>
      <c r="L52" t="n">
        <v>11</v>
      </c>
      <c r="M52" s="7">
        <f>F52/E52</f>
        <v/>
      </c>
      <c r="N52" s="7">
        <f>F52/(E52+G52*45)</f>
        <v/>
      </c>
      <c r="O52" s="6">
        <f>I52/F52</f>
        <v/>
      </c>
      <c r="P52" s="6">
        <f>J52/F52</f>
        <v/>
      </c>
      <c r="Q52" s="7">
        <f>IFERROR(K52/F52,0)</f>
        <v/>
      </c>
      <c r="R52">
        <f>IF(M52&gt;=1,"On Target",IF(M52&gt;=0.9,"Watch","Below Target"))</f>
        <v/>
      </c>
    </row>
    <row r="53">
      <c r="A53" t="n">
        <v>49</v>
      </c>
      <c r="B53" s="5" t="n">
        <v>46039</v>
      </c>
      <c r="C53" t="inlineStr">
        <is>
          <t>Day</t>
        </is>
      </c>
      <c r="D53" t="inlineStr">
        <is>
          <t>OPC</t>
        </is>
      </c>
      <c r="E53" s="6" t="n">
        <v>1148</v>
      </c>
      <c r="F53" s="6" t="n">
        <v>1039.3</v>
      </c>
      <c r="G53" s="6" t="n">
        <v>2.16</v>
      </c>
      <c r="H53" t="inlineStr">
        <is>
          <t>Electrical Failure</t>
        </is>
      </c>
      <c r="I53" s="6" t="n">
        <v>1587.7</v>
      </c>
      <c r="J53" s="6" t="n">
        <v>89011.8</v>
      </c>
      <c r="K53" t="n">
        <v>3</v>
      </c>
      <c r="L53" t="n">
        <v>12</v>
      </c>
      <c r="M53" s="7">
        <f>F53/E53</f>
        <v/>
      </c>
      <c r="N53" s="7">
        <f>F53/(E53+G53*45)</f>
        <v/>
      </c>
      <c r="O53" s="6">
        <f>I53/F53</f>
        <v/>
      </c>
      <c r="P53" s="6">
        <f>J53/F53</f>
        <v/>
      </c>
      <c r="Q53" s="7">
        <f>IFERROR(K53/F53,0)</f>
        <v/>
      </c>
      <c r="R53">
        <f>IF(M53&gt;=1,"On Target",IF(M53&gt;=0.9,"Watch","Below Target"))</f>
        <v/>
      </c>
    </row>
    <row r="54">
      <c r="A54" t="n">
        <v>50</v>
      </c>
      <c r="B54" s="5" t="n">
        <v>46039</v>
      </c>
      <c r="C54" t="inlineStr">
        <is>
          <t>Evening</t>
        </is>
      </c>
      <c r="D54" t="inlineStr">
        <is>
          <t>PPC</t>
        </is>
      </c>
      <c r="E54" s="6" t="n">
        <v>1017</v>
      </c>
      <c r="F54" s="6" t="n">
        <v>871.6</v>
      </c>
      <c r="G54" s="6" t="n">
        <v>4.72</v>
      </c>
      <c r="H54" t="inlineStr">
        <is>
          <t>Raw Material Shortage</t>
        </is>
      </c>
      <c r="I54" s="6" t="n">
        <v>1346.5</v>
      </c>
      <c r="J54" s="6" t="n">
        <v>70458.5</v>
      </c>
      <c r="K54" t="n">
        <v>3</v>
      </c>
      <c r="L54" t="n">
        <v>7</v>
      </c>
      <c r="M54" s="7">
        <f>F54/E54</f>
        <v/>
      </c>
      <c r="N54" s="7">
        <f>F54/(E54+G54*45)</f>
        <v/>
      </c>
      <c r="O54" s="6">
        <f>I54/F54</f>
        <v/>
      </c>
      <c r="P54" s="6">
        <f>J54/F54</f>
        <v/>
      </c>
      <c r="Q54" s="7">
        <f>IFERROR(K54/F54,0)</f>
        <v/>
      </c>
      <c r="R54">
        <f>IF(M54&gt;=1,"On Target",IF(M54&gt;=0.9,"Watch","Below Target"))</f>
        <v/>
      </c>
    </row>
    <row r="55">
      <c r="A55" t="n">
        <v>51</v>
      </c>
      <c r="B55" s="5" t="n">
        <v>46039</v>
      </c>
      <c r="C55" t="inlineStr">
        <is>
          <t>Night</t>
        </is>
      </c>
      <c r="D55" t="inlineStr">
        <is>
          <t>OPC</t>
        </is>
      </c>
      <c r="E55" s="6" t="n">
        <v>1131</v>
      </c>
      <c r="F55" s="6" t="n">
        <v>930</v>
      </c>
      <c r="G55" s="6" t="n">
        <v>1.15</v>
      </c>
      <c r="H55" t="inlineStr">
        <is>
          <t>Quality Issue</t>
        </is>
      </c>
      <c r="I55" s="6" t="n">
        <v>1439.6</v>
      </c>
      <c r="J55" s="6" t="n">
        <v>76802</v>
      </c>
      <c r="K55" t="n">
        <v>0</v>
      </c>
      <c r="L55" t="n">
        <v>12</v>
      </c>
      <c r="M55" s="7">
        <f>F55/E55</f>
        <v/>
      </c>
      <c r="N55" s="7">
        <f>F55/(E55+G55*45)</f>
        <v/>
      </c>
      <c r="O55" s="6">
        <f>I55/F55</f>
        <v/>
      </c>
      <c r="P55" s="6">
        <f>J55/F55</f>
        <v/>
      </c>
      <c r="Q55" s="7">
        <f>IFERROR(K55/F55,0)</f>
        <v/>
      </c>
      <c r="R55">
        <f>IF(M55&gt;=1,"On Target",IF(M55&gt;=0.9,"Watch","Below Target"))</f>
        <v/>
      </c>
    </row>
    <row r="56">
      <c r="A56" t="n">
        <v>52</v>
      </c>
      <c r="B56" s="5" t="n">
        <v>46040</v>
      </c>
      <c r="C56" t="inlineStr">
        <is>
          <t>Day</t>
        </is>
      </c>
      <c r="D56" t="inlineStr">
        <is>
          <t>OPC</t>
        </is>
      </c>
      <c r="E56" s="6" t="n">
        <v>1160</v>
      </c>
      <c r="F56" s="6" t="n">
        <v>1061</v>
      </c>
      <c r="G56" s="6" t="n">
        <v>3.16</v>
      </c>
      <c r="H56" t="inlineStr">
        <is>
          <t>Quality Issue</t>
        </is>
      </c>
      <c r="I56" s="6" t="n">
        <v>1658.9</v>
      </c>
      <c r="J56" s="6" t="n">
        <v>86641.8</v>
      </c>
      <c r="K56" t="n">
        <v>3</v>
      </c>
      <c r="L56" t="n">
        <v>10</v>
      </c>
      <c r="M56" s="7">
        <f>F56/E56</f>
        <v/>
      </c>
      <c r="N56" s="7">
        <f>F56/(E56+G56*45)</f>
        <v/>
      </c>
      <c r="O56" s="6">
        <f>I56/F56</f>
        <v/>
      </c>
      <c r="P56" s="6">
        <f>J56/F56</f>
        <v/>
      </c>
      <c r="Q56" s="7">
        <f>IFERROR(K56/F56,0)</f>
        <v/>
      </c>
      <c r="R56">
        <f>IF(M56&gt;=1,"On Target",IF(M56&gt;=0.9,"Watch","Below Target"))</f>
        <v/>
      </c>
    </row>
    <row r="57">
      <c r="A57" t="n">
        <v>53</v>
      </c>
      <c r="B57" s="5" t="n">
        <v>46040</v>
      </c>
      <c r="C57" t="inlineStr">
        <is>
          <t>Evening</t>
        </is>
      </c>
      <c r="D57" t="inlineStr">
        <is>
          <t>OPC</t>
        </is>
      </c>
      <c r="E57" s="6" t="n">
        <v>1156</v>
      </c>
      <c r="F57" s="6" t="n">
        <v>961.6</v>
      </c>
      <c r="G57" s="6" t="n">
        <v>4.28</v>
      </c>
      <c r="H57" t="inlineStr">
        <is>
          <t>Mechanical Failure</t>
        </is>
      </c>
      <c r="I57" s="6" t="n">
        <v>1455</v>
      </c>
      <c r="J57" s="6" t="n">
        <v>80685.3</v>
      </c>
      <c r="K57" t="n">
        <v>3</v>
      </c>
      <c r="L57" t="n">
        <v>8</v>
      </c>
      <c r="M57" s="7">
        <f>F57/E57</f>
        <v/>
      </c>
      <c r="N57" s="7">
        <f>F57/(E57+G57*45)</f>
        <v/>
      </c>
      <c r="O57" s="6">
        <f>I57/F57</f>
        <v/>
      </c>
      <c r="P57" s="6">
        <f>J57/F57</f>
        <v/>
      </c>
      <c r="Q57" s="7">
        <f>IFERROR(K57/F57,0)</f>
        <v/>
      </c>
      <c r="R57">
        <f>IF(M57&gt;=1,"On Target",IF(M57&gt;=0.9,"Watch","Below Target"))</f>
        <v/>
      </c>
    </row>
    <row r="58">
      <c r="A58" t="n">
        <v>54</v>
      </c>
      <c r="B58" s="5" t="n">
        <v>46040</v>
      </c>
      <c r="C58" t="inlineStr">
        <is>
          <t>Night</t>
        </is>
      </c>
      <c r="D58" t="inlineStr">
        <is>
          <t>SRC</t>
        </is>
      </c>
      <c r="E58" s="6" t="n">
        <v>952</v>
      </c>
      <c r="F58" s="6" t="n">
        <v>820.3</v>
      </c>
      <c r="G58" s="6" t="n">
        <v>1.51</v>
      </c>
      <c r="H58" t="inlineStr">
        <is>
          <t>Mechanical Failure</t>
        </is>
      </c>
      <c r="I58" s="6" t="n">
        <v>1244.8</v>
      </c>
      <c r="J58" s="6" t="n">
        <v>63907.6</v>
      </c>
      <c r="K58" t="n">
        <v>2</v>
      </c>
      <c r="L58" t="n">
        <v>11</v>
      </c>
      <c r="M58" s="7">
        <f>F58/E58</f>
        <v/>
      </c>
      <c r="N58" s="7">
        <f>F58/(E58+G58*45)</f>
        <v/>
      </c>
      <c r="O58" s="6">
        <f>I58/F58</f>
        <v/>
      </c>
      <c r="P58" s="6">
        <f>J58/F58</f>
        <v/>
      </c>
      <c r="Q58" s="7">
        <f>IFERROR(K58/F58,0)</f>
        <v/>
      </c>
      <c r="R58">
        <f>IF(M58&gt;=1,"On Target",IF(M58&gt;=0.9,"Watch","Below Target"))</f>
        <v/>
      </c>
    </row>
    <row r="59">
      <c r="A59" t="n">
        <v>55</v>
      </c>
      <c r="B59" s="5" t="n">
        <v>46041</v>
      </c>
      <c r="C59" t="inlineStr">
        <is>
          <t>Day</t>
        </is>
      </c>
      <c r="D59" t="inlineStr">
        <is>
          <t>SRC</t>
        </is>
      </c>
      <c r="E59" s="6" t="n">
        <v>989</v>
      </c>
      <c r="F59" s="6" t="n">
        <v>984.1</v>
      </c>
      <c r="G59" s="6" t="n">
        <v>0.09</v>
      </c>
      <c r="H59" t="inlineStr">
        <is>
          <t>No Downtime</t>
        </is>
      </c>
      <c r="I59" s="6" t="n">
        <v>1498.8</v>
      </c>
      <c r="J59" s="6" t="n">
        <v>80080.5</v>
      </c>
      <c r="K59" t="n">
        <v>4</v>
      </c>
      <c r="L59" t="n">
        <v>12</v>
      </c>
      <c r="M59" s="7">
        <f>F59/E59</f>
        <v/>
      </c>
      <c r="N59" s="7">
        <f>F59/(E59+G59*45)</f>
        <v/>
      </c>
      <c r="O59" s="6">
        <f>I59/F59</f>
        <v/>
      </c>
      <c r="P59" s="6">
        <f>J59/F59</f>
        <v/>
      </c>
      <c r="Q59" s="7">
        <f>IFERROR(K59/F59,0)</f>
        <v/>
      </c>
      <c r="R59">
        <f>IF(M59&gt;=1,"On Target",IF(M59&gt;=0.9,"Watch","Below Target"))</f>
        <v/>
      </c>
    </row>
    <row r="60">
      <c r="A60" t="n">
        <v>56</v>
      </c>
      <c r="B60" s="5" t="n">
        <v>46041</v>
      </c>
      <c r="C60" t="inlineStr">
        <is>
          <t>Evening</t>
        </is>
      </c>
      <c r="D60" t="inlineStr">
        <is>
          <t>SRC</t>
        </is>
      </c>
      <c r="E60" s="6" t="n">
        <v>976</v>
      </c>
      <c r="F60" s="6" t="n">
        <v>867.3</v>
      </c>
      <c r="G60" s="6" t="n">
        <v>3.12</v>
      </c>
      <c r="H60" t="inlineStr">
        <is>
          <t>Quality Issue</t>
        </is>
      </c>
      <c r="I60" s="6" t="n">
        <v>1344.8</v>
      </c>
      <c r="J60" s="6" t="n">
        <v>69990.3</v>
      </c>
      <c r="K60" t="n">
        <v>3</v>
      </c>
      <c r="L60" t="n">
        <v>9</v>
      </c>
      <c r="M60" s="7">
        <f>F60/E60</f>
        <v/>
      </c>
      <c r="N60" s="7">
        <f>F60/(E60+G60*45)</f>
        <v/>
      </c>
      <c r="O60" s="6">
        <f>I60/F60</f>
        <v/>
      </c>
      <c r="P60" s="6">
        <f>J60/F60</f>
        <v/>
      </c>
      <c r="Q60" s="7">
        <f>IFERROR(K60/F60,0)</f>
        <v/>
      </c>
      <c r="R60">
        <f>IF(M60&gt;=1,"On Target",IF(M60&gt;=0.9,"Watch","Below Target"))</f>
        <v/>
      </c>
    </row>
    <row r="61">
      <c r="A61" t="n">
        <v>57</v>
      </c>
      <c r="B61" s="5" t="n">
        <v>46041</v>
      </c>
      <c r="C61" t="inlineStr">
        <is>
          <t>Night</t>
        </is>
      </c>
      <c r="D61" t="inlineStr">
        <is>
          <t>PPC</t>
        </is>
      </c>
      <c r="E61" s="6" t="n">
        <v>1032</v>
      </c>
      <c r="F61" s="6" t="n">
        <v>670.8</v>
      </c>
      <c r="G61" s="6" t="n">
        <v>5.6</v>
      </c>
      <c r="H61" t="inlineStr">
        <is>
          <t>Raw Material Shortage</t>
        </is>
      </c>
      <c r="I61" s="6" t="n">
        <v>1035.7</v>
      </c>
      <c r="J61" s="6" t="n">
        <v>48728</v>
      </c>
      <c r="K61" t="n">
        <v>0</v>
      </c>
      <c r="L61" t="n">
        <v>9</v>
      </c>
      <c r="M61" s="7">
        <f>F61/E61</f>
        <v/>
      </c>
      <c r="N61" s="7">
        <f>F61/(E61+G61*45)</f>
        <v/>
      </c>
      <c r="O61" s="6">
        <f>I61/F61</f>
        <v/>
      </c>
      <c r="P61" s="6">
        <f>J61/F61</f>
        <v/>
      </c>
      <c r="Q61" s="7">
        <f>IFERROR(K61/F61,0)</f>
        <v/>
      </c>
      <c r="R61">
        <f>IF(M61&gt;=1,"On Target",IF(M61&gt;=0.9,"Watch","Below Target"))</f>
        <v/>
      </c>
    </row>
    <row r="62">
      <c r="A62" t="n">
        <v>58</v>
      </c>
      <c r="B62" s="5" t="n">
        <v>46042</v>
      </c>
      <c r="C62" t="inlineStr">
        <is>
          <t>Day</t>
        </is>
      </c>
      <c r="D62" t="inlineStr">
        <is>
          <t>PPC</t>
        </is>
      </c>
      <c r="E62" s="6" t="n">
        <v>1079</v>
      </c>
      <c r="F62" s="6" t="n">
        <v>1018.2</v>
      </c>
      <c r="G62" s="6" t="n">
        <v>2.27</v>
      </c>
      <c r="H62" t="inlineStr">
        <is>
          <t>Electrical Failure</t>
        </is>
      </c>
      <c r="I62" s="6" t="n">
        <v>1565.7</v>
      </c>
      <c r="J62" s="6" t="n">
        <v>88568.39999999999</v>
      </c>
      <c r="K62" t="n">
        <v>4</v>
      </c>
      <c r="L62" t="n">
        <v>11</v>
      </c>
      <c r="M62" s="7">
        <f>F62/E62</f>
        <v/>
      </c>
      <c r="N62" s="7">
        <f>F62/(E62+G62*45)</f>
        <v/>
      </c>
      <c r="O62" s="6">
        <f>I62/F62</f>
        <v/>
      </c>
      <c r="P62" s="6">
        <f>J62/F62</f>
        <v/>
      </c>
      <c r="Q62" s="7">
        <f>IFERROR(K62/F62,0)</f>
        <v/>
      </c>
      <c r="R62">
        <f>IF(M62&gt;=1,"On Target",IF(M62&gt;=0.9,"Watch","Below Target"))</f>
        <v/>
      </c>
    </row>
    <row r="63">
      <c r="A63" t="n">
        <v>59</v>
      </c>
      <c r="B63" s="5" t="n">
        <v>46042</v>
      </c>
      <c r="C63" t="inlineStr">
        <is>
          <t>Evening</t>
        </is>
      </c>
      <c r="D63" t="inlineStr">
        <is>
          <t>PPC</t>
        </is>
      </c>
      <c r="E63" s="6" t="n">
        <v>1042</v>
      </c>
      <c r="F63" s="6" t="n">
        <v>985.1</v>
      </c>
      <c r="G63" s="6" t="n">
        <v>0.44</v>
      </c>
      <c r="H63" t="inlineStr">
        <is>
          <t>No Downtime</t>
        </is>
      </c>
      <c r="I63" s="6" t="n">
        <v>1533.1</v>
      </c>
      <c r="J63" s="6" t="n">
        <v>78767.5</v>
      </c>
      <c r="K63" t="n">
        <v>2</v>
      </c>
      <c r="L63" t="n">
        <v>11</v>
      </c>
      <c r="M63" s="7">
        <f>F63/E63</f>
        <v/>
      </c>
      <c r="N63" s="7">
        <f>F63/(E63+G63*45)</f>
        <v/>
      </c>
      <c r="O63" s="6">
        <f>I63/F63</f>
        <v/>
      </c>
      <c r="P63" s="6">
        <f>J63/F63</f>
        <v/>
      </c>
      <c r="Q63" s="7">
        <f>IFERROR(K63/F63,0)</f>
        <v/>
      </c>
      <c r="R63">
        <f>IF(M63&gt;=1,"On Target",IF(M63&gt;=0.9,"Watch","Below Target"))</f>
        <v/>
      </c>
    </row>
    <row r="64">
      <c r="A64" t="n">
        <v>60</v>
      </c>
      <c r="B64" s="5" t="n">
        <v>46042</v>
      </c>
      <c r="C64" t="inlineStr">
        <is>
          <t>Night</t>
        </is>
      </c>
      <c r="D64" t="inlineStr">
        <is>
          <t>PPC</t>
        </is>
      </c>
      <c r="E64" s="6" t="n">
        <v>1038</v>
      </c>
      <c r="F64" s="6" t="n">
        <v>898.5</v>
      </c>
      <c r="G64" s="6" t="n">
        <v>0.32</v>
      </c>
      <c r="H64" t="inlineStr">
        <is>
          <t>No Downtime</t>
        </is>
      </c>
      <c r="I64" s="6" t="n">
        <v>1378.7</v>
      </c>
      <c r="J64" s="6" t="n">
        <v>80418.7</v>
      </c>
      <c r="K64" t="n">
        <v>2</v>
      </c>
      <c r="L64" t="n">
        <v>8</v>
      </c>
      <c r="M64" s="7">
        <f>F64/E64</f>
        <v/>
      </c>
      <c r="N64" s="7">
        <f>F64/(E64+G64*45)</f>
        <v/>
      </c>
      <c r="O64" s="6">
        <f>I64/F64</f>
        <v/>
      </c>
      <c r="P64" s="6">
        <f>J64/F64</f>
        <v/>
      </c>
      <c r="Q64" s="7">
        <f>IFERROR(K64/F64,0)</f>
        <v/>
      </c>
      <c r="R64">
        <f>IF(M64&gt;=1,"On Target",IF(M64&gt;=0.9,"Watch","Below Target"))</f>
        <v/>
      </c>
    </row>
    <row r="65">
      <c r="A65" t="n">
        <v>61</v>
      </c>
      <c r="B65" s="5" t="n">
        <v>46043</v>
      </c>
      <c r="C65" t="inlineStr">
        <is>
          <t>Day</t>
        </is>
      </c>
      <c r="D65" t="inlineStr">
        <is>
          <t>OPC</t>
        </is>
      </c>
      <c r="E65" s="6" t="n">
        <v>1115</v>
      </c>
      <c r="F65" s="6" t="n">
        <v>1042.9</v>
      </c>
      <c r="G65" s="6" t="n">
        <v>0.08</v>
      </c>
      <c r="H65" t="inlineStr">
        <is>
          <t>No Downtime</t>
        </is>
      </c>
      <c r="I65" s="6" t="n">
        <v>1591.9</v>
      </c>
      <c r="J65" s="6" t="n">
        <v>96549.8</v>
      </c>
      <c r="K65" t="n">
        <v>1</v>
      </c>
      <c r="L65" t="n">
        <v>10</v>
      </c>
      <c r="M65" s="7">
        <f>F65/E65</f>
        <v/>
      </c>
      <c r="N65" s="7">
        <f>F65/(E65+G65*45)</f>
        <v/>
      </c>
      <c r="O65" s="6">
        <f>I65/F65</f>
        <v/>
      </c>
      <c r="P65" s="6">
        <f>J65/F65</f>
        <v/>
      </c>
      <c r="Q65" s="7">
        <f>IFERROR(K65/F65,0)</f>
        <v/>
      </c>
      <c r="R65">
        <f>IF(M65&gt;=1,"On Target",IF(M65&gt;=0.9,"Watch","Below Target"))</f>
        <v/>
      </c>
    </row>
    <row r="66">
      <c r="A66" t="n">
        <v>62</v>
      </c>
      <c r="B66" s="5" t="n">
        <v>46043</v>
      </c>
      <c r="C66" t="inlineStr">
        <is>
          <t>Evening</t>
        </is>
      </c>
      <c r="D66" t="inlineStr">
        <is>
          <t>PPC</t>
        </is>
      </c>
      <c r="E66" s="6" t="n">
        <v>1077</v>
      </c>
      <c r="F66" s="6" t="n">
        <v>894</v>
      </c>
      <c r="G66" s="6" t="n">
        <v>4.25</v>
      </c>
      <c r="H66" t="inlineStr">
        <is>
          <t>Raw Material Shortage</t>
        </is>
      </c>
      <c r="I66" s="6" t="n">
        <v>1339.2</v>
      </c>
      <c r="J66" s="6" t="n">
        <v>71534.2</v>
      </c>
      <c r="K66" t="n">
        <v>2</v>
      </c>
      <c r="L66" t="n">
        <v>12</v>
      </c>
      <c r="M66" s="7">
        <f>F66/E66</f>
        <v/>
      </c>
      <c r="N66" s="7">
        <f>F66/(E66+G66*45)</f>
        <v/>
      </c>
      <c r="O66" s="6">
        <f>I66/F66</f>
        <v/>
      </c>
      <c r="P66" s="6">
        <f>J66/F66</f>
        <v/>
      </c>
      <c r="Q66" s="7">
        <f>IFERROR(K66/F66,0)</f>
        <v/>
      </c>
      <c r="R66">
        <f>IF(M66&gt;=1,"On Target",IF(M66&gt;=0.9,"Watch","Below Target"))</f>
        <v/>
      </c>
    </row>
    <row r="67">
      <c r="A67" t="n">
        <v>63</v>
      </c>
      <c r="B67" s="5" t="n">
        <v>46043</v>
      </c>
      <c r="C67" t="inlineStr">
        <is>
          <t>Night</t>
        </is>
      </c>
      <c r="D67" t="inlineStr">
        <is>
          <t>PPC</t>
        </is>
      </c>
      <c r="E67" s="6" t="n">
        <v>1049</v>
      </c>
      <c r="F67" s="6" t="n">
        <v>1002.5</v>
      </c>
      <c r="G67" s="6" t="n">
        <v>0.1</v>
      </c>
      <c r="H67" t="inlineStr">
        <is>
          <t>No Downtime</t>
        </is>
      </c>
      <c r="I67" s="6" t="n">
        <v>1540.4</v>
      </c>
      <c r="J67" s="6" t="n">
        <v>87491</v>
      </c>
      <c r="K67" t="n">
        <v>1</v>
      </c>
      <c r="L67" t="n">
        <v>8</v>
      </c>
      <c r="M67" s="7">
        <f>F67/E67</f>
        <v/>
      </c>
      <c r="N67" s="7">
        <f>F67/(E67+G67*45)</f>
        <v/>
      </c>
      <c r="O67" s="6">
        <f>I67/F67</f>
        <v/>
      </c>
      <c r="P67" s="6">
        <f>J67/F67</f>
        <v/>
      </c>
      <c r="Q67" s="7">
        <f>IFERROR(K67/F67,0)</f>
        <v/>
      </c>
      <c r="R67">
        <f>IF(M67&gt;=1,"On Target",IF(M67&gt;=0.9,"Watch","Below Target"))</f>
        <v/>
      </c>
    </row>
    <row r="68">
      <c r="A68" t="n">
        <v>64</v>
      </c>
      <c r="B68" s="5" t="n">
        <v>46044</v>
      </c>
      <c r="C68" t="inlineStr">
        <is>
          <t>Day</t>
        </is>
      </c>
      <c r="D68" t="inlineStr">
        <is>
          <t>SRC</t>
        </is>
      </c>
      <c r="E68" s="6" t="n">
        <v>941</v>
      </c>
      <c r="F68" s="6" t="n">
        <v>856.4</v>
      </c>
      <c r="G68" s="6" t="n">
        <v>0.29</v>
      </c>
      <c r="H68" t="inlineStr">
        <is>
          <t>No Downtime</t>
        </is>
      </c>
      <c r="I68" s="6" t="n">
        <v>1315.8</v>
      </c>
      <c r="J68" s="6" t="n">
        <v>64982.1</v>
      </c>
      <c r="K68" t="n">
        <v>1</v>
      </c>
      <c r="L68" t="n">
        <v>7</v>
      </c>
      <c r="M68" s="7">
        <f>F68/E68</f>
        <v/>
      </c>
      <c r="N68" s="7">
        <f>F68/(E68+G68*45)</f>
        <v/>
      </c>
      <c r="O68" s="6">
        <f>I68/F68</f>
        <v/>
      </c>
      <c r="P68" s="6">
        <f>J68/F68</f>
        <v/>
      </c>
      <c r="Q68" s="7">
        <f>IFERROR(K68/F68,0)</f>
        <v/>
      </c>
      <c r="R68">
        <f>IF(M68&gt;=1,"On Target",IF(M68&gt;=0.9,"Watch","Below Target"))</f>
        <v/>
      </c>
    </row>
    <row r="69">
      <c r="A69" t="n">
        <v>65</v>
      </c>
      <c r="B69" s="5" t="n">
        <v>46044</v>
      </c>
      <c r="C69" t="inlineStr">
        <is>
          <t>Evening</t>
        </is>
      </c>
      <c r="D69" t="inlineStr">
        <is>
          <t>OPC</t>
        </is>
      </c>
      <c r="E69" s="6" t="n">
        <v>1172</v>
      </c>
      <c r="F69" s="6" t="n">
        <v>911.6</v>
      </c>
      <c r="G69" s="6" t="n">
        <v>4.33</v>
      </c>
      <c r="H69" t="inlineStr">
        <is>
          <t>Mechanical Failure</t>
        </is>
      </c>
      <c r="I69" s="6" t="n">
        <v>1384.5</v>
      </c>
      <c r="J69" s="6" t="n">
        <v>76318.39999999999</v>
      </c>
      <c r="K69" t="n">
        <v>3</v>
      </c>
      <c r="L69" t="n">
        <v>7</v>
      </c>
      <c r="M69" s="7">
        <f>F69/E69</f>
        <v/>
      </c>
      <c r="N69" s="7">
        <f>F69/(E69+G69*45)</f>
        <v/>
      </c>
      <c r="O69" s="6">
        <f>I69/F69</f>
        <v/>
      </c>
      <c r="P69" s="6">
        <f>J69/F69</f>
        <v/>
      </c>
      <c r="Q69" s="7">
        <f>IFERROR(K69/F69,0)</f>
        <v/>
      </c>
      <c r="R69">
        <f>IF(M69&gt;=1,"On Target",IF(M69&gt;=0.9,"Watch","Below Target"))</f>
        <v/>
      </c>
    </row>
    <row r="70">
      <c r="A70" t="n">
        <v>66</v>
      </c>
      <c r="B70" s="5" t="n">
        <v>46044</v>
      </c>
      <c r="C70" t="inlineStr">
        <is>
          <t>Night</t>
        </is>
      </c>
      <c r="D70" t="inlineStr">
        <is>
          <t>OPC</t>
        </is>
      </c>
      <c r="E70" s="6" t="n">
        <v>1160</v>
      </c>
      <c r="F70" s="6" t="n">
        <v>937.6</v>
      </c>
      <c r="G70" s="6" t="n">
        <v>2.55</v>
      </c>
      <c r="H70" t="inlineStr">
        <is>
          <t>Mechanical Failure</t>
        </is>
      </c>
      <c r="I70" s="6" t="n">
        <v>1424.1</v>
      </c>
      <c r="J70" s="6" t="n">
        <v>74847.89999999999</v>
      </c>
      <c r="K70" t="n">
        <v>1</v>
      </c>
      <c r="L70" t="n">
        <v>12</v>
      </c>
      <c r="M70" s="7">
        <f>F70/E70</f>
        <v/>
      </c>
      <c r="N70" s="7">
        <f>F70/(E70+G70*45)</f>
        <v/>
      </c>
      <c r="O70" s="6">
        <f>I70/F70</f>
        <v/>
      </c>
      <c r="P70" s="6">
        <f>J70/F70</f>
        <v/>
      </c>
      <c r="Q70" s="7">
        <f>IFERROR(K70/F70,0)</f>
        <v/>
      </c>
      <c r="R70">
        <f>IF(M70&gt;=1,"On Target",IF(M70&gt;=0.9,"Watch","Below Target"))</f>
        <v/>
      </c>
    </row>
    <row r="71">
      <c r="A71" t="n">
        <v>67</v>
      </c>
      <c r="B71" s="5" t="n">
        <v>46045</v>
      </c>
      <c r="C71" t="inlineStr">
        <is>
          <t>Day</t>
        </is>
      </c>
      <c r="D71" t="inlineStr">
        <is>
          <t>PPC</t>
        </is>
      </c>
      <c r="E71" s="6" t="n">
        <v>1075</v>
      </c>
      <c r="F71" s="6" t="n">
        <v>1161</v>
      </c>
      <c r="G71" s="6" t="n">
        <v>0</v>
      </c>
      <c r="H71" t="inlineStr">
        <is>
          <t>Quality Issue</t>
        </is>
      </c>
      <c r="I71" s="6" t="n">
        <v>1750.2</v>
      </c>
      <c r="J71" s="6" t="n">
        <v>96308.60000000001</v>
      </c>
      <c r="K71" t="n">
        <v>1</v>
      </c>
      <c r="L71" t="n">
        <v>9</v>
      </c>
      <c r="M71" s="7">
        <f>F71/E71</f>
        <v/>
      </c>
      <c r="N71" s="7">
        <f>F71/(E71+G71*45)</f>
        <v/>
      </c>
      <c r="O71" s="6">
        <f>I71/F71</f>
        <v/>
      </c>
      <c r="P71" s="6">
        <f>J71/F71</f>
        <v/>
      </c>
      <c r="Q71" s="7">
        <f>IFERROR(K71/F71,0)</f>
        <v/>
      </c>
      <c r="R71">
        <f>IF(M71&gt;=1,"On Target",IF(M71&gt;=0.9,"Watch","Below Target"))</f>
        <v/>
      </c>
    </row>
    <row r="72">
      <c r="A72" t="n">
        <v>68</v>
      </c>
      <c r="B72" s="5" t="n">
        <v>46045</v>
      </c>
      <c r="C72" t="inlineStr">
        <is>
          <t>Evening</t>
        </is>
      </c>
      <c r="D72" t="inlineStr">
        <is>
          <t>OPC</t>
        </is>
      </c>
      <c r="E72" s="6" t="n">
        <v>1183</v>
      </c>
      <c r="F72" s="6" t="n">
        <v>1175.1</v>
      </c>
      <c r="G72" s="6" t="n">
        <v>0.49</v>
      </c>
      <c r="H72" t="inlineStr">
        <is>
          <t>No Downtime</t>
        </is>
      </c>
      <c r="I72" s="6" t="n">
        <v>1836.4</v>
      </c>
      <c r="J72" s="6" t="n">
        <v>86137.5</v>
      </c>
      <c r="K72" t="n">
        <v>2</v>
      </c>
      <c r="L72" t="n">
        <v>12</v>
      </c>
      <c r="M72" s="7">
        <f>F72/E72</f>
        <v/>
      </c>
      <c r="N72" s="7">
        <f>F72/(E72+G72*45)</f>
        <v/>
      </c>
      <c r="O72" s="6">
        <f>I72/F72</f>
        <v/>
      </c>
      <c r="P72" s="6">
        <f>J72/F72</f>
        <v/>
      </c>
      <c r="Q72" s="7">
        <f>IFERROR(K72/F72,0)</f>
        <v/>
      </c>
      <c r="R72">
        <f>IF(M72&gt;=1,"On Target",IF(M72&gt;=0.9,"Watch","Below Target"))</f>
        <v/>
      </c>
    </row>
    <row r="73">
      <c r="A73" t="n">
        <v>69</v>
      </c>
      <c r="B73" s="5" t="n">
        <v>46045</v>
      </c>
      <c r="C73" t="inlineStr">
        <is>
          <t>Night</t>
        </is>
      </c>
      <c r="D73" t="inlineStr">
        <is>
          <t>OPC</t>
        </is>
      </c>
      <c r="E73" s="6" t="n">
        <v>1176</v>
      </c>
      <c r="F73" s="6" t="n">
        <v>1092.5</v>
      </c>
      <c r="G73" s="6" t="n">
        <v>0.4</v>
      </c>
      <c r="H73" t="inlineStr">
        <is>
          <t>No Downtime</t>
        </is>
      </c>
      <c r="I73" s="6" t="n">
        <v>1661.1</v>
      </c>
      <c r="J73" s="6" t="n">
        <v>89851.8</v>
      </c>
      <c r="K73" t="n">
        <v>5</v>
      </c>
      <c r="L73" t="n">
        <v>8</v>
      </c>
      <c r="M73" s="7">
        <f>F73/E73</f>
        <v/>
      </c>
      <c r="N73" s="7">
        <f>F73/(E73+G73*45)</f>
        <v/>
      </c>
      <c r="O73" s="6">
        <f>I73/F73</f>
        <v/>
      </c>
      <c r="P73" s="6">
        <f>J73/F73</f>
        <v/>
      </c>
      <c r="Q73" s="7">
        <f>IFERROR(K73/F73,0)</f>
        <v/>
      </c>
      <c r="R73">
        <f>IF(M73&gt;=1,"On Target",IF(M73&gt;=0.9,"Watch","Below Target"))</f>
        <v/>
      </c>
    </row>
    <row r="74">
      <c r="A74" t="n">
        <v>70</v>
      </c>
      <c r="B74" s="5" t="n">
        <v>46046</v>
      </c>
      <c r="C74" t="inlineStr">
        <is>
          <t>Day</t>
        </is>
      </c>
      <c r="D74" t="inlineStr">
        <is>
          <t>OPC</t>
        </is>
      </c>
      <c r="E74" s="6" t="n">
        <v>1116</v>
      </c>
      <c r="F74" s="6" t="n">
        <v>856.8</v>
      </c>
      <c r="G74" s="6" t="n">
        <v>6.32</v>
      </c>
      <c r="H74" t="inlineStr">
        <is>
          <t>Mechanical Failure</t>
        </is>
      </c>
      <c r="I74" s="6" t="n">
        <v>1343.3</v>
      </c>
      <c r="J74" s="6" t="n">
        <v>73539.5</v>
      </c>
      <c r="K74" t="n">
        <v>4</v>
      </c>
      <c r="L74" t="n">
        <v>10</v>
      </c>
      <c r="M74" s="7">
        <f>F74/E74</f>
        <v/>
      </c>
      <c r="N74" s="7">
        <f>F74/(E74+G74*45)</f>
        <v/>
      </c>
      <c r="O74" s="6">
        <f>I74/F74</f>
        <v/>
      </c>
      <c r="P74" s="6">
        <f>J74/F74</f>
        <v/>
      </c>
      <c r="Q74" s="7">
        <f>IFERROR(K74/F74,0)</f>
        <v/>
      </c>
      <c r="R74">
        <f>IF(M74&gt;=1,"On Target",IF(M74&gt;=0.9,"Watch","Below Target"))</f>
        <v/>
      </c>
    </row>
    <row r="75">
      <c r="A75" t="n">
        <v>71</v>
      </c>
      <c r="B75" s="5" t="n">
        <v>46046</v>
      </c>
      <c r="C75" t="inlineStr">
        <is>
          <t>Evening</t>
        </is>
      </c>
      <c r="D75" t="inlineStr">
        <is>
          <t>SRC</t>
        </is>
      </c>
      <c r="E75" s="6" t="n">
        <v>976</v>
      </c>
      <c r="F75" s="6" t="n">
        <v>710.2</v>
      </c>
      <c r="G75" s="6" t="n">
        <v>4.32</v>
      </c>
      <c r="H75" t="inlineStr">
        <is>
          <t>Raw Material Shortage</t>
        </is>
      </c>
      <c r="I75" s="6" t="n">
        <v>1084.8</v>
      </c>
      <c r="J75" s="6" t="n">
        <v>57962.9</v>
      </c>
      <c r="K75" t="n">
        <v>1</v>
      </c>
      <c r="L75" t="n">
        <v>8</v>
      </c>
      <c r="M75" s="7">
        <f>F75/E75</f>
        <v/>
      </c>
      <c r="N75" s="7">
        <f>F75/(E75+G75*45)</f>
        <v/>
      </c>
      <c r="O75" s="6">
        <f>I75/F75</f>
        <v/>
      </c>
      <c r="P75" s="6">
        <f>J75/F75</f>
        <v/>
      </c>
      <c r="Q75" s="7">
        <f>IFERROR(K75/F75,0)</f>
        <v/>
      </c>
      <c r="R75">
        <f>IF(M75&gt;=1,"On Target",IF(M75&gt;=0.9,"Watch","Below Target"))</f>
        <v/>
      </c>
    </row>
    <row r="76">
      <c r="A76" t="n">
        <v>72</v>
      </c>
      <c r="B76" s="5" t="n">
        <v>46046</v>
      </c>
      <c r="C76" t="inlineStr">
        <is>
          <t>Night</t>
        </is>
      </c>
      <c r="D76" t="inlineStr">
        <is>
          <t>PPC</t>
        </is>
      </c>
      <c r="E76" s="6" t="n">
        <v>1068</v>
      </c>
      <c r="F76" s="6" t="n">
        <v>880.5</v>
      </c>
      <c r="G76" s="6" t="n">
        <v>2.39</v>
      </c>
      <c r="H76" t="inlineStr">
        <is>
          <t>Raw Material Shortage</t>
        </is>
      </c>
      <c r="I76" s="6" t="n">
        <v>1404.9</v>
      </c>
      <c r="J76" s="6" t="n">
        <v>74572.60000000001</v>
      </c>
      <c r="K76" t="n">
        <v>1</v>
      </c>
      <c r="L76" t="n">
        <v>9</v>
      </c>
      <c r="M76" s="7">
        <f>F76/E76</f>
        <v/>
      </c>
      <c r="N76" s="7">
        <f>F76/(E76+G76*45)</f>
        <v/>
      </c>
      <c r="O76" s="6">
        <f>I76/F76</f>
        <v/>
      </c>
      <c r="P76" s="6">
        <f>J76/F76</f>
        <v/>
      </c>
      <c r="Q76" s="7">
        <f>IFERROR(K76/F76,0)</f>
        <v/>
      </c>
      <c r="R76">
        <f>IF(M76&gt;=1,"On Target",IF(M76&gt;=0.9,"Watch","Below Target"))</f>
        <v/>
      </c>
    </row>
    <row r="77">
      <c r="A77" t="n">
        <v>73</v>
      </c>
      <c r="B77" s="5" t="n">
        <v>46047</v>
      </c>
      <c r="C77" t="inlineStr">
        <is>
          <t>Day</t>
        </is>
      </c>
      <c r="D77" t="inlineStr">
        <is>
          <t>OPC</t>
        </is>
      </c>
      <c r="E77" s="6" t="n">
        <v>1135</v>
      </c>
      <c r="F77" s="6" t="n">
        <v>1084.5</v>
      </c>
      <c r="G77" s="6" t="n">
        <v>1.6</v>
      </c>
      <c r="H77" t="inlineStr">
        <is>
          <t>Electrical Failure</t>
        </is>
      </c>
      <c r="I77" s="6" t="n">
        <v>1586.5</v>
      </c>
      <c r="J77" s="6" t="n">
        <v>91320.39999999999</v>
      </c>
      <c r="K77" t="n">
        <v>4</v>
      </c>
      <c r="L77" t="n">
        <v>11</v>
      </c>
      <c r="M77" s="7">
        <f>F77/E77</f>
        <v/>
      </c>
      <c r="N77" s="7">
        <f>F77/(E77+G77*45)</f>
        <v/>
      </c>
      <c r="O77" s="6">
        <f>I77/F77</f>
        <v/>
      </c>
      <c r="P77" s="6">
        <f>J77/F77</f>
        <v/>
      </c>
      <c r="Q77" s="7">
        <f>IFERROR(K77/F77,0)</f>
        <v/>
      </c>
      <c r="R77">
        <f>IF(M77&gt;=1,"On Target",IF(M77&gt;=0.9,"Watch","Below Target"))</f>
        <v/>
      </c>
    </row>
    <row r="78">
      <c r="A78" t="n">
        <v>74</v>
      </c>
      <c r="B78" s="5" t="n">
        <v>46047</v>
      </c>
      <c r="C78" t="inlineStr">
        <is>
          <t>Evening</t>
        </is>
      </c>
      <c r="D78" t="inlineStr">
        <is>
          <t>OPC</t>
        </is>
      </c>
      <c r="E78" s="6" t="n">
        <v>1140</v>
      </c>
      <c r="F78" s="6" t="n">
        <v>955</v>
      </c>
      <c r="G78" s="6" t="n">
        <v>4.33</v>
      </c>
      <c r="H78" t="inlineStr">
        <is>
          <t>Planned Maintenance</t>
        </is>
      </c>
      <c r="I78" s="6" t="n">
        <v>1390</v>
      </c>
      <c r="J78" s="6" t="n">
        <v>73418.8</v>
      </c>
      <c r="K78" t="n">
        <v>1</v>
      </c>
      <c r="L78" t="n">
        <v>10</v>
      </c>
      <c r="M78" s="7">
        <f>F78/E78</f>
        <v/>
      </c>
      <c r="N78" s="7">
        <f>F78/(E78+G78*45)</f>
        <v/>
      </c>
      <c r="O78" s="6">
        <f>I78/F78</f>
        <v/>
      </c>
      <c r="P78" s="6">
        <f>J78/F78</f>
        <v/>
      </c>
      <c r="Q78" s="7">
        <f>IFERROR(K78/F78,0)</f>
        <v/>
      </c>
      <c r="R78">
        <f>IF(M78&gt;=1,"On Target",IF(M78&gt;=0.9,"Watch","Below Target"))</f>
        <v/>
      </c>
    </row>
    <row r="79">
      <c r="A79" t="n">
        <v>75</v>
      </c>
      <c r="B79" s="5" t="n">
        <v>46047</v>
      </c>
      <c r="C79" t="inlineStr">
        <is>
          <t>Night</t>
        </is>
      </c>
      <c r="D79" t="inlineStr">
        <is>
          <t>SRC</t>
        </is>
      </c>
      <c r="E79" s="6" t="n">
        <v>1004</v>
      </c>
      <c r="F79" s="6" t="n">
        <v>748.5</v>
      </c>
      <c r="G79" s="6" t="n">
        <v>3.64</v>
      </c>
      <c r="H79" t="inlineStr">
        <is>
          <t>Electrical Failure</t>
        </is>
      </c>
      <c r="I79" s="6" t="n">
        <v>1113.5</v>
      </c>
      <c r="J79" s="6" t="n">
        <v>57328.8</v>
      </c>
      <c r="K79" t="n">
        <v>3</v>
      </c>
      <c r="L79" t="n">
        <v>12</v>
      </c>
      <c r="M79" s="7">
        <f>F79/E79</f>
        <v/>
      </c>
      <c r="N79" s="7">
        <f>F79/(E79+G79*45)</f>
        <v/>
      </c>
      <c r="O79" s="6">
        <f>I79/F79</f>
        <v/>
      </c>
      <c r="P79" s="6">
        <f>J79/F79</f>
        <v/>
      </c>
      <c r="Q79" s="7">
        <f>IFERROR(K79/F79,0)</f>
        <v/>
      </c>
      <c r="R79">
        <f>IF(M79&gt;=1,"On Target",IF(M79&gt;=0.9,"Watch","Below Target"))</f>
        <v/>
      </c>
    </row>
    <row r="80">
      <c r="A80" t="n">
        <v>76</v>
      </c>
      <c r="B80" s="5" t="n">
        <v>46048</v>
      </c>
      <c r="C80" t="inlineStr">
        <is>
          <t>Day</t>
        </is>
      </c>
      <c r="D80" t="inlineStr">
        <is>
          <t>OPC</t>
        </is>
      </c>
      <c r="E80" s="6" t="n">
        <v>1165</v>
      </c>
      <c r="F80" s="6" t="n">
        <v>916.9</v>
      </c>
      <c r="G80" s="6" t="n">
        <v>4.23</v>
      </c>
      <c r="H80" t="inlineStr">
        <is>
          <t>Mechanical Failure</t>
        </is>
      </c>
      <c r="I80" s="6" t="n">
        <v>1339.5</v>
      </c>
      <c r="J80" s="6" t="n">
        <v>78807.60000000001</v>
      </c>
      <c r="K80" t="n">
        <v>2</v>
      </c>
      <c r="L80" t="n">
        <v>7</v>
      </c>
      <c r="M80" s="7">
        <f>F80/E80</f>
        <v/>
      </c>
      <c r="N80" s="7">
        <f>F80/(E80+G80*45)</f>
        <v/>
      </c>
      <c r="O80" s="6">
        <f>I80/F80</f>
        <v/>
      </c>
      <c r="P80" s="6">
        <f>J80/F80</f>
        <v/>
      </c>
      <c r="Q80" s="7">
        <f>IFERROR(K80/F80,0)</f>
        <v/>
      </c>
      <c r="R80">
        <f>IF(M80&gt;=1,"On Target",IF(M80&gt;=0.9,"Watch","Below Target"))</f>
        <v/>
      </c>
    </row>
    <row r="81">
      <c r="A81" t="n">
        <v>77</v>
      </c>
      <c r="B81" s="5" t="n">
        <v>46048</v>
      </c>
      <c r="C81" t="inlineStr">
        <is>
          <t>Evening</t>
        </is>
      </c>
      <c r="D81" t="inlineStr">
        <is>
          <t>OPC</t>
        </is>
      </c>
      <c r="E81" s="6" t="n">
        <v>1170</v>
      </c>
      <c r="F81" s="6" t="n">
        <v>933.9</v>
      </c>
      <c r="G81" s="6" t="n">
        <v>6.01</v>
      </c>
      <c r="H81" t="inlineStr">
        <is>
          <t>Electrical Failure</t>
        </is>
      </c>
      <c r="I81" s="6" t="n">
        <v>1440.2</v>
      </c>
      <c r="J81" s="6" t="n">
        <v>80215.3</v>
      </c>
      <c r="K81" t="n">
        <v>2</v>
      </c>
      <c r="L81" t="n">
        <v>10</v>
      </c>
      <c r="M81" s="7">
        <f>F81/E81</f>
        <v/>
      </c>
      <c r="N81" s="7">
        <f>F81/(E81+G81*45)</f>
        <v/>
      </c>
      <c r="O81" s="6">
        <f>I81/F81</f>
        <v/>
      </c>
      <c r="P81" s="6">
        <f>J81/F81</f>
        <v/>
      </c>
      <c r="Q81" s="7">
        <f>IFERROR(K81/F81,0)</f>
        <v/>
      </c>
      <c r="R81">
        <f>IF(M81&gt;=1,"On Target",IF(M81&gt;=0.9,"Watch","Below Target"))</f>
        <v/>
      </c>
    </row>
    <row r="82">
      <c r="A82" t="n">
        <v>78</v>
      </c>
      <c r="B82" s="5" t="n">
        <v>46048</v>
      </c>
      <c r="C82" t="inlineStr">
        <is>
          <t>Night</t>
        </is>
      </c>
      <c r="D82" t="inlineStr">
        <is>
          <t>SRC</t>
        </is>
      </c>
      <c r="E82" s="6" t="n">
        <v>988</v>
      </c>
      <c r="F82" s="6" t="n">
        <v>891.3</v>
      </c>
      <c r="G82" s="6" t="n">
        <v>0</v>
      </c>
      <c r="H82" t="inlineStr">
        <is>
          <t>Quality Issue</t>
        </is>
      </c>
      <c r="I82" s="6" t="n">
        <v>1366.6</v>
      </c>
      <c r="J82" s="6" t="n">
        <v>75259.8</v>
      </c>
      <c r="K82" t="n">
        <v>5</v>
      </c>
      <c r="L82" t="n">
        <v>9</v>
      </c>
      <c r="M82" s="7">
        <f>F82/E82</f>
        <v/>
      </c>
      <c r="N82" s="7">
        <f>F82/(E82+G82*45)</f>
        <v/>
      </c>
      <c r="O82" s="6">
        <f>I82/F82</f>
        <v/>
      </c>
      <c r="P82" s="6">
        <f>J82/F82</f>
        <v/>
      </c>
      <c r="Q82" s="7">
        <f>IFERROR(K82/F82,0)</f>
        <v/>
      </c>
      <c r="R82">
        <f>IF(M82&gt;=1,"On Target",IF(M82&gt;=0.9,"Watch","Below Target"))</f>
        <v/>
      </c>
    </row>
    <row r="83">
      <c r="A83" t="n">
        <v>79</v>
      </c>
      <c r="B83" s="5" t="n">
        <v>46049</v>
      </c>
      <c r="C83" t="inlineStr">
        <is>
          <t>Day</t>
        </is>
      </c>
      <c r="D83" t="inlineStr">
        <is>
          <t>SRC</t>
        </is>
      </c>
      <c r="E83" s="6" t="n">
        <v>965</v>
      </c>
      <c r="F83" s="6" t="n">
        <v>770</v>
      </c>
      <c r="G83" s="6" t="n">
        <v>5.34</v>
      </c>
      <c r="H83" t="inlineStr">
        <is>
          <t>Mechanical Failure</t>
        </is>
      </c>
      <c r="I83" s="6" t="n">
        <v>1182.4</v>
      </c>
      <c r="J83" s="6" t="n">
        <v>62482</v>
      </c>
      <c r="K83" t="n">
        <v>6</v>
      </c>
      <c r="L83" t="n">
        <v>7</v>
      </c>
      <c r="M83" s="7">
        <f>F83/E83</f>
        <v/>
      </c>
      <c r="N83" s="7">
        <f>F83/(E83+G83*45)</f>
        <v/>
      </c>
      <c r="O83" s="6">
        <f>I83/F83</f>
        <v/>
      </c>
      <c r="P83" s="6">
        <f>J83/F83</f>
        <v/>
      </c>
      <c r="Q83" s="7">
        <f>IFERROR(K83/F83,0)</f>
        <v/>
      </c>
      <c r="R83">
        <f>IF(M83&gt;=1,"On Target",IF(M83&gt;=0.9,"Watch","Below Target"))</f>
        <v/>
      </c>
    </row>
    <row r="84">
      <c r="A84" t="n">
        <v>80</v>
      </c>
      <c r="B84" s="5" t="n">
        <v>46049</v>
      </c>
      <c r="C84" t="inlineStr">
        <is>
          <t>Evening</t>
        </is>
      </c>
      <c r="D84" t="inlineStr">
        <is>
          <t>PPC</t>
        </is>
      </c>
      <c r="E84" s="6" t="n">
        <v>1033</v>
      </c>
      <c r="F84" s="6" t="n">
        <v>776.4</v>
      </c>
      <c r="G84" s="6" t="n">
        <v>5.33</v>
      </c>
      <c r="H84" t="inlineStr">
        <is>
          <t>Mechanical Failure</t>
        </is>
      </c>
      <c r="I84" s="6" t="n">
        <v>1214.2</v>
      </c>
      <c r="J84" s="6" t="n">
        <v>60883</v>
      </c>
      <c r="K84" t="n">
        <v>0</v>
      </c>
      <c r="L84" t="n">
        <v>7</v>
      </c>
      <c r="M84" s="7">
        <f>F84/E84</f>
        <v/>
      </c>
      <c r="N84" s="7">
        <f>F84/(E84+G84*45)</f>
        <v/>
      </c>
      <c r="O84" s="6">
        <f>I84/F84</f>
        <v/>
      </c>
      <c r="P84" s="6">
        <f>J84/F84</f>
        <v/>
      </c>
      <c r="Q84" s="7">
        <f>IFERROR(K84/F84,0)</f>
        <v/>
      </c>
      <c r="R84">
        <f>IF(M84&gt;=1,"On Target",IF(M84&gt;=0.9,"Watch","Below Target"))</f>
        <v/>
      </c>
    </row>
    <row r="85">
      <c r="A85" t="n">
        <v>81</v>
      </c>
      <c r="B85" s="5" t="n">
        <v>46049</v>
      </c>
      <c r="C85" t="inlineStr">
        <is>
          <t>Night</t>
        </is>
      </c>
      <c r="D85" t="inlineStr">
        <is>
          <t>PPC</t>
        </is>
      </c>
      <c r="E85" s="6" t="n">
        <v>1034</v>
      </c>
      <c r="F85" s="6" t="n">
        <v>907</v>
      </c>
      <c r="G85" s="6" t="n">
        <v>2.45</v>
      </c>
      <c r="H85" t="inlineStr">
        <is>
          <t>Raw Material Shortage</t>
        </is>
      </c>
      <c r="I85" s="6" t="n">
        <v>1371.7</v>
      </c>
      <c r="J85" s="6" t="n">
        <v>77988.5</v>
      </c>
      <c r="K85" t="n">
        <v>2</v>
      </c>
      <c r="L85" t="n">
        <v>11</v>
      </c>
      <c r="M85" s="7">
        <f>F85/E85</f>
        <v/>
      </c>
      <c r="N85" s="7">
        <f>F85/(E85+G85*45)</f>
        <v/>
      </c>
      <c r="O85" s="6">
        <f>I85/F85</f>
        <v/>
      </c>
      <c r="P85" s="6">
        <f>J85/F85</f>
        <v/>
      </c>
      <c r="Q85" s="7">
        <f>IFERROR(K85/F85,0)</f>
        <v/>
      </c>
      <c r="R85">
        <f>IF(M85&gt;=1,"On Target",IF(M85&gt;=0.9,"Watch","Below Target"))</f>
        <v/>
      </c>
    </row>
    <row r="86">
      <c r="A86" t="n">
        <v>82</v>
      </c>
      <c r="B86" s="5" t="n">
        <v>46050</v>
      </c>
      <c r="C86" t="inlineStr">
        <is>
          <t>Day</t>
        </is>
      </c>
      <c r="D86" t="inlineStr">
        <is>
          <t>PPC</t>
        </is>
      </c>
      <c r="E86" s="6" t="n">
        <v>1041</v>
      </c>
      <c r="F86" s="6" t="n">
        <v>874.8</v>
      </c>
      <c r="G86" s="6" t="n">
        <v>3.69</v>
      </c>
      <c r="H86" t="inlineStr">
        <is>
          <t>Electrical Failure</t>
        </is>
      </c>
      <c r="I86" s="6" t="n">
        <v>1321.6</v>
      </c>
      <c r="J86" s="6" t="n">
        <v>69411.7</v>
      </c>
      <c r="K86" t="n">
        <v>2</v>
      </c>
      <c r="L86" t="n">
        <v>11</v>
      </c>
      <c r="M86" s="7">
        <f>F86/E86</f>
        <v/>
      </c>
      <c r="N86" s="7">
        <f>F86/(E86+G86*45)</f>
        <v/>
      </c>
      <c r="O86" s="6">
        <f>I86/F86</f>
        <v/>
      </c>
      <c r="P86" s="6">
        <f>J86/F86</f>
        <v/>
      </c>
      <c r="Q86" s="7">
        <f>IFERROR(K86/F86,0)</f>
        <v/>
      </c>
      <c r="R86">
        <f>IF(M86&gt;=1,"On Target",IF(M86&gt;=0.9,"Watch","Below Target"))</f>
        <v/>
      </c>
    </row>
    <row r="87">
      <c r="A87" t="n">
        <v>83</v>
      </c>
      <c r="B87" s="5" t="n">
        <v>46050</v>
      </c>
      <c r="C87" t="inlineStr">
        <is>
          <t>Evening</t>
        </is>
      </c>
      <c r="D87" t="inlineStr">
        <is>
          <t>OPC</t>
        </is>
      </c>
      <c r="E87" s="6" t="n">
        <v>1139</v>
      </c>
      <c r="F87" s="6" t="n">
        <v>1007.7</v>
      </c>
      <c r="G87" s="6" t="n">
        <v>2.97</v>
      </c>
      <c r="H87" t="inlineStr">
        <is>
          <t>Planned Maintenance</t>
        </is>
      </c>
      <c r="I87" s="6" t="n">
        <v>1523.1</v>
      </c>
      <c r="J87" s="6" t="n">
        <v>79073.8</v>
      </c>
      <c r="K87" t="n">
        <v>3</v>
      </c>
      <c r="L87" t="n">
        <v>10</v>
      </c>
      <c r="M87" s="7">
        <f>F87/E87</f>
        <v/>
      </c>
      <c r="N87" s="7">
        <f>F87/(E87+G87*45)</f>
        <v/>
      </c>
      <c r="O87" s="6">
        <f>I87/F87</f>
        <v/>
      </c>
      <c r="P87" s="6">
        <f>J87/F87</f>
        <v/>
      </c>
      <c r="Q87" s="7">
        <f>IFERROR(K87/F87,0)</f>
        <v/>
      </c>
      <c r="R87">
        <f>IF(M87&gt;=1,"On Target",IF(M87&gt;=0.9,"Watch","Below Target"))</f>
        <v/>
      </c>
    </row>
    <row r="88">
      <c r="A88" t="n">
        <v>84</v>
      </c>
      <c r="B88" s="5" t="n">
        <v>46050</v>
      </c>
      <c r="C88" t="inlineStr">
        <is>
          <t>Night</t>
        </is>
      </c>
      <c r="D88" t="inlineStr">
        <is>
          <t>OPC</t>
        </is>
      </c>
      <c r="E88" s="6" t="n">
        <v>1165</v>
      </c>
      <c r="F88" s="6" t="n">
        <v>1076.1</v>
      </c>
      <c r="G88" s="6" t="n">
        <v>0.49</v>
      </c>
      <c r="H88" t="inlineStr">
        <is>
          <t>No Downtime</t>
        </is>
      </c>
      <c r="I88" s="6" t="n">
        <v>1632.1</v>
      </c>
      <c r="J88" s="6" t="n">
        <v>88477.8</v>
      </c>
      <c r="K88" t="n">
        <v>4</v>
      </c>
      <c r="L88" t="n">
        <v>9</v>
      </c>
      <c r="M88" s="7">
        <f>F88/E88</f>
        <v/>
      </c>
      <c r="N88" s="7">
        <f>F88/(E88+G88*45)</f>
        <v/>
      </c>
      <c r="O88" s="6">
        <f>I88/F88</f>
        <v/>
      </c>
      <c r="P88" s="6">
        <f>J88/F88</f>
        <v/>
      </c>
      <c r="Q88" s="7">
        <f>IFERROR(K88/F88,0)</f>
        <v/>
      </c>
      <c r="R88">
        <f>IF(M88&gt;=1,"On Target",IF(M88&gt;=0.9,"Watch","Below Target"))</f>
        <v/>
      </c>
    </row>
    <row r="89">
      <c r="A89" t="n">
        <v>85</v>
      </c>
      <c r="B89" s="5" t="n">
        <v>46051</v>
      </c>
      <c r="C89" t="inlineStr">
        <is>
          <t>Day</t>
        </is>
      </c>
      <c r="D89" t="inlineStr">
        <is>
          <t>OPC</t>
        </is>
      </c>
      <c r="E89" s="6" t="n">
        <v>1150</v>
      </c>
      <c r="F89" s="6" t="n">
        <v>994.3</v>
      </c>
      <c r="G89" s="6" t="n">
        <v>3.14</v>
      </c>
      <c r="H89" t="inlineStr">
        <is>
          <t>Raw Material Shortage</t>
        </is>
      </c>
      <c r="I89" s="6" t="n">
        <v>1560.7</v>
      </c>
      <c r="J89" s="6" t="n">
        <v>79259.39999999999</v>
      </c>
      <c r="K89" t="n">
        <v>3</v>
      </c>
      <c r="L89" t="n">
        <v>11</v>
      </c>
      <c r="M89" s="7">
        <f>F89/E89</f>
        <v/>
      </c>
      <c r="N89" s="7">
        <f>F89/(E89+G89*45)</f>
        <v/>
      </c>
      <c r="O89" s="6">
        <f>I89/F89</f>
        <v/>
      </c>
      <c r="P89" s="6">
        <f>J89/F89</f>
        <v/>
      </c>
      <c r="Q89" s="7">
        <f>IFERROR(K89/F89,0)</f>
        <v/>
      </c>
      <c r="R89">
        <f>IF(M89&gt;=1,"On Target",IF(M89&gt;=0.9,"Watch","Below Target"))</f>
        <v/>
      </c>
    </row>
    <row r="90">
      <c r="A90" t="n">
        <v>86</v>
      </c>
      <c r="B90" s="5" t="n">
        <v>46051</v>
      </c>
      <c r="C90" t="inlineStr">
        <is>
          <t>Evening</t>
        </is>
      </c>
      <c r="D90" t="inlineStr">
        <is>
          <t>PPC</t>
        </is>
      </c>
      <c r="E90" s="6" t="n">
        <v>1082</v>
      </c>
      <c r="F90" s="6" t="n">
        <v>845</v>
      </c>
      <c r="G90" s="6" t="n">
        <v>4.12</v>
      </c>
      <c r="H90" t="inlineStr">
        <is>
          <t>Electrical Failure</t>
        </is>
      </c>
      <c r="I90" s="6" t="n">
        <v>1282.3</v>
      </c>
      <c r="J90" s="6" t="n">
        <v>68655.3</v>
      </c>
      <c r="K90" t="n">
        <v>3</v>
      </c>
      <c r="L90" t="n">
        <v>12</v>
      </c>
      <c r="M90" s="7">
        <f>F90/E90</f>
        <v/>
      </c>
      <c r="N90" s="7">
        <f>F90/(E90+G90*45)</f>
        <v/>
      </c>
      <c r="O90" s="6">
        <f>I90/F90</f>
        <v/>
      </c>
      <c r="P90" s="6">
        <f>J90/F90</f>
        <v/>
      </c>
      <c r="Q90" s="7">
        <f>IFERROR(K90/F90,0)</f>
        <v/>
      </c>
      <c r="R90">
        <f>IF(M90&gt;=1,"On Target",IF(M90&gt;=0.9,"Watch","Below Target"))</f>
        <v/>
      </c>
    </row>
    <row r="91">
      <c r="A91" t="n">
        <v>87</v>
      </c>
      <c r="B91" s="5" t="n">
        <v>46051</v>
      </c>
      <c r="C91" t="inlineStr">
        <is>
          <t>Night</t>
        </is>
      </c>
      <c r="D91" t="inlineStr">
        <is>
          <t>OPC</t>
        </is>
      </c>
      <c r="E91" s="6" t="n">
        <v>1114</v>
      </c>
      <c r="F91" s="6" t="n">
        <v>986.8</v>
      </c>
      <c r="G91" s="6" t="n">
        <v>0.05</v>
      </c>
      <c r="H91" t="inlineStr">
        <is>
          <t>No Downtime</t>
        </is>
      </c>
      <c r="I91" s="6" t="n">
        <v>1531.3</v>
      </c>
      <c r="J91" s="6" t="n">
        <v>81061.39999999999</v>
      </c>
      <c r="K91" t="n">
        <v>7</v>
      </c>
      <c r="L91" t="n">
        <v>9</v>
      </c>
      <c r="M91" s="7">
        <f>F91/E91</f>
        <v/>
      </c>
      <c r="N91" s="7">
        <f>F91/(E91+G91*45)</f>
        <v/>
      </c>
      <c r="O91" s="6">
        <f>I91/F91</f>
        <v/>
      </c>
      <c r="P91" s="6">
        <f>J91/F91</f>
        <v/>
      </c>
      <c r="Q91" s="7">
        <f>IFERROR(K91/F91,0)</f>
        <v/>
      </c>
      <c r="R91">
        <f>IF(M91&gt;=1,"On Target",IF(M91&gt;=0.9,"Watch","Below Target"))</f>
        <v/>
      </c>
    </row>
    <row r="92">
      <c r="A92" t="n">
        <v>88</v>
      </c>
      <c r="B92" s="5" t="n">
        <v>46052</v>
      </c>
      <c r="C92" t="inlineStr">
        <is>
          <t>Day</t>
        </is>
      </c>
      <c r="D92" t="inlineStr">
        <is>
          <t>SRC</t>
        </is>
      </c>
      <c r="E92" s="6" t="n">
        <v>980</v>
      </c>
      <c r="F92" s="6" t="n">
        <v>971.9</v>
      </c>
      <c r="G92" s="6" t="n">
        <v>0.05</v>
      </c>
      <c r="H92" t="inlineStr">
        <is>
          <t>No Downtime</t>
        </is>
      </c>
      <c r="I92" s="6" t="n">
        <v>1445.8</v>
      </c>
      <c r="J92" s="6" t="n">
        <v>82008.8</v>
      </c>
      <c r="K92" t="n">
        <v>4</v>
      </c>
      <c r="L92" t="n">
        <v>9</v>
      </c>
      <c r="M92" s="7">
        <f>F92/E92</f>
        <v/>
      </c>
      <c r="N92" s="7">
        <f>F92/(E92+G92*45)</f>
        <v/>
      </c>
      <c r="O92" s="6">
        <f>I92/F92</f>
        <v/>
      </c>
      <c r="P92" s="6">
        <f>J92/F92</f>
        <v/>
      </c>
      <c r="Q92" s="7">
        <f>IFERROR(K92/F92,0)</f>
        <v/>
      </c>
      <c r="R92">
        <f>IF(M92&gt;=1,"On Target",IF(M92&gt;=0.9,"Watch","Below Target"))</f>
        <v/>
      </c>
    </row>
    <row r="93">
      <c r="A93" t="n">
        <v>89</v>
      </c>
      <c r="B93" s="5" t="n">
        <v>46052</v>
      </c>
      <c r="C93" t="inlineStr">
        <is>
          <t>Evening</t>
        </is>
      </c>
      <c r="D93" t="inlineStr">
        <is>
          <t>OPC</t>
        </is>
      </c>
      <c r="E93" s="6" t="n">
        <v>1148</v>
      </c>
      <c r="F93" s="6" t="n">
        <v>1097.3</v>
      </c>
      <c r="G93" s="6" t="n">
        <v>0.25</v>
      </c>
      <c r="H93" t="inlineStr">
        <is>
          <t>No Downtime</t>
        </is>
      </c>
      <c r="I93" s="6" t="n">
        <v>1675.3</v>
      </c>
      <c r="J93" s="6" t="n">
        <v>90185.8</v>
      </c>
      <c r="K93" t="n">
        <v>5</v>
      </c>
      <c r="L93" t="n">
        <v>12</v>
      </c>
      <c r="M93" s="7">
        <f>F93/E93</f>
        <v/>
      </c>
      <c r="N93" s="7">
        <f>F93/(E93+G93*45)</f>
        <v/>
      </c>
      <c r="O93" s="6">
        <f>I93/F93</f>
        <v/>
      </c>
      <c r="P93" s="6">
        <f>J93/F93</f>
        <v/>
      </c>
      <c r="Q93" s="7">
        <f>IFERROR(K93/F93,0)</f>
        <v/>
      </c>
      <c r="R93">
        <f>IF(M93&gt;=1,"On Target",IF(M93&gt;=0.9,"Watch","Below Target"))</f>
        <v/>
      </c>
    </row>
    <row r="94">
      <c r="A94" t="n">
        <v>90</v>
      </c>
      <c r="B94" s="5" t="n">
        <v>46052</v>
      </c>
      <c r="C94" t="inlineStr">
        <is>
          <t>Night</t>
        </is>
      </c>
      <c r="D94" t="inlineStr">
        <is>
          <t>OPC</t>
        </is>
      </c>
      <c r="E94" s="6" t="n">
        <v>1172</v>
      </c>
      <c r="F94" s="6" t="n">
        <v>1032.6</v>
      </c>
      <c r="G94" s="6" t="n">
        <v>0.39</v>
      </c>
      <c r="H94" t="inlineStr">
        <is>
          <t>No Downtime</t>
        </is>
      </c>
      <c r="I94" s="6" t="n">
        <v>1588.3</v>
      </c>
      <c r="J94" s="6" t="n">
        <v>82095.39999999999</v>
      </c>
      <c r="K94" t="n">
        <v>4</v>
      </c>
      <c r="L94" t="n">
        <v>12</v>
      </c>
      <c r="M94" s="7">
        <f>F94/E94</f>
        <v/>
      </c>
      <c r="N94" s="7">
        <f>F94/(E94+G94*45)</f>
        <v/>
      </c>
      <c r="O94" s="6">
        <f>I94/F94</f>
        <v/>
      </c>
      <c r="P94" s="6">
        <f>J94/F94</f>
        <v/>
      </c>
      <c r="Q94" s="7">
        <f>IFERROR(K94/F94,0)</f>
        <v/>
      </c>
      <c r="R94">
        <f>IF(M94&gt;=1,"On Target",IF(M94&gt;=0.9,"Watch","Below Target"))</f>
        <v/>
      </c>
    </row>
    <row r="95">
      <c r="A95" t="n">
        <v>91</v>
      </c>
      <c r="B95" s="5" t="n">
        <v>46053</v>
      </c>
      <c r="C95" t="inlineStr">
        <is>
          <t>Day</t>
        </is>
      </c>
      <c r="D95" t="inlineStr">
        <is>
          <t>PPC</t>
        </is>
      </c>
      <c r="E95" s="6" t="n">
        <v>1059</v>
      </c>
      <c r="F95" s="6" t="n">
        <v>902.3</v>
      </c>
      <c r="G95" s="6" t="n">
        <v>3.34</v>
      </c>
      <c r="H95" t="inlineStr">
        <is>
          <t>Planned Maintenance</t>
        </is>
      </c>
      <c r="I95" s="6" t="n">
        <v>1407.4</v>
      </c>
      <c r="J95" s="6" t="n">
        <v>72340.3</v>
      </c>
      <c r="K95" t="n">
        <v>1</v>
      </c>
      <c r="L95" t="n">
        <v>8</v>
      </c>
      <c r="M95" s="7">
        <f>F95/E95</f>
        <v/>
      </c>
      <c r="N95" s="7">
        <f>F95/(E95+G95*45)</f>
        <v/>
      </c>
      <c r="O95" s="6">
        <f>I95/F95</f>
        <v/>
      </c>
      <c r="P95" s="6">
        <f>J95/F95</f>
        <v/>
      </c>
      <c r="Q95" s="7">
        <f>IFERROR(K95/F95,0)</f>
        <v/>
      </c>
      <c r="R95">
        <f>IF(M95&gt;=1,"On Target",IF(M95&gt;=0.9,"Watch","Below Target"))</f>
        <v/>
      </c>
    </row>
    <row r="96">
      <c r="A96" t="n">
        <v>92</v>
      </c>
      <c r="B96" s="5" t="n">
        <v>46053</v>
      </c>
      <c r="C96" t="inlineStr">
        <is>
          <t>Evening</t>
        </is>
      </c>
      <c r="D96" t="inlineStr">
        <is>
          <t>OPC</t>
        </is>
      </c>
      <c r="E96" s="6" t="n">
        <v>1138</v>
      </c>
      <c r="F96" s="6" t="n">
        <v>1154.7</v>
      </c>
      <c r="G96" s="6" t="n">
        <v>0.15</v>
      </c>
      <c r="H96" t="inlineStr">
        <is>
          <t>No Downtime</t>
        </is>
      </c>
      <c r="I96" s="6" t="n">
        <v>1774</v>
      </c>
      <c r="J96" s="6" t="n">
        <v>97358.10000000001</v>
      </c>
      <c r="K96" t="n">
        <v>1</v>
      </c>
      <c r="L96" t="n">
        <v>9</v>
      </c>
      <c r="M96" s="7">
        <f>F96/E96</f>
        <v/>
      </c>
      <c r="N96" s="7">
        <f>F96/(E96+G96*45)</f>
        <v/>
      </c>
      <c r="O96" s="6">
        <f>I96/F96</f>
        <v/>
      </c>
      <c r="P96" s="6">
        <f>J96/F96</f>
        <v/>
      </c>
      <c r="Q96" s="7">
        <f>IFERROR(K96/F96,0)</f>
        <v/>
      </c>
      <c r="R96">
        <f>IF(M96&gt;=1,"On Target",IF(M96&gt;=0.9,"Watch","Below Target"))</f>
        <v/>
      </c>
    </row>
    <row r="97">
      <c r="A97" t="n">
        <v>93</v>
      </c>
      <c r="B97" s="5" t="n">
        <v>46053</v>
      </c>
      <c r="C97" t="inlineStr">
        <is>
          <t>Night</t>
        </is>
      </c>
      <c r="D97" t="inlineStr">
        <is>
          <t>SRC</t>
        </is>
      </c>
      <c r="E97" s="6" t="n">
        <v>995</v>
      </c>
      <c r="F97" s="6" t="n">
        <v>777.3</v>
      </c>
      <c r="G97" s="6" t="n">
        <v>3.31</v>
      </c>
      <c r="H97" t="inlineStr">
        <is>
          <t>Raw Material Shortage</t>
        </is>
      </c>
      <c r="I97" s="6" t="n">
        <v>1148.1</v>
      </c>
      <c r="J97" s="6" t="n">
        <v>68899.89999999999</v>
      </c>
      <c r="K97" t="n">
        <v>4</v>
      </c>
      <c r="L97" t="n">
        <v>11</v>
      </c>
      <c r="M97" s="7">
        <f>F97/E97</f>
        <v/>
      </c>
      <c r="N97" s="7">
        <f>F97/(E97+G97*45)</f>
        <v/>
      </c>
      <c r="O97" s="6">
        <f>I97/F97</f>
        <v/>
      </c>
      <c r="P97" s="6">
        <f>J97/F97</f>
        <v/>
      </c>
      <c r="Q97" s="7">
        <f>IFERROR(K97/F97,0)</f>
        <v/>
      </c>
      <c r="R97">
        <f>IF(M97&gt;=1,"On Target",IF(M97&gt;=0.9,"Watch","Below Target"))</f>
        <v/>
      </c>
    </row>
    <row r="98">
      <c r="A98" t="n">
        <v>94</v>
      </c>
      <c r="B98" s="5" t="n">
        <v>46054</v>
      </c>
      <c r="C98" t="inlineStr">
        <is>
          <t>Day</t>
        </is>
      </c>
      <c r="D98" t="inlineStr">
        <is>
          <t>OPC</t>
        </is>
      </c>
      <c r="E98" s="6" t="n">
        <v>1134</v>
      </c>
      <c r="F98" s="6" t="n">
        <v>1077.8</v>
      </c>
      <c r="G98" s="6" t="n">
        <v>3.05</v>
      </c>
      <c r="H98" t="inlineStr">
        <is>
          <t>Quality Issue</t>
        </is>
      </c>
      <c r="I98" s="6" t="n">
        <v>1592.4</v>
      </c>
      <c r="J98" s="6" t="n">
        <v>89043.5</v>
      </c>
      <c r="K98" t="n">
        <v>1</v>
      </c>
      <c r="L98" t="n">
        <v>9</v>
      </c>
      <c r="M98" s="7">
        <f>F98/E98</f>
        <v/>
      </c>
      <c r="N98" s="7">
        <f>F98/(E98+G98*45)</f>
        <v/>
      </c>
      <c r="O98" s="6">
        <f>I98/F98</f>
        <v/>
      </c>
      <c r="P98" s="6">
        <f>J98/F98</f>
        <v/>
      </c>
      <c r="Q98" s="7">
        <f>IFERROR(K98/F98,0)</f>
        <v/>
      </c>
      <c r="R98">
        <f>IF(M98&gt;=1,"On Target",IF(M98&gt;=0.9,"Watch","Below Target"))</f>
        <v/>
      </c>
    </row>
    <row r="99">
      <c r="A99" t="n">
        <v>95</v>
      </c>
      <c r="B99" s="5" t="n">
        <v>46054</v>
      </c>
      <c r="C99" t="inlineStr">
        <is>
          <t>Evening</t>
        </is>
      </c>
      <c r="D99" t="inlineStr">
        <is>
          <t>SRC</t>
        </is>
      </c>
      <c r="E99" s="6" t="n">
        <v>1010</v>
      </c>
      <c r="F99" s="6" t="n">
        <v>730.5</v>
      </c>
      <c r="G99" s="6" t="n">
        <v>6.56</v>
      </c>
      <c r="H99" t="inlineStr">
        <is>
          <t>Mechanical Failure</t>
        </is>
      </c>
      <c r="I99" s="6" t="n">
        <v>1142.3</v>
      </c>
      <c r="J99" s="6" t="n">
        <v>61336</v>
      </c>
      <c r="K99" t="n">
        <v>1</v>
      </c>
      <c r="L99" t="n">
        <v>7</v>
      </c>
      <c r="M99" s="7">
        <f>F99/E99</f>
        <v/>
      </c>
      <c r="N99" s="7">
        <f>F99/(E99+G99*45)</f>
        <v/>
      </c>
      <c r="O99" s="6">
        <f>I99/F99</f>
        <v/>
      </c>
      <c r="P99" s="6">
        <f>J99/F99</f>
        <v/>
      </c>
      <c r="Q99" s="7">
        <f>IFERROR(K99/F99,0)</f>
        <v/>
      </c>
      <c r="R99">
        <f>IF(M99&gt;=1,"On Target",IF(M99&gt;=0.9,"Watch","Below Target"))</f>
        <v/>
      </c>
    </row>
    <row r="100">
      <c r="A100" t="n">
        <v>96</v>
      </c>
      <c r="B100" s="5" t="n">
        <v>46054</v>
      </c>
      <c r="C100" t="inlineStr">
        <is>
          <t>Night</t>
        </is>
      </c>
      <c r="D100" t="inlineStr">
        <is>
          <t>PPC</t>
        </is>
      </c>
      <c r="E100" s="6" t="n">
        <v>1018</v>
      </c>
      <c r="F100" s="6" t="n">
        <v>694</v>
      </c>
      <c r="G100" s="6" t="n">
        <v>4.7</v>
      </c>
      <c r="H100" t="inlineStr">
        <is>
          <t>Mechanical Failure</t>
        </is>
      </c>
      <c r="I100" s="6" t="n">
        <v>1075.2</v>
      </c>
      <c r="J100" s="6" t="n">
        <v>55092.6</v>
      </c>
      <c r="K100" t="n">
        <v>2</v>
      </c>
      <c r="L100" t="n">
        <v>8</v>
      </c>
      <c r="M100" s="7">
        <f>F100/E100</f>
        <v/>
      </c>
      <c r="N100" s="7">
        <f>F100/(E100+G100*45)</f>
        <v/>
      </c>
      <c r="O100" s="6">
        <f>I100/F100</f>
        <v/>
      </c>
      <c r="P100" s="6">
        <f>J100/F100</f>
        <v/>
      </c>
      <c r="Q100" s="7">
        <f>IFERROR(K100/F100,0)</f>
        <v/>
      </c>
      <c r="R100">
        <f>IF(M100&gt;=1,"On Target",IF(M100&gt;=0.9,"Watch","Below Target"))</f>
        <v/>
      </c>
    </row>
    <row r="101">
      <c r="A101" t="n">
        <v>97</v>
      </c>
      <c r="B101" s="5" t="n">
        <v>46055</v>
      </c>
      <c r="C101" t="inlineStr">
        <is>
          <t>Day</t>
        </is>
      </c>
      <c r="D101" t="inlineStr">
        <is>
          <t>PPC</t>
        </is>
      </c>
      <c r="E101" s="6" t="n">
        <v>1047</v>
      </c>
      <c r="F101" s="6" t="n">
        <v>1010.5</v>
      </c>
      <c r="G101" s="6" t="n">
        <v>0.39</v>
      </c>
      <c r="H101" t="inlineStr">
        <is>
          <t>No Downtime</t>
        </is>
      </c>
      <c r="I101" s="6" t="n">
        <v>1535.1</v>
      </c>
      <c r="J101" s="6" t="n">
        <v>80554.10000000001</v>
      </c>
      <c r="K101" t="n">
        <v>1</v>
      </c>
      <c r="L101" t="n">
        <v>7</v>
      </c>
      <c r="M101" s="7">
        <f>F101/E101</f>
        <v/>
      </c>
      <c r="N101" s="7">
        <f>F101/(E101+G101*45)</f>
        <v/>
      </c>
      <c r="O101" s="6">
        <f>I101/F101</f>
        <v/>
      </c>
      <c r="P101" s="6">
        <f>J101/F101</f>
        <v/>
      </c>
      <c r="Q101" s="7">
        <f>IFERROR(K101/F101,0)</f>
        <v/>
      </c>
      <c r="R101">
        <f>IF(M101&gt;=1,"On Target",IF(M101&gt;=0.9,"Watch","Below Target"))</f>
        <v/>
      </c>
    </row>
    <row r="102">
      <c r="A102" t="n">
        <v>98</v>
      </c>
      <c r="B102" s="5" t="n">
        <v>46055</v>
      </c>
      <c r="C102" t="inlineStr">
        <is>
          <t>Evening</t>
        </is>
      </c>
      <c r="D102" t="inlineStr">
        <is>
          <t>PPC</t>
        </is>
      </c>
      <c r="E102" s="6" t="n">
        <v>1088</v>
      </c>
      <c r="F102" s="6" t="n">
        <v>1052.9</v>
      </c>
      <c r="G102" s="6" t="n">
        <v>0.28</v>
      </c>
      <c r="H102" t="inlineStr">
        <is>
          <t>No Downtime</t>
        </is>
      </c>
      <c r="I102" s="6" t="n">
        <v>1568.2</v>
      </c>
      <c r="J102" s="6" t="n">
        <v>86500.3</v>
      </c>
      <c r="K102" t="n">
        <v>1</v>
      </c>
      <c r="L102" t="n">
        <v>10</v>
      </c>
      <c r="M102" s="7">
        <f>F102/E102</f>
        <v/>
      </c>
      <c r="N102" s="7">
        <f>F102/(E102+G102*45)</f>
        <v/>
      </c>
      <c r="O102" s="6">
        <f>I102/F102</f>
        <v/>
      </c>
      <c r="P102" s="6">
        <f>J102/F102</f>
        <v/>
      </c>
      <c r="Q102" s="7">
        <f>IFERROR(K102/F102,0)</f>
        <v/>
      </c>
      <c r="R102">
        <f>IF(M102&gt;=1,"On Target",IF(M102&gt;=0.9,"Watch","Below Target"))</f>
        <v/>
      </c>
    </row>
    <row r="103">
      <c r="A103" t="n">
        <v>99</v>
      </c>
      <c r="B103" s="5" t="n">
        <v>46055</v>
      </c>
      <c r="C103" t="inlineStr">
        <is>
          <t>Night</t>
        </is>
      </c>
      <c r="D103" t="inlineStr">
        <is>
          <t>OPC</t>
        </is>
      </c>
      <c r="E103" s="6" t="n">
        <v>1175</v>
      </c>
      <c r="F103" s="6" t="n">
        <v>860.9</v>
      </c>
      <c r="G103" s="6" t="n">
        <v>5.19</v>
      </c>
      <c r="H103" t="inlineStr">
        <is>
          <t>Mechanical Failure</t>
        </is>
      </c>
      <c r="I103" s="6" t="n">
        <v>1314.9</v>
      </c>
      <c r="J103" s="6" t="n">
        <v>73623.10000000001</v>
      </c>
      <c r="K103" t="n">
        <v>5</v>
      </c>
      <c r="L103" t="n">
        <v>10</v>
      </c>
      <c r="M103" s="7">
        <f>F103/E103</f>
        <v/>
      </c>
      <c r="N103" s="7">
        <f>F103/(E103+G103*45)</f>
        <v/>
      </c>
      <c r="O103" s="6">
        <f>I103/F103</f>
        <v/>
      </c>
      <c r="P103" s="6">
        <f>J103/F103</f>
        <v/>
      </c>
      <c r="Q103" s="7">
        <f>IFERROR(K103/F103,0)</f>
        <v/>
      </c>
      <c r="R103">
        <f>IF(M103&gt;=1,"On Target",IF(M103&gt;=0.9,"Watch","Below Target"))</f>
        <v/>
      </c>
    </row>
    <row r="104">
      <c r="A104" t="n">
        <v>100</v>
      </c>
      <c r="B104" s="5" t="n">
        <v>46056</v>
      </c>
      <c r="C104" t="inlineStr">
        <is>
          <t>Day</t>
        </is>
      </c>
      <c r="D104" t="inlineStr">
        <is>
          <t>OPC</t>
        </is>
      </c>
      <c r="E104" s="6" t="n">
        <v>1116</v>
      </c>
      <c r="F104" s="6" t="n">
        <v>990.5</v>
      </c>
      <c r="G104" s="6" t="n">
        <v>4.74</v>
      </c>
      <c r="H104" t="inlineStr">
        <is>
          <t>Planned Maintenance</t>
        </is>
      </c>
      <c r="I104" s="6" t="n">
        <v>1485.5</v>
      </c>
      <c r="J104" s="6" t="n">
        <v>81129.10000000001</v>
      </c>
      <c r="K104" t="n">
        <v>3</v>
      </c>
      <c r="L104" t="n">
        <v>10</v>
      </c>
      <c r="M104" s="7">
        <f>F104/E104</f>
        <v/>
      </c>
      <c r="N104" s="7">
        <f>F104/(E104+G104*45)</f>
        <v/>
      </c>
      <c r="O104" s="6">
        <f>I104/F104</f>
        <v/>
      </c>
      <c r="P104" s="6">
        <f>J104/F104</f>
        <v/>
      </c>
      <c r="Q104" s="7">
        <f>IFERROR(K104/F104,0)</f>
        <v/>
      </c>
      <c r="R104">
        <f>IF(M104&gt;=1,"On Target",IF(M104&gt;=0.9,"Watch","Below Target"))</f>
        <v/>
      </c>
    </row>
    <row r="105">
      <c r="A105" t="n">
        <v>101</v>
      </c>
      <c r="B105" s="5" t="n">
        <v>46056</v>
      </c>
      <c r="C105" t="inlineStr">
        <is>
          <t>Evening</t>
        </is>
      </c>
      <c r="D105" t="inlineStr">
        <is>
          <t>OPC</t>
        </is>
      </c>
      <c r="E105" s="6" t="n">
        <v>1154</v>
      </c>
      <c r="F105" s="6" t="n">
        <v>1173.5</v>
      </c>
      <c r="G105" s="6" t="n">
        <v>0</v>
      </c>
      <c r="H105" t="inlineStr">
        <is>
          <t>Quality Issue</t>
        </is>
      </c>
      <c r="I105" s="6" t="n">
        <v>1807.2</v>
      </c>
      <c r="J105" s="6" t="n">
        <v>97988.89999999999</v>
      </c>
      <c r="K105" t="n">
        <v>1</v>
      </c>
      <c r="L105" t="n">
        <v>10</v>
      </c>
      <c r="M105" s="7">
        <f>F105/E105</f>
        <v/>
      </c>
      <c r="N105" s="7">
        <f>F105/(E105+G105*45)</f>
        <v/>
      </c>
      <c r="O105" s="6">
        <f>I105/F105</f>
        <v/>
      </c>
      <c r="P105" s="6">
        <f>J105/F105</f>
        <v/>
      </c>
      <c r="Q105" s="7">
        <f>IFERROR(K105/F105,0)</f>
        <v/>
      </c>
      <c r="R105">
        <f>IF(M105&gt;=1,"On Target",IF(M105&gt;=0.9,"Watch","Below Target"))</f>
        <v/>
      </c>
    </row>
    <row r="106">
      <c r="A106" t="n">
        <v>102</v>
      </c>
      <c r="B106" s="5" t="n">
        <v>46056</v>
      </c>
      <c r="C106" t="inlineStr">
        <is>
          <t>Night</t>
        </is>
      </c>
      <c r="D106" t="inlineStr">
        <is>
          <t>PPC</t>
        </is>
      </c>
      <c r="E106" s="6" t="n">
        <v>1027</v>
      </c>
      <c r="F106" s="6" t="n">
        <v>977.6</v>
      </c>
      <c r="G106" s="6" t="n">
        <v>0</v>
      </c>
      <c r="H106" t="inlineStr">
        <is>
          <t>Quality Issue</t>
        </is>
      </c>
      <c r="I106" s="6" t="n">
        <v>1457.2</v>
      </c>
      <c r="J106" s="6" t="n">
        <v>80114.2</v>
      </c>
      <c r="K106" t="n">
        <v>2</v>
      </c>
      <c r="L106" t="n">
        <v>7</v>
      </c>
      <c r="M106" s="7">
        <f>F106/E106</f>
        <v/>
      </c>
      <c r="N106" s="7">
        <f>F106/(E106+G106*45)</f>
        <v/>
      </c>
      <c r="O106" s="6">
        <f>I106/F106</f>
        <v/>
      </c>
      <c r="P106" s="6">
        <f>J106/F106</f>
        <v/>
      </c>
      <c r="Q106" s="7">
        <f>IFERROR(K106/F106,0)</f>
        <v/>
      </c>
      <c r="R106">
        <f>IF(M106&gt;=1,"On Target",IF(M106&gt;=0.9,"Watch","Below Target"))</f>
        <v/>
      </c>
    </row>
    <row r="107">
      <c r="A107" t="n">
        <v>103</v>
      </c>
      <c r="B107" s="5" t="n">
        <v>46057</v>
      </c>
      <c r="C107" t="inlineStr">
        <is>
          <t>Day</t>
        </is>
      </c>
      <c r="D107" t="inlineStr">
        <is>
          <t>SRC</t>
        </is>
      </c>
      <c r="E107" s="6" t="n">
        <v>988</v>
      </c>
      <c r="F107" s="6" t="n">
        <v>1021.2</v>
      </c>
      <c r="G107" s="6" t="n">
        <v>0.21</v>
      </c>
      <c r="H107" t="inlineStr">
        <is>
          <t>No Downtime</t>
        </is>
      </c>
      <c r="I107" s="6" t="n">
        <v>1508.4</v>
      </c>
      <c r="J107" s="6" t="n">
        <v>77757.2</v>
      </c>
      <c r="K107" t="n">
        <v>1</v>
      </c>
      <c r="L107" t="n">
        <v>7</v>
      </c>
      <c r="M107" s="7">
        <f>F107/E107</f>
        <v/>
      </c>
      <c r="N107" s="7">
        <f>F107/(E107+G107*45)</f>
        <v/>
      </c>
      <c r="O107" s="6">
        <f>I107/F107</f>
        <v/>
      </c>
      <c r="P107" s="6">
        <f>J107/F107</f>
        <v/>
      </c>
      <c r="Q107" s="7">
        <f>IFERROR(K107/F107,0)</f>
        <v/>
      </c>
      <c r="R107">
        <f>IF(M107&gt;=1,"On Target",IF(M107&gt;=0.9,"Watch","Below Target"))</f>
        <v/>
      </c>
    </row>
    <row r="108">
      <c r="A108" t="n">
        <v>104</v>
      </c>
      <c r="B108" s="5" t="n">
        <v>46057</v>
      </c>
      <c r="C108" t="inlineStr">
        <is>
          <t>Evening</t>
        </is>
      </c>
      <c r="D108" t="inlineStr">
        <is>
          <t>PPC</t>
        </is>
      </c>
      <c r="E108" s="6" t="n">
        <v>1045</v>
      </c>
      <c r="F108" s="6" t="n">
        <v>835.8</v>
      </c>
      <c r="G108" s="6" t="n">
        <v>4.09</v>
      </c>
      <c r="H108" t="inlineStr">
        <is>
          <t>Planned Maintenance</t>
        </is>
      </c>
      <c r="I108" s="6" t="n">
        <v>1288</v>
      </c>
      <c r="J108" s="6" t="n">
        <v>72328.8</v>
      </c>
      <c r="K108" t="n">
        <v>3</v>
      </c>
      <c r="L108" t="n">
        <v>8</v>
      </c>
      <c r="M108" s="7">
        <f>F108/E108</f>
        <v/>
      </c>
      <c r="N108" s="7">
        <f>F108/(E108+G108*45)</f>
        <v/>
      </c>
      <c r="O108" s="6">
        <f>I108/F108</f>
        <v/>
      </c>
      <c r="P108" s="6">
        <f>J108/F108</f>
        <v/>
      </c>
      <c r="Q108" s="7">
        <f>IFERROR(K108/F108,0)</f>
        <v/>
      </c>
      <c r="R108">
        <f>IF(M108&gt;=1,"On Target",IF(M108&gt;=0.9,"Watch","Below Target"))</f>
        <v/>
      </c>
    </row>
    <row r="109">
      <c r="A109" t="n">
        <v>105</v>
      </c>
      <c r="B109" s="5" t="n">
        <v>46057</v>
      </c>
      <c r="C109" t="inlineStr">
        <is>
          <t>Night</t>
        </is>
      </c>
      <c r="D109" t="inlineStr">
        <is>
          <t>PPC</t>
        </is>
      </c>
      <c r="E109" s="6" t="n">
        <v>1024</v>
      </c>
      <c r="F109" s="6" t="n">
        <v>771.3</v>
      </c>
      <c r="G109" s="6" t="n">
        <v>3.47</v>
      </c>
      <c r="H109" t="inlineStr">
        <is>
          <t>Raw Material Shortage</t>
        </is>
      </c>
      <c r="I109" s="6" t="n">
        <v>1217.1</v>
      </c>
      <c r="J109" s="6" t="n">
        <v>67178.39999999999</v>
      </c>
      <c r="K109" t="n">
        <v>2</v>
      </c>
      <c r="L109" t="n">
        <v>12</v>
      </c>
      <c r="M109" s="7">
        <f>F109/E109</f>
        <v/>
      </c>
      <c r="N109" s="7">
        <f>F109/(E109+G109*45)</f>
        <v/>
      </c>
      <c r="O109" s="6">
        <f>I109/F109</f>
        <v/>
      </c>
      <c r="P109" s="6">
        <f>J109/F109</f>
        <v/>
      </c>
      <c r="Q109" s="7">
        <f>IFERROR(K109/F109,0)</f>
        <v/>
      </c>
      <c r="R109">
        <f>IF(M109&gt;=1,"On Target",IF(M109&gt;=0.9,"Watch","Below Target"))</f>
        <v/>
      </c>
    </row>
    <row r="110">
      <c r="A110" t="n">
        <v>106</v>
      </c>
      <c r="B110" s="5" t="n">
        <v>46058</v>
      </c>
      <c r="C110" t="inlineStr">
        <is>
          <t>Day</t>
        </is>
      </c>
      <c r="D110" t="inlineStr">
        <is>
          <t>PPC</t>
        </is>
      </c>
      <c r="E110" s="6" t="n">
        <v>1071</v>
      </c>
      <c r="F110" s="6" t="n">
        <v>877.3</v>
      </c>
      <c r="G110" s="6" t="n">
        <v>4.03</v>
      </c>
      <c r="H110" t="inlineStr">
        <is>
          <t>Planned Maintenance</t>
        </is>
      </c>
      <c r="I110" s="6" t="n">
        <v>1312.5</v>
      </c>
      <c r="J110" s="6" t="n">
        <v>72906.2</v>
      </c>
      <c r="K110" t="n">
        <v>3</v>
      </c>
      <c r="L110" t="n">
        <v>11</v>
      </c>
      <c r="M110" s="7">
        <f>F110/E110</f>
        <v/>
      </c>
      <c r="N110" s="7">
        <f>F110/(E110+G110*45)</f>
        <v/>
      </c>
      <c r="O110" s="6">
        <f>I110/F110</f>
        <v/>
      </c>
      <c r="P110" s="6">
        <f>J110/F110</f>
        <v/>
      </c>
      <c r="Q110" s="7">
        <f>IFERROR(K110/F110,0)</f>
        <v/>
      </c>
      <c r="R110">
        <f>IF(M110&gt;=1,"On Target",IF(M110&gt;=0.9,"Watch","Below Target"))</f>
        <v/>
      </c>
    </row>
    <row r="111">
      <c r="A111" t="n">
        <v>107</v>
      </c>
      <c r="B111" s="5" t="n">
        <v>46058</v>
      </c>
      <c r="C111" t="inlineStr">
        <is>
          <t>Evening</t>
        </is>
      </c>
      <c r="D111" t="inlineStr">
        <is>
          <t>OPC</t>
        </is>
      </c>
      <c r="E111" s="6" t="n">
        <v>1149</v>
      </c>
      <c r="F111" s="6" t="n">
        <v>1057.3</v>
      </c>
      <c r="G111" s="6" t="n">
        <v>2.79</v>
      </c>
      <c r="H111" t="inlineStr">
        <is>
          <t>Electrical Failure</t>
        </is>
      </c>
      <c r="I111" s="6" t="n">
        <v>1601.5</v>
      </c>
      <c r="J111" s="6" t="n">
        <v>90905.5</v>
      </c>
      <c r="K111" t="n">
        <v>3</v>
      </c>
      <c r="L111" t="n">
        <v>11</v>
      </c>
      <c r="M111" s="7">
        <f>F111/E111</f>
        <v/>
      </c>
      <c r="N111" s="7">
        <f>F111/(E111+G111*45)</f>
        <v/>
      </c>
      <c r="O111" s="6">
        <f>I111/F111</f>
        <v/>
      </c>
      <c r="P111" s="6">
        <f>J111/F111</f>
        <v/>
      </c>
      <c r="Q111" s="7">
        <f>IFERROR(K111/F111,0)</f>
        <v/>
      </c>
      <c r="R111">
        <f>IF(M111&gt;=1,"On Target",IF(M111&gt;=0.9,"Watch","Below Target"))</f>
        <v/>
      </c>
    </row>
    <row r="112">
      <c r="A112" t="n">
        <v>108</v>
      </c>
      <c r="B112" s="5" t="n">
        <v>46058</v>
      </c>
      <c r="C112" t="inlineStr">
        <is>
          <t>Night</t>
        </is>
      </c>
      <c r="D112" t="inlineStr">
        <is>
          <t>OPC</t>
        </is>
      </c>
      <c r="E112" s="6" t="n">
        <v>1152</v>
      </c>
      <c r="F112" s="6" t="n">
        <v>845.4</v>
      </c>
      <c r="G112" s="6" t="n">
        <v>3.25</v>
      </c>
      <c r="H112" t="inlineStr">
        <is>
          <t>Planned Maintenance</t>
        </is>
      </c>
      <c r="I112" s="6" t="n">
        <v>1329.3</v>
      </c>
      <c r="J112" s="6" t="n">
        <v>69926.8</v>
      </c>
      <c r="K112" t="n">
        <v>5</v>
      </c>
      <c r="L112" t="n">
        <v>12</v>
      </c>
      <c r="M112" s="7">
        <f>F112/E112</f>
        <v/>
      </c>
      <c r="N112" s="7">
        <f>F112/(E112+G112*45)</f>
        <v/>
      </c>
      <c r="O112" s="6">
        <f>I112/F112</f>
        <v/>
      </c>
      <c r="P112" s="6">
        <f>J112/F112</f>
        <v/>
      </c>
      <c r="Q112" s="7">
        <f>IFERROR(K112/F112,0)</f>
        <v/>
      </c>
      <c r="R112">
        <f>IF(M112&gt;=1,"On Target",IF(M112&gt;=0.9,"Watch","Below Target"))</f>
        <v/>
      </c>
    </row>
    <row r="113">
      <c r="A113" t="n">
        <v>109</v>
      </c>
      <c r="B113" s="5" t="n">
        <v>46059</v>
      </c>
      <c r="C113" t="inlineStr">
        <is>
          <t>Day</t>
        </is>
      </c>
      <c r="D113" t="inlineStr">
        <is>
          <t>OPC</t>
        </is>
      </c>
      <c r="E113" s="6" t="n">
        <v>1146</v>
      </c>
      <c r="F113" s="6" t="n">
        <v>1119.7</v>
      </c>
      <c r="G113" s="6" t="n">
        <v>0.16</v>
      </c>
      <c r="H113" t="inlineStr">
        <is>
          <t>No Downtime</t>
        </is>
      </c>
      <c r="I113" s="6" t="n">
        <v>1678.9</v>
      </c>
      <c r="J113" s="6" t="n">
        <v>91857.7</v>
      </c>
      <c r="K113" t="n">
        <v>3</v>
      </c>
      <c r="L113" t="n">
        <v>8</v>
      </c>
      <c r="M113" s="7">
        <f>F113/E113</f>
        <v/>
      </c>
      <c r="N113" s="7">
        <f>F113/(E113+G113*45)</f>
        <v/>
      </c>
      <c r="O113" s="6">
        <f>I113/F113</f>
        <v/>
      </c>
      <c r="P113" s="6">
        <f>J113/F113</f>
        <v/>
      </c>
      <c r="Q113" s="7">
        <f>IFERROR(K113/F113,0)</f>
        <v/>
      </c>
      <c r="R113">
        <f>IF(M113&gt;=1,"On Target",IF(M113&gt;=0.9,"Watch","Below Target"))</f>
        <v/>
      </c>
    </row>
    <row r="114">
      <c r="A114" t="n">
        <v>110</v>
      </c>
      <c r="B114" s="5" t="n">
        <v>46059</v>
      </c>
      <c r="C114" t="inlineStr">
        <is>
          <t>Evening</t>
        </is>
      </c>
      <c r="D114" t="inlineStr">
        <is>
          <t>OPC</t>
        </is>
      </c>
      <c r="E114" s="6" t="n">
        <v>1138</v>
      </c>
      <c r="F114" s="6" t="n">
        <v>1066.8</v>
      </c>
      <c r="G114" s="6" t="n">
        <v>1.97</v>
      </c>
      <c r="H114" t="inlineStr">
        <is>
          <t>Quality Issue</t>
        </is>
      </c>
      <c r="I114" s="6" t="n">
        <v>1699.5</v>
      </c>
      <c r="J114" s="6" t="n">
        <v>86882.89999999999</v>
      </c>
      <c r="K114" t="n">
        <v>1</v>
      </c>
      <c r="L114" t="n">
        <v>11</v>
      </c>
      <c r="M114" s="7">
        <f>F114/E114</f>
        <v/>
      </c>
      <c r="N114" s="7">
        <f>F114/(E114+G114*45)</f>
        <v/>
      </c>
      <c r="O114" s="6">
        <f>I114/F114</f>
        <v/>
      </c>
      <c r="P114" s="6">
        <f>J114/F114</f>
        <v/>
      </c>
      <c r="Q114" s="7">
        <f>IFERROR(K114/F114,0)</f>
        <v/>
      </c>
      <c r="R114">
        <f>IF(M114&gt;=1,"On Target",IF(M114&gt;=0.9,"Watch","Below Target"))</f>
        <v/>
      </c>
    </row>
    <row r="115">
      <c r="A115" t="n">
        <v>111</v>
      </c>
      <c r="B115" s="5" t="n">
        <v>46059</v>
      </c>
      <c r="C115" t="inlineStr">
        <is>
          <t>Night</t>
        </is>
      </c>
      <c r="D115" t="inlineStr">
        <is>
          <t>OPC</t>
        </is>
      </c>
      <c r="E115" s="6" t="n">
        <v>1159</v>
      </c>
      <c r="F115" s="6" t="n">
        <v>1009.9</v>
      </c>
      <c r="G115" s="6" t="n">
        <v>0.05</v>
      </c>
      <c r="H115" t="inlineStr">
        <is>
          <t>No Downtime</t>
        </is>
      </c>
      <c r="I115" s="6" t="n">
        <v>1513</v>
      </c>
      <c r="J115" s="6" t="n">
        <v>90543.3</v>
      </c>
      <c r="K115" t="n">
        <v>6</v>
      </c>
      <c r="L115" t="n">
        <v>7</v>
      </c>
      <c r="M115" s="7">
        <f>F115/E115</f>
        <v/>
      </c>
      <c r="N115" s="7">
        <f>F115/(E115+G115*45)</f>
        <v/>
      </c>
      <c r="O115" s="6">
        <f>I115/F115</f>
        <v/>
      </c>
      <c r="P115" s="6">
        <f>J115/F115</f>
        <v/>
      </c>
      <c r="Q115" s="7">
        <f>IFERROR(K115/F115,0)</f>
        <v/>
      </c>
      <c r="R115">
        <f>IF(M115&gt;=1,"On Target",IF(M115&gt;=0.9,"Watch","Below Target"))</f>
        <v/>
      </c>
    </row>
    <row r="116">
      <c r="A116" t="n">
        <v>112</v>
      </c>
      <c r="B116" s="5" t="n">
        <v>46060</v>
      </c>
      <c r="C116" t="inlineStr">
        <is>
          <t>Day</t>
        </is>
      </c>
      <c r="D116" t="inlineStr">
        <is>
          <t>SRC</t>
        </is>
      </c>
      <c r="E116" s="6" t="n">
        <v>986</v>
      </c>
      <c r="F116" s="6" t="n">
        <v>993.6</v>
      </c>
      <c r="G116" s="6" t="n">
        <v>0.34</v>
      </c>
      <c r="H116" t="inlineStr">
        <is>
          <t>No Downtime</t>
        </is>
      </c>
      <c r="I116" s="6" t="n">
        <v>1472.8</v>
      </c>
      <c r="J116" s="6" t="n">
        <v>84131.89999999999</v>
      </c>
      <c r="K116" t="n">
        <v>3</v>
      </c>
      <c r="L116" t="n">
        <v>10</v>
      </c>
      <c r="M116" s="7">
        <f>F116/E116</f>
        <v/>
      </c>
      <c r="N116" s="7">
        <f>F116/(E116+G116*45)</f>
        <v/>
      </c>
      <c r="O116" s="6">
        <f>I116/F116</f>
        <v/>
      </c>
      <c r="P116" s="6">
        <f>J116/F116</f>
        <v/>
      </c>
      <c r="Q116" s="7">
        <f>IFERROR(K116/F116,0)</f>
        <v/>
      </c>
      <c r="R116">
        <f>IF(M116&gt;=1,"On Target",IF(M116&gt;=0.9,"Watch","Below Target"))</f>
        <v/>
      </c>
    </row>
    <row r="117">
      <c r="A117" t="n">
        <v>113</v>
      </c>
      <c r="B117" s="5" t="n">
        <v>46060</v>
      </c>
      <c r="C117" t="inlineStr">
        <is>
          <t>Evening</t>
        </is>
      </c>
      <c r="D117" t="inlineStr">
        <is>
          <t>OPC</t>
        </is>
      </c>
      <c r="E117" s="6" t="n">
        <v>1173</v>
      </c>
      <c r="F117" s="6" t="n">
        <v>1125.6</v>
      </c>
      <c r="G117" s="6" t="n">
        <v>0.28</v>
      </c>
      <c r="H117" t="inlineStr">
        <is>
          <t>No Downtime</t>
        </is>
      </c>
      <c r="I117" s="6" t="n">
        <v>1733.1</v>
      </c>
      <c r="J117" s="6" t="n">
        <v>93900</v>
      </c>
      <c r="K117" t="n">
        <v>6</v>
      </c>
      <c r="L117" t="n">
        <v>9</v>
      </c>
      <c r="M117" s="7">
        <f>F117/E117</f>
        <v/>
      </c>
      <c r="N117" s="7">
        <f>F117/(E117+G117*45)</f>
        <v/>
      </c>
      <c r="O117" s="6">
        <f>I117/F117</f>
        <v/>
      </c>
      <c r="P117" s="6">
        <f>J117/F117</f>
        <v/>
      </c>
      <c r="Q117" s="7">
        <f>IFERROR(K117/F117,0)</f>
        <v/>
      </c>
      <c r="R117">
        <f>IF(M117&gt;=1,"On Target",IF(M117&gt;=0.9,"Watch","Below Target"))</f>
        <v/>
      </c>
    </row>
    <row r="118">
      <c r="A118" t="n">
        <v>114</v>
      </c>
      <c r="B118" s="5" t="n">
        <v>46060</v>
      </c>
      <c r="C118" t="inlineStr">
        <is>
          <t>Night</t>
        </is>
      </c>
      <c r="D118" t="inlineStr">
        <is>
          <t>OPC</t>
        </is>
      </c>
      <c r="E118" s="6" t="n">
        <v>1163</v>
      </c>
      <c r="F118" s="6" t="n">
        <v>923.4</v>
      </c>
      <c r="G118" s="6" t="n">
        <v>4.13</v>
      </c>
      <c r="H118" t="inlineStr">
        <is>
          <t>Planned Maintenance</t>
        </is>
      </c>
      <c r="I118" s="6" t="n">
        <v>1338.3</v>
      </c>
      <c r="J118" s="6" t="n">
        <v>79677.2</v>
      </c>
      <c r="K118" t="n">
        <v>4</v>
      </c>
      <c r="L118" t="n">
        <v>9</v>
      </c>
      <c r="M118" s="7">
        <f>F118/E118</f>
        <v/>
      </c>
      <c r="N118" s="7">
        <f>F118/(E118+G118*45)</f>
        <v/>
      </c>
      <c r="O118" s="6">
        <f>I118/F118</f>
        <v/>
      </c>
      <c r="P118" s="6">
        <f>J118/F118</f>
        <v/>
      </c>
      <c r="Q118" s="7">
        <f>IFERROR(K118/F118,0)</f>
        <v/>
      </c>
      <c r="R118">
        <f>IF(M118&gt;=1,"On Target",IF(M118&gt;=0.9,"Watch","Below Target"))</f>
        <v/>
      </c>
    </row>
    <row r="119">
      <c r="A119" t="n">
        <v>115</v>
      </c>
      <c r="B119" s="5" t="n">
        <v>46061</v>
      </c>
      <c r="C119" t="inlineStr">
        <is>
          <t>Day</t>
        </is>
      </c>
      <c r="D119" t="inlineStr">
        <is>
          <t>PPC</t>
        </is>
      </c>
      <c r="E119" s="6" t="n">
        <v>1087</v>
      </c>
      <c r="F119" s="6" t="n">
        <v>1146.8</v>
      </c>
      <c r="G119" s="6" t="n">
        <v>1.03</v>
      </c>
      <c r="H119" t="inlineStr">
        <is>
          <t>Raw Material Shortage</t>
        </is>
      </c>
      <c r="I119" s="6" t="n">
        <v>1745.6</v>
      </c>
      <c r="J119" s="6" t="n">
        <v>99207.10000000001</v>
      </c>
      <c r="K119" t="n">
        <v>1</v>
      </c>
      <c r="L119" t="n">
        <v>8</v>
      </c>
      <c r="M119" s="7">
        <f>F119/E119</f>
        <v/>
      </c>
      <c r="N119" s="7">
        <f>F119/(E119+G119*45)</f>
        <v/>
      </c>
      <c r="O119" s="6">
        <f>I119/F119</f>
        <v/>
      </c>
      <c r="P119" s="6">
        <f>J119/F119</f>
        <v/>
      </c>
      <c r="Q119" s="7">
        <f>IFERROR(K119/F119,0)</f>
        <v/>
      </c>
      <c r="R119">
        <f>IF(M119&gt;=1,"On Target",IF(M119&gt;=0.9,"Watch","Below Target"))</f>
        <v/>
      </c>
    </row>
    <row r="120">
      <c r="A120" t="n">
        <v>116</v>
      </c>
      <c r="B120" s="5" t="n">
        <v>46061</v>
      </c>
      <c r="C120" t="inlineStr">
        <is>
          <t>Evening</t>
        </is>
      </c>
      <c r="D120" t="inlineStr">
        <is>
          <t>OPC</t>
        </is>
      </c>
      <c r="E120" s="6" t="n">
        <v>1114</v>
      </c>
      <c r="F120" s="6" t="n">
        <v>808.8</v>
      </c>
      <c r="G120" s="6" t="n">
        <v>4.66</v>
      </c>
      <c r="H120" t="inlineStr">
        <is>
          <t>Quality Issue</t>
        </is>
      </c>
      <c r="I120" s="6" t="n">
        <v>1268.5</v>
      </c>
      <c r="J120" s="6" t="n">
        <v>68142</v>
      </c>
      <c r="K120" t="n">
        <v>3</v>
      </c>
      <c r="L120" t="n">
        <v>9</v>
      </c>
      <c r="M120" s="7">
        <f>F120/E120</f>
        <v/>
      </c>
      <c r="N120" s="7">
        <f>F120/(E120+G120*45)</f>
        <v/>
      </c>
      <c r="O120" s="6">
        <f>I120/F120</f>
        <v/>
      </c>
      <c r="P120" s="6">
        <f>J120/F120</f>
        <v/>
      </c>
      <c r="Q120" s="7">
        <f>IFERROR(K120/F120,0)</f>
        <v/>
      </c>
      <c r="R120">
        <f>IF(M120&gt;=1,"On Target",IF(M120&gt;=0.9,"Watch","Below Target"))</f>
        <v/>
      </c>
    </row>
    <row r="121">
      <c r="A121" t="n">
        <v>117</v>
      </c>
      <c r="B121" s="5" t="n">
        <v>46061</v>
      </c>
      <c r="C121" t="inlineStr">
        <is>
          <t>Night</t>
        </is>
      </c>
      <c r="D121" t="inlineStr">
        <is>
          <t>OPC</t>
        </is>
      </c>
      <c r="E121" s="6" t="n">
        <v>1156</v>
      </c>
      <c r="F121" s="6" t="n">
        <v>932.6</v>
      </c>
      <c r="G121" s="6" t="n">
        <v>4.14</v>
      </c>
      <c r="H121" t="inlineStr">
        <is>
          <t>Mechanical Failure</t>
        </is>
      </c>
      <c r="I121" s="6" t="n">
        <v>1402.4</v>
      </c>
      <c r="J121" s="6" t="n">
        <v>74881.3</v>
      </c>
      <c r="K121" t="n">
        <v>6</v>
      </c>
      <c r="L121" t="n">
        <v>12</v>
      </c>
      <c r="M121" s="7">
        <f>F121/E121</f>
        <v/>
      </c>
      <c r="N121" s="7">
        <f>F121/(E121+G121*45)</f>
        <v/>
      </c>
      <c r="O121" s="6">
        <f>I121/F121</f>
        <v/>
      </c>
      <c r="P121" s="6">
        <f>J121/F121</f>
        <v/>
      </c>
      <c r="Q121" s="7">
        <f>IFERROR(K121/F121,0)</f>
        <v/>
      </c>
      <c r="R121">
        <f>IF(M121&gt;=1,"On Target",IF(M121&gt;=0.9,"Watch","Below Target"))</f>
        <v/>
      </c>
    </row>
    <row r="122">
      <c r="A122" t="n">
        <v>118</v>
      </c>
      <c r="B122" s="5" t="n">
        <v>46062</v>
      </c>
      <c r="C122" t="inlineStr">
        <is>
          <t>Day</t>
        </is>
      </c>
      <c r="D122" t="inlineStr">
        <is>
          <t>PPC</t>
        </is>
      </c>
      <c r="E122" s="6" t="n">
        <v>1058</v>
      </c>
      <c r="F122" s="6" t="n">
        <v>1063.5</v>
      </c>
      <c r="G122" s="6" t="n">
        <v>0.4</v>
      </c>
      <c r="H122" t="inlineStr">
        <is>
          <t>No Downtime</t>
        </is>
      </c>
      <c r="I122" s="6" t="n">
        <v>1594.9</v>
      </c>
      <c r="J122" s="6" t="n">
        <v>83398.89999999999</v>
      </c>
      <c r="K122" t="n">
        <v>4</v>
      </c>
      <c r="L122" t="n">
        <v>12</v>
      </c>
      <c r="M122" s="7">
        <f>F122/E122</f>
        <v/>
      </c>
      <c r="N122" s="7">
        <f>F122/(E122+G122*45)</f>
        <v/>
      </c>
      <c r="O122" s="6">
        <f>I122/F122</f>
        <v/>
      </c>
      <c r="P122" s="6">
        <f>J122/F122</f>
        <v/>
      </c>
      <c r="Q122" s="7">
        <f>IFERROR(K122/F122,0)</f>
        <v/>
      </c>
      <c r="R122">
        <f>IF(M122&gt;=1,"On Target",IF(M122&gt;=0.9,"Watch","Below Target"))</f>
        <v/>
      </c>
    </row>
    <row r="123">
      <c r="A123" t="n">
        <v>119</v>
      </c>
      <c r="B123" s="5" t="n">
        <v>46062</v>
      </c>
      <c r="C123" t="inlineStr">
        <is>
          <t>Evening</t>
        </is>
      </c>
      <c r="D123" t="inlineStr">
        <is>
          <t>PPC</t>
        </is>
      </c>
      <c r="E123" s="6" t="n">
        <v>1054</v>
      </c>
      <c r="F123" s="6" t="n">
        <v>828.6</v>
      </c>
      <c r="G123" s="6" t="n">
        <v>4.87</v>
      </c>
      <c r="H123" t="inlineStr">
        <is>
          <t>Planned Maintenance</t>
        </is>
      </c>
      <c r="I123" s="6" t="n">
        <v>1251.2</v>
      </c>
      <c r="J123" s="6" t="n">
        <v>69273.3</v>
      </c>
      <c r="K123" t="n">
        <v>2</v>
      </c>
      <c r="L123" t="n">
        <v>11</v>
      </c>
      <c r="M123" s="7">
        <f>F123/E123</f>
        <v/>
      </c>
      <c r="N123" s="7">
        <f>F123/(E123+G123*45)</f>
        <v/>
      </c>
      <c r="O123" s="6">
        <f>I123/F123</f>
        <v/>
      </c>
      <c r="P123" s="6">
        <f>J123/F123</f>
        <v/>
      </c>
      <c r="Q123" s="7">
        <f>IFERROR(K123/F123,0)</f>
        <v/>
      </c>
      <c r="R123">
        <f>IF(M123&gt;=1,"On Target",IF(M123&gt;=0.9,"Watch","Below Target"))</f>
        <v/>
      </c>
    </row>
    <row r="124">
      <c r="A124" t="n">
        <v>120</v>
      </c>
      <c r="B124" s="5" t="n">
        <v>46062</v>
      </c>
      <c r="C124" t="inlineStr">
        <is>
          <t>Night</t>
        </is>
      </c>
      <c r="D124" t="inlineStr">
        <is>
          <t>SRC</t>
        </is>
      </c>
      <c r="E124" s="6" t="n">
        <v>963</v>
      </c>
      <c r="F124" s="6" t="n">
        <v>848</v>
      </c>
      <c r="G124" s="6" t="n">
        <v>0.14</v>
      </c>
      <c r="H124" t="inlineStr">
        <is>
          <t>No Downtime</t>
        </is>
      </c>
      <c r="I124" s="6" t="n">
        <v>1280.1</v>
      </c>
      <c r="J124" s="6" t="n">
        <v>73764.7</v>
      </c>
      <c r="K124" t="n">
        <v>1</v>
      </c>
      <c r="L124" t="n">
        <v>10</v>
      </c>
      <c r="M124" s="7">
        <f>F124/E124</f>
        <v/>
      </c>
      <c r="N124" s="7">
        <f>F124/(E124+G124*45)</f>
        <v/>
      </c>
      <c r="O124" s="6">
        <f>I124/F124</f>
        <v/>
      </c>
      <c r="P124" s="6">
        <f>J124/F124</f>
        <v/>
      </c>
      <c r="Q124" s="7">
        <f>IFERROR(K124/F124,0)</f>
        <v/>
      </c>
      <c r="R124">
        <f>IF(M124&gt;=1,"On Target",IF(M124&gt;=0.9,"Watch","Below Target"))</f>
        <v/>
      </c>
    </row>
    <row r="125">
      <c r="A125" t="n">
        <v>121</v>
      </c>
      <c r="B125" s="5" t="n">
        <v>46063</v>
      </c>
      <c r="C125" t="inlineStr">
        <is>
          <t>Day</t>
        </is>
      </c>
      <c r="D125" t="inlineStr">
        <is>
          <t>OPC</t>
        </is>
      </c>
      <c r="E125" s="6" t="n">
        <v>1164</v>
      </c>
      <c r="F125" s="6" t="n">
        <v>1178.6</v>
      </c>
      <c r="G125" s="6" t="n">
        <v>0.43</v>
      </c>
      <c r="H125" t="inlineStr">
        <is>
          <t>No Downtime</t>
        </is>
      </c>
      <c r="I125" s="6" t="n">
        <v>1783.8</v>
      </c>
      <c r="J125" s="6" t="n">
        <v>96030</v>
      </c>
      <c r="K125" t="n">
        <v>0</v>
      </c>
      <c r="L125" t="n">
        <v>9</v>
      </c>
      <c r="M125" s="7">
        <f>F125/E125</f>
        <v/>
      </c>
      <c r="N125" s="7">
        <f>F125/(E125+G125*45)</f>
        <v/>
      </c>
      <c r="O125" s="6">
        <f>I125/F125</f>
        <v/>
      </c>
      <c r="P125" s="6">
        <f>J125/F125</f>
        <v/>
      </c>
      <c r="Q125" s="7">
        <f>IFERROR(K125/F125,0)</f>
        <v/>
      </c>
      <c r="R125">
        <f>IF(M125&gt;=1,"On Target",IF(M125&gt;=0.9,"Watch","Below Target"))</f>
        <v/>
      </c>
    </row>
    <row r="126">
      <c r="A126" t="n">
        <v>122</v>
      </c>
      <c r="B126" s="5" t="n">
        <v>46063</v>
      </c>
      <c r="C126" t="inlineStr">
        <is>
          <t>Evening</t>
        </is>
      </c>
      <c r="D126" t="inlineStr">
        <is>
          <t>PPC</t>
        </is>
      </c>
      <c r="E126" s="6" t="n">
        <v>1041</v>
      </c>
      <c r="F126" s="6" t="n">
        <v>953.9</v>
      </c>
      <c r="G126" s="6" t="n">
        <v>2.2</v>
      </c>
      <c r="H126" t="inlineStr">
        <is>
          <t>Planned Maintenance</t>
        </is>
      </c>
      <c r="I126" s="6" t="n">
        <v>1435.4</v>
      </c>
      <c r="J126" s="6" t="n">
        <v>75583.10000000001</v>
      </c>
      <c r="K126" t="n">
        <v>5</v>
      </c>
      <c r="L126" t="n">
        <v>10</v>
      </c>
      <c r="M126" s="7">
        <f>F126/E126</f>
        <v/>
      </c>
      <c r="N126" s="7">
        <f>F126/(E126+G126*45)</f>
        <v/>
      </c>
      <c r="O126" s="6">
        <f>I126/F126</f>
        <v/>
      </c>
      <c r="P126" s="6">
        <f>J126/F126</f>
        <v/>
      </c>
      <c r="Q126" s="7">
        <f>IFERROR(K126/F126,0)</f>
        <v/>
      </c>
      <c r="R126">
        <f>IF(M126&gt;=1,"On Target",IF(M126&gt;=0.9,"Watch","Below Target"))</f>
        <v/>
      </c>
    </row>
    <row r="127">
      <c r="A127" t="n">
        <v>123</v>
      </c>
      <c r="B127" s="5" t="n">
        <v>46063</v>
      </c>
      <c r="C127" t="inlineStr">
        <is>
          <t>Night</t>
        </is>
      </c>
      <c r="D127" t="inlineStr">
        <is>
          <t>SRC</t>
        </is>
      </c>
      <c r="E127" s="6" t="n">
        <v>1007</v>
      </c>
      <c r="F127" s="6" t="n">
        <v>899.8</v>
      </c>
      <c r="G127" s="6" t="n">
        <v>1.94</v>
      </c>
      <c r="H127" t="inlineStr">
        <is>
          <t>Electrical Failure</t>
        </is>
      </c>
      <c r="I127" s="6" t="n">
        <v>1349.4</v>
      </c>
      <c r="J127" s="6" t="n">
        <v>70132.2</v>
      </c>
      <c r="K127" t="n">
        <v>2</v>
      </c>
      <c r="L127" t="n">
        <v>7</v>
      </c>
      <c r="M127" s="7">
        <f>F127/E127</f>
        <v/>
      </c>
      <c r="N127" s="7">
        <f>F127/(E127+G127*45)</f>
        <v/>
      </c>
      <c r="O127" s="6">
        <f>I127/F127</f>
        <v/>
      </c>
      <c r="P127" s="6">
        <f>J127/F127</f>
        <v/>
      </c>
      <c r="Q127" s="7">
        <f>IFERROR(K127/F127,0)</f>
        <v/>
      </c>
      <c r="R127">
        <f>IF(M127&gt;=1,"On Target",IF(M127&gt;=0.9,"Watch","Below Target"))</f>
        <v/>
      </c>
    </row>
    <row r="128">
      <c r="A128" t="n">
        <v>124</v>
      </c>
      <c r="B128" s="5" t="n">
        <v>46064</v>
      </c>
      <c r="C128" t="inlineStr">
        <is>
          <t>Day</t>
        </is>
      </c>
      <c r="D128" t="inlineStr">
        <is>
          <t>SRC</t>
        </is>
      </c>
      <c r="E128" s="6" t="n">
        <v>999</v>
      </c>
      <c r="F128" s="6" t="n">
        <v>995</v>
      </c>
      <c r="G128" s="6" t="n">
        <v>1.14</v>
      </c>
      <c r="H128" t="inlineStr">
        <is>
          <t>Quality Issue</t>
        </is>
      </c>
      <c r="I128" s="6" t="n">
        <v>1523.9</v>
      </c>
      <c r="J128" s="6" t="n">
        <v>84905.60000000001</v>
      </c>
      <c r="K128" t="n">
        <v>3</v>
      </c>
      <c r="L128" t="n">
        <v>10</v>
      </c>
      <c r="M128" s="7">
        <f>F128/E128</f>
        <v/>
      </c>
      <c r="N128" s="7">
        <f>F128/(E128+G128*45)</f>
        <v/>
      </c>
      <c r="O128" s="6">
        <f>I128/F128</f>
        <v/>
      </c>
      <c r="P128" s="6">
        <f>J128/F128</f>
        <v/>
      </c>
      <c r="Q128" s="7">
        <f>IFERROR(K128/F128,0)</f>
        <v/>
      </c>
      <c r="R128">
        <f>IF(M128&gt;=1,"On Target",IF(M128&gt;=0.9,"Watch","Below Target"))</f>
        <v/>
      </c>
    </row>
    <row r="129">
      <c r="A129" t="n">
        <v>125</v>
      </c>
      <c r="B129" s="5" t="n">
        <v>46064</v>
      </c>
      <c r="C129" t="inlineStr">
        <is>
          <t>Evening</t>
        </is>
      </c>
      <c r="D129" t="inlineStr">
        <is>
          <t>PPC</t>
        </is>
      </c>
      <c r="E129" s="6" t="n">
        <v>1090</v>
      </c>
      <c r="F129" s="6" t="n">
        <v>863.7</v>
      </c>
      <c r="G129" s="6" t="n">
        <v>4.69</v>
      </c>
      <c r="H129" t="inlineStr">
        <is>
          <t>Electrical Failure</t>
        </is>
      </c>
      <c r="I129" s="6" t="n">
        <v>1352.4</v>
      </c>
      <c r="J129" s="6" t="n">
        <v>73219.5</v>
      </c>
      <c r="K129" t="n">
        <v>1</v>
      </c>
      <c r="L129" t="n">
        <v>12</v>
      </c>
      <c r="M129" s="7">
        <f>F129/E129</f>
        <v/>
      </c>
      <c r="N129" s="7">
        <f>F129/(E129+G129*45)</f>
        <v/>
      </c>
      <c r="O129" s="6">
        <f>I129/F129</f>
        <v/>
      </c>
      <c r="P129" s="6">
        <f>J129/F129</f>
        <v/>
      </c>
      <c r="Q129" s="7">
        <f>IFERROR(K129/F129,0)</f>
        <v/>
      </c>
      <c r="R129">
        <f>IF(M129&gt;=1,"On Target",IF(M129&gt;=0.9,"Watch","Below Target"))</f>
        <v/>
      </c>
    </row>
    <row r="130">
      <c r="A130" t="n">
        <v>126</v>
      </c>
      <c r="B130" s="5" t="n">
        <v>46064</v>
      </c>
      <c r="C130" t="inlineStr">
        <is>
          <t>Night</t>
        </is>
      </c>
      <c r="D130" t="inlineStr">
        <is>
          <t>PPC</t>
        </is>
      </c>
      <c r="E130" s="6" t="n">
        <v>1025</v>
      </c>
      <c r="F130" s="6" t="n">
        <v>862.3</v>
      </c>
      <c r="G130" s="6" t="n">
        <v>2.17</v>
      </c>
      <c r="H130" t="inlineStr">
        <is>
          <t>Raw Material Shortage</t>
        </is>
      </c>
      <c r="I130" s="6" t="n">
        <v>1288</v>
      </c>
      <c r="J130" s="6" t="n">
        <v>73433.89999999999</v>
      </c>
      <c r="K130" t="n">
        <v>1</v>
      </c>
      <c r="L130" t="n">
        <v>12</v>
      </c>
      <c r="M130" s="7">
        <f>F130/E130</f>
        <v/>
      </c>
      <c r="N130" s="7">
        <f>F130/(E130+G130*45)</f>
        <v/>
      </c>
      <c r="O130" s="6">
        <f>I130/F130</f>
        <v/>
      </c>
      <c r="P130" s="6">
        <f>J130/F130</f>
        <v/>
      </c>
      <c r="Q130" s="7">
        <f>IFERROR(K130/F130,0)</f>
        <v/>
      </c>
      <c r="R130">
        <f>IF(M130&gt;=1,"On Target",IF(M130&gt;=0.9,"Watch","Below Target"))</f>
        <v/>
      </c>
    </row>
    <row r="131">
      <c r="A131" t="n">
        <v>127</v>
      </c>
      <c r="B131" s="5" t="n">
        <v>46065</v>
      </c>
      <c r="C131" t="inlineStr">
        <is>
          <t>Day</t>
        </is>
      </c>
      <c r="D131" t="inlineStr">
        <is>
          <t>OPC</t>
        </is>
      </c>
      <c r="E131" s="6" t="n">
        <v>1141</v>
      </c>
      <c r="F131" s="6" t="n">
        <v>1140.5</v>
      </c>
      <c r="G131" s="6" t="n">
        <v>0.35</v>
      </c>
      <c r="H131" t="inlineStr">
        <is>
          <t>No Downtime</t>
        </is>
      </c>
      <c r="I131" s="6" t="n">
        <v>1702.3</v>
      </c>
      <c r="J131" s="6" t="n">
        <v>87451.5</v>
      </c>
      <c r="K131" t="n">
        <v>3</v>
      </c>
      <c r="L131" t="n">
        <v>10</v>
      </c>
      <c r="M131" s="7">
        <f>F131/E131</f>
        <v/>
      </c>
      <c r="N131" s="7">
        <f>F131/(E131+G131*45)</f>
        <v/>
      </c>
      <c r="O131" s="6">
        <f>I131/F131</f>
        <v/>
      </c>
      <c r="P131" s="6">
        <f>J131/F131</f>
        <v/>
      </c>
      <c r="Q131" s="7">
        <f>IFERROR(K131/F131,0)</f>
        <v/>
      </c>
      <c r="R131">
        <f>IF(M131&gt;=1,"On Target",IF(M131&gt;=0.9,"Watch","Below Target"))</f>
        <v/>
      </c>
    </row>
    <row r="132">
      <c r="A132" t="n">
        <v>128</v>
      </c>
      <c r="B132" s="5" t="n">
        <v>46065</v>
      </c>
      <c r="C132" t="inlineStr">
        <is>
          <t>Evening</t>
        </is>
      </c>
      <c r="D132" t="inlineStr">
        <is>
          <t>OPC</t>
        </is>
      </c>
      <c r="E132" s="6" t="n">
        <v>1135</v>
      </c>
      <c r="F132" s="6" t="n">
        <v>1199.8</v>
      </c>
      <c r="G132" s="6" t="n">
        <v>0.25</v>
      </c>
      <c r="H132" t="inlineStr">
        <is>
          <t>No Downtime</t>
        </is>
      </c>
      <c r="I132" s="6" t="n">
        <v>1827.2</v>
      </c>
      <c r="J132" s="6" t="n">
        <v>97910.5</v>
      </c>
      <c r="K132" t="n">
        <v>6</v>
      </c>
      <c r="L132" t="n">
        <v>11</v>
      </c>
      <c r="M132" s="7">
        <f>F132/E132</f>
        <v/>
      </c>
      <c r="N132" s="7">
        <f>F132/(E132+G132*45)</f>
        <v/>
      </c>
      <c r="O132" s="6">
        <f>I132/F132</f>
        <v/>
      </c>
      <c r="P132" s="6">
        <f>J132/F132</f>
        <v/>
      </c>
      <c r="Q132" s="7">
        <f>IFERROR(K132/F132,0)</f>
        <v/>
      </c>
      <c r="R132">
        <f>IF(M132&gt;=1,"On Target",IF(M132&gt;=0.9,"Watch","Below Target"))</f>
        <v/>
      </c>
    </row>
    <row r="133">
      <c r="A133" t="n">
        <v>129</v>
      </c>
      <c r="B133" s="5" t="n">
        <v>46065</v>
      </c>
      <c r="C133" t="inlineStr">
        <is>
          <t>Night</t>
        </is>
      </c>
      <c r="D133" t="inlineStr">
        <is>
          <t>OPC</t>
        </is>
      </c>
      <c r="E133" s="6" t="n">
        <v>1111</v>
      </c>
      <c r="F133" s="6" t="n">
        <v>860.8</v>
      </c>
      <c r="G133" s="6" t="n">
        <v>3.68</v>
      </c>
      <c r="H133" t="inlineStr">
        <is>
          <t>Planned Maintenance</t>
        </is>
      </c>
      <c r="I133" s="6" t="n">
        <v>1335.8</v>
      </c>
      <c r="J133" s="6" t="n">
        <v>65081.2</v>
      </c>
      <c r="K133" t="n">
        <v>3</v>
      </c>
      <c r="L133" t="n">
        <v>9</v>
      </c>
      <c r="M133" s="7">
        <f>F133/E133</f>
        <v/>
      </c>
      <c r="N133" s="7">
        <f>F133/(E133+G133*45)</f>
        <v/>
      </c>
      <c r="O133" s="6">
        <f>I133/F133</f>
        <v/>
      </c>
      <c r="P133" s="6">
        <f>J133/F133</f>
        <v/>
      </c>
      <c r="Q133" s="7">
        <f>IFERROR(K133/F133,0)</f>
        <v/>
      </c>
      <c r="R133">
        <f>IF(M133&gt;=1,"On Target",IF(M133&gt;=0.9,"Watch","Below Target"))</f>
        <v/>
      </c>
    </row>
    <row r="134">
      <c r="A134" t="n">
        <v>130</v>
      </c>
      <c r="B134" s="5" t="n">
        <v>46066</v>
      </c>
      <c r="C134" t="inlineStr">
        <is>
          <t>Day</t>
        </is>
      </c>
      <c r="D134" t="inlineStr">
        <is>
          <t>OPC</t>
        </is>
      </c>
      <c r="E134" s="6" t="n">
        <v>1134</v>
      </c>
      <c r="F134" s="6" t="n">
        <v>1130.1</v>
      </c>
      <c r="G134" s="6" t="n">
        <v>0.84</v>
      </c>
      <c r="H134" t="inlineStr">
        <is>
          <t>Quality Issue</t>
        </is>
      </c>
      <c r="I134" s="6" t="n">
        <v>1655.2</v>
      </c>
      <c r="J134" s="6" t="n">
        <v>92832.39999999999</v>
      </c>
      <c r="K134" t="n">
        <v>2</v>
      </c>
      <c r="L134" t="n">
        <v>10</v>
      </c>
      <c r="M134" s="7">
        <f>F134/E134</f>
        <v/>
      </c>
      <c r="N134" s="7">
        <f>F134/(E134+G134*45)</f>
        <v/>
      </c>
      <c r="O134" s="6">
        <f>I134/F134</f>
        <v/>
      </c>
      <c r="P134" s="6">
        <f>J134/F134</f>
        <v/>
      </c>
      <c r="Q134" s="7">
        <f>IFERROR(K134/F134,0)</f>
        <v/>
      </c>
      <c r="R134">
        <f>IF(M134&gt;=1,"On Target",IF(M134&gt;=0.9,"Watch","Below Target"))</f>
        <v/>
      </c>
    </row>
    <row r="135">
      <c r="A135" t="n">
        <v>131</v>
      </c>
      <c r="B135" s="5" t="n">
        <v>46066</v>
      </c>
      <c r="C135" t="inlineStr">
        <is>
          <t>Evening</t>
        </is>
      </c>
      <c r="D135" t="inlineStr">
        <is>
          <t>OPC</t>
        </is>
      </c>
      <c r="E135" s="6" t="n">
        <v>1187</v>
      </c>
      <c r="F135" s="6" t="n">
        <v>1189.5</v>
      </c>
      <c r="G135" s="6" t="n">
        <v>0</v>
      </c>
      <c r="H135" t="inlineStr">
        <is>
          <t>No Downtime</t>
        </is>
      </c>
      <c r="I135" s="6" t="n">
        <v>1810.1</v>
      </c>
      <c r="J135" s="6" t="n">
        <v>96444.10000000001</v>
      </c>
      <c r="K135" t="n">
        <v>3</v>
      </c>
      <c r="L135" t="n">
        <v>7</v>
      </c>
      <c r="M135" s="7">
        <f>F135/E135</f>
        <v/>
      </c>
      <c r="N135" s="7">
        <f>F135/(E135+G135*45)</f>
        <v/>
      </c>
      <c r="O135" s="6">
        <f>I135/F135</f>
        <v/>
      </c>
      <c r="P135" s="6">
        <f>J135/F135</f>
        <v/>
      </c>
      <c r="Q135" s="7">
        <f>IFERROR(K135/F135,0)</f>
        <v/>
      </c>
      <c r="R135">
        <f>IF(M135&gt;=1,"On Target",IF(M135&gt;=0.9,"Watch","Below Target"))</f>
        <v/>
      </c>
    </row>
    <row r="136">
      <c r="A136" t="n">
        <v>132</v>
      </c>
      <c r="B136" s="5" t="n">
        <v>46066</v>
      </c>
      <c r="C136" t="inlineStr">
        <is>
          <t>Night</t>
        </is>
      </c>
      <c r="D136" t="inlineStr">
        <is>
          <t>OPC</t>
        </is>
      </c>
      <c r="E136" s="6" t="n">
        <v>1120</v>
      </c>
      <c r="F136" s="6" t="n">
        <v>908.9</v>
      </c>
      <c r="G136" s="6" t="n">
        <v>3.87</v>
      </c>
      <c r="H136" t="inlineStr">
        <is>
          <t>Electrical Failure</t>
        </is>
      </c>
      <c r="I136" s="6" t="n">
        <v>1358.9</v>
      </c>
      <c r="J136" s="6" t="n">
        <v>77632.89999999999</v>
      </c>
      <c r="K136" t="n">
        <v>3</v>
      </c>
      <c r="L136" t="n">
        <v>7</v>
      </c>
      <c r="M136" s="7">
        <f>F136/E136</f>
        <v/>
      </c>
      <c r="N136" s="7">
        <f>F136/(E136+G136*45)</f>
        <v/>
      </c>
      <c r="O136" s="6">
        <f>I136/F136</f>
        <v/>
      </c>
      <c r="P136" s="6">
        <f>J136/F136</f>
        <v/>
      </c>
      <c r="Q136" s="7">
        <f>IFERROR(K136/F136,0)</f>
        <v/>
      </c>
      <c r="R136">
        <f>IF(M136&gt;=1,"On Target",IF(M136&gt;=0.9,"Watch","Below Target"))</f>
        <v/>
      </c>
    </row>
    <row r="137">
      <c r="A137" t="n">
        <v>133</v>
      </c>
      <c r="B137" s="5" t="n">
        <v>46067</v>
      </c>
      <c r="C137" t="inlineStr">
        <is>
          <t>Day</t>
        </is>
      </c>
      <c r="D137" t="inlineStr">
        <is>
          <t>OPC</t>
        </is>
      </c>
      <c r="E137" s="6" t="n">
        <v>1161</v>
      </c>
      <c r="F137" s="6" t="n">
        <v>1124.6</v>
      </c>
      <c r="G137" s="6" t="n">
        <v>0.36</v>
      </c>
      <c r="H137" t="inlineStr">
        <is>
          <t>No Downtime</t>
        </is>
      </c>
      <c r="I137" s="6" t="n">
        <v>1692.3</v>
      </c>
      <c r="J137" s="6" t="n">
        <v>98185.3</v>
      </c>
      <c r="K137" t="n">
        <v>4</v>
      </c>
      <c r="L137" t="n">
        <v>11</v>
      </c>
      <c r="M137" s="7">
        <f>F137/E137</f>
        <v/>
      </c>
      <c r="N137" s="7">
        <f>F137/(E137+G137*45)</f>
        <v/>
      </c>
      <c r="O137" s="6">
        <f>I137/F137</f>
        <v/>
      </c>
      <c r="P137" s="6">
        <f>J137/F137</f>
        <v/>
      </c>
      <c r="Q137" s="7">
        <f>IFERROR(K137/F137,0)</f>
        <v/>
      </c>
      <c r="R137">
        <f>IF(M137&gt;=1,"On Target",IF(M137&gt;=0.9,"Watch","Below Target"))</f>
        <v/>
      </c>
    </row>
    <row r="138">
      <c r="A138" t="n">
        <v>134</v>
      </c>
      <c r="B138" s="5" t="n">
        <v>46067</v>
      </c>
      <c r="C138" t="inlineStr">
        <is>
          <t>Evening</t>
        </is>
      </c>
      <c r="D138" t="inlineStr">
        <is>
          <t>PPC</t>
        </is>
      </c>
      <c r="E138" s="6" t="n">
        <v>1064</v>
      </c>
      <c r="F138" s="6" t="n">
        <v>819</v>
      </c>
      <c r="G138" s="6" t="n">
        <v>2.93</v>
      </c>
      <c r="H138" t="inlineStr">
        <is>
          <t>Mechanical Failure</t>
        </is>
      </c>
      <c r="I138" s="6" t="n">
        <v>1229.2</v>
      </c>
      <c r="J138" s="6" t="n">
        <v>68439.5</v>
      </c>
      <c r="K138" t="n">
        <v>2</v>
      </c>
      <c r="L138" t="n">
        <v>8</v>
      </c>
      <c r="M138" s="7">
        <f>F138/E138</f>
        <v/>
      </c>
      <c r="N138" s="7">
        <f>F138/(E138+G138*45)</f>
        <v/>
      </c>
      <c r="O138" s="6">
        <f>I138/F138</f>
        <v/>
      </c>
      <c r="P138" s="6">
        <f>J138/F138</f>
        <v/>
      </c>
      <c r="Q138" s="7">
        <f>IFERROR(K138/F138,0)</f>
        <v/>
      </c>
      <c r="R138">
        <f>IF(M138&gt;=1,"On Target",IF(M138&gt;=0.9,"Watch","Below Target"))</f>
        <v/>
      </c>
    </row>
    <row r="139">
      <c r="A139" t="n">
        <v>135</v>
      </c>
      <c r="B139" s="5" t="n">
        <v>46067</v>
      </c>
      <c r="C139" t="inlineStr">
        <is>
          <t>Night</t>
        </is>
      </c>
      <c r="D139" t="inlineStr">
        <is>
          <t>PPC</t>
        </is>
      </c>
      <c r="E139" s="6" t="n">
        <v>1062</v>
      </c>
      <c r="F139" s="6" t="n">
        <v>944.7</v>
      </c>
      <c r="G139" s="6" t="n">
        <v>0.51</v>
      </c>
      <c r="H139" t="inlineStr">
        <is>
          <t>Quality Issue</t>
        </is>
      </c>
      <c r="I139" s="6" t="n">
        <v>1475.6</v>
      </c>
      <c r="J139" s="6" t="n">
        <v>76869</v>
      </c>
      <c r="K139" t="n">
        <v>1</v>
      </c>
      <c r="L139" t="n">
        <v>10</v>
      </c>
      <c r="M139" s="7">
        <f>F139/E139</f>
        <v/>
      </c>
      <c r="N139" s="7">
        <f>F139/(E139+G139*45)</f>
        <v/>
      </c>
      <c r="O139" s="6">
        <f>I139/F139</f>
        <v/>
      </c>
      <c r="P139" s="6">
        <f>J139/F139</f>
        <v/>
      </c>
      <c r="Q139" s="7">
        <f>IFERROR(K139/F139,0)</f>
        <v/>
      </c>
      <c r="R139">
        <f>IF(M139&gt;=1,"On Target",IF(M139&gt;=0.9,"Watch","Below Target"))</f>
        <v/>
      </c>
    </row>
    <row r="140">
      <c r="A140" t="n">
        <v>136</v>
      </c>
      <c r="B140" s="5" t="n">
        <v>46068</v>
      </c>
      <c r="C140" t="inlineStr">
        <is>
          <t>Day</t>
        </is>
      </c>
      <c r="D140" t="inlineStr">
        <is>
          <t>SRC</t>
        </is>
      </c>
      <c r="E140" s="6" t="n">
        <v>991</v>
      </c>
      <c r="F140" s="6" t="n">
        <v>1043.6</v>
      </c>
      <c r="G140" s="6" t="n">
        <v>0.07000000000000001</v>
      </c>
      <c r="H140" t="inlineStr">
        <is>
          <t>No Downtime</t>
        </is>
      </c>
      <c r="I140" s="6" t="n">
        <v>1596.9</v>
      </c>
      <c r="J140" s="6" t="n">
        <v>82525.7</v>
      </c>
      <c r="K140" t="n">
        <v>3</v>
      </c>
      <c r="L140" t="n">
        <v>8</v>
      </c>
      <c r="M140" s="7">
        <f>F140/E140</f>
        <v/>
      </c>
      <c r="N140" s="7">
        <f>F140/(E140+G140*45)</f>
        <v/>
      </c>
      <c r="O140" s="6">
        <f>I140/F140</f>
        <v/>
      </c>
      <c r="P140" s="6">
        <f>J140/F140</f>
        <v/>
      </c>
      <c r="Q140" s="7">
        <f>IFERROR(K140/F140,0)</f>
        <v/>
      </c>
      <c r="R140">
        <f>IF(M140&gt;=1,"On Target",IF(M140&gt;=0.9,"Watch","Below Target"))</f>
        <v/>
      </c>
    </row>
    <row r="141">
      <c r="A141" t="n">
        <v>137</v>
      </c>
      <c r="B141" s="5" t="n">
        <v>46068</v>
      </c>
      <c r="C141" t="inlineStr">
        <is>
          <t>Evening</t>
        </is>
      </c>
      <c r="D141" t="inlineStr">
        <is>
          <t>OPC</t>
        </is>
      </c>
      <c r="E141" s="6" t="n">
        <v>1169</v>
      </c>
      <c r="F141" s="6" t="n">
        <v>1013.7</v>
      </c>
      <c r="G141" s="6" t="n">
        <v>3.2</v>
      </c>
      <c r="H141" t="inlineStr">
        <is>
          <t>Quality Issue</t>
        </is>
      </c>
      <c r="I141" s="6" t="n">
        <v>1507.1</v>
      </c>
      <c r="J141" s="6" t="n">
        <v>74356.5</v>
      </c>
      <c r="K141" t="n">
        <v>4</v>
      </c>
      <c r="L141" t="n">
        <v>10</v>
      </c>
      <c r="M141" s="7">
        <f>F141/E141</f>
        <v/>
      </c>
      <c r="N141" s="7">
        <f>F141/(E141+G141*45)</f>
        <v/>
      </c>
      <c r="O141" s="6">
        <f>I141/F141</f>
        <v/>
      </c>
      <c r="P141" s="6">
        <f>J141/F141</f>
        <v/>
      </c>
      <c r="Q141" s="7">
        <f>IFERROR(K141/F141,0)</f>
        <v/>
      </c>
      <c r="R141">
        <f>IF(M141&gt;=1,"On Target",IF(M141&gt;=0.9,"Watch","Below Target"))</f>
        <v/>
      </c>
    </row>
    <row r="142">
      <c r="A142" t="n">
        <v>138</v>
      </c>
      <c r="B142" s="5" t="n">
        <v>46068</v>
      </c>
      <c r="C142" t="inlineStr">
        <is>
          <t>Night</t>
        </is>
      </c>
      <c r="D142" t="inlineStr">
        <is>
          <t>PPC</t>
        </is>
      </c>
      <c r="E142" s="6" t="n">
        <v>1017</v>
      </c>
      <c r="F142" s="6" t="n">
        <v>871.6</v>
      </c>
      <c r="G142" s="6" t="n">
        <v>1.57</v>
      </c>
      <c r="H142" t="inlineStr">
        <is>
          <t>Mechanical Failure</t>
        </is>
      </c>
      <c r="I142" s="6" t="n">
        <v>1283.8</v>
      </c>
      <c r="J142" s="6" t="n">
        <v>68086.39999999999</v>
      </c>
      <c r="K142" t="n">
        <v>3</v>
      </c>
      <c r="L142" t="n">
        <v>9</v>
      </c>
      <c r="M142" s="7">
        <f>F142/E142</f>
        <v/>
      </c>
      <c r="N142" s="7">
        <f>F142/(E142+G142*45)</f>
        <v/>
      </c>
      <c r="O142" s="6">
        <f>I142/F142</f>
        <v/>
      </c>
      <c r="P142" s="6">
        <f>J142/F142</f>
        <v/>
      </c>
      <c r="Q142" s="7">
        <f>IFERROR(K142/F142,0)</f>
        <v/>
      </c>
      <c r="R142">
        <f>IF(M142&gt;=1,"On Target",IF(M142&gt;=0.9,"Watch","Below Target"))</f>
        <v/>
      </c>
    </row>
    <row r="143">
      <c r="A143" t="n">
        <v>139</v>
      </c>
      <c r="B143" s="5" t="n">
        <v>46069</v>
      </c>
      <c r="C143" t="inlineStr">
        <is>
          <t>Day</t>
        </is>
      </c>
      <c r="D143" t="inlineStr">
        <is>
          <t>OPC</t>
        </is>
      </c>
      <c r="E143" s="6" t="n">
        <v>1114</v>
      </c>
      <c r="F143" s="6" t="n">
        <v>1087.8</v>
      </c>
      <c r="G143" s="6" t="n">
        <v>1.62</v>
      </c>
      <c r="H143" t="inlineStr">
        <is>
          <t>Electrical Failure</t>
        </is>
      </c>
      <c r="I143" s="6" t="n">
        <v>1691.4</v>
      </c>
      <c r="J143" s="6" t="n">
        <v>85909.8</v>
      </c>
      <c r="K143" t="n">
        <v>3</v>
      </c>
      <c r="L143" t="n">
        <v>12</v>
      </c>
      <c r="M143" s="7">
        <f>F143/E143</f>
        <v/>
      </c>
      <c r="N143" s="7">
        <f>F143/(E143+G143*45)</f>
        <v/>
      </c>
      <c r="O143" s="6">
        <f>I143/F143</f>
        <v/>
      </c>
      <c r="P143" s="6">
        <f>J143/F143</f>
        <v/>
      </c>
      <c r="Q143" s="7">
        <f>IFERROR(K143/F143,0)</f>
        <v/>
      </c>
      <c r="R143">
        <f>IF(M143&gt;=1,"On Target",IF(M143&gt;=0.9,"Watch","Below Target"))</f>
        <v/>
      </c>
    </row>
    <row r="144">
      <c r="A144" t="n">
        <v>140</v>
      </c>
      <c r="B144" s="5" t="n">
        <v>46069</v>
      </c>
      <c r="C144" t="inlineStr">
        <is>
          <t>Evening</t>
        </is>
      </c>
      <c r="D144" t="inlineStr">
        <is>
          <t>OPC</t>
        </is>
      </c>
      <c r="E144" s="6" t="n">
        <v>1150</v>
      </c>
      <c r="F144" s="6" t="n">
        <v>1142.6</v>
      </c>
      <c r="G144" s="6" t="n">
        <v>0.16</v>
      </c>
      <c r="H144" t="inlineStr">
        <is>
          <t>No Downtime</t>
        </is>
      </c>
      <c r="I144" s="6" t="n">
        <v>1733.8</v>
      </c>
      <c r="J144" s="6" t="n">
        <v>88812.7</v>
      </c>
      <c r="K144" t="n">
        <v>3</v>
      </c>
      <c r="L144" t="n">
        <v>10</v>
      </c>
      <c r="M144" s="7">
        <f>F144/E144</f>
        <v/>
      </c>
      <c r="N144" s="7">
        <f>F144/(E144+G144*45)</f>
        <v/>
      </c>
      <c r="O144" s="6">
        <f>I144/F144</f>
        <v/>
      </c>
      <c r="P144" s="6">
        <f>J144/F144</f>
        <v/>
      </c>
      <c r="Q144" s="7">
        <f>IFERROR(K144/F144,0)</f>
        <v/>
      </c>
      <c r="R144">
        <f>IF(M144&gt;=1,"On Target",IF(M144&gt;=0.9,"Watch","Below Target"))</f>
        <v/>
      </c>
    </row>
    <row r="145">
      <c r="A145" t="n">
        <v>141</v>
      </c>
      <c r="B145" s="5" t="n">
        <v>46069</v>
      </c>
      <c r="C145" t="inlineStr">
        <is>
          <t>Night</t>
        </is>
      </c>
      <c r="D145" t="inlineStr">
        <is>
          <t>OPC</t>
        </is>
      </c>
      <c r="E145" s="6" t="n">
        <v>1119</v>
      </c>
      <c r="F145" s="6" t="n">
        <v>859.6</v>
      </c>
      <c r="G145" s="6" t="n">
        <v>3.55</v>
      </c>
      <c r="H145" t="inlineStr">
        <is>
          <t>Electrical Failure</t>
        </is>
      </c>
      <c r="I145" s="6" t="n">
        <v>1254.3</v>
      </c>
      <c r="J145" s="6" t="n">
        <v>63786.6</v>
      </c>
      <c r="K145" t="n">
        <v>3</v>
      </c>
      <c r="L145" t="n">
        <v>9</v>
      </c>
      <c r="M145" s="7">
        <f>F145/E145</f>
        <v/>
      </c>
      <c r="N145" s="7">
        <f>F145/(E145+G145*45)</f>
        <v/>
      </c>
      <c r="O145" s="6">
        <f>I145/F145</f>
        <v/>
      </c>
      <c r="P145" s="6">
        <f>J145/F145</f>
        <v/>
      </c>
      <c r="Q145" s="7">
        <f>IFERROR(K145/F145,0)</f>
        <v/>
      </c>
      <c r="R145">
        <f>IF(M145&gt;=1,"On Target",IF(M145&gt;=0.9,"Watch","Below Target"))</f>
        <v/>
      </c>
    </row>
    <row r="146">
      <c r="A146" t="n">
        <v>142</v>
      </c>
      <c r="B146" s="5" t="n">
        <v>46070</v>
      </c>
      <c r="C146" t="inlineStr">
        <is>
          <t>Day</t>
        </is>
      </c>
      <c r="D146" t="inlineStr">
        <is>
          <t>SRC</t>
        </is>
      </c>
      <c r="E146" s="6" t="n">
        <v>960</v>
      </c>
      <c r="F146" s="6" t="n">
        <v>942.3</v>
      </c>
      <c r="G146" s="6" t="n">
        <v>0.42</v>
      </c>
      <c r="H146" t="inlineStr">
        <is>
          <t>No Downtime</t>
        </is>
      </c>
      <c r="I146" s="6" t="n">
        <v>1426.8</v>
      </c>
      <c r="J146" s="6" t="n">
        <v>78337</v>
      </c>
      <c r="K146" t="n">
        <v>6</v>
      </c>
      <c r="L146" t="n">
        <v>12</v>
      </c>
      <c r="M146" s="7">
        <f>F146/E146</f>
        <v/>
      </c>
      <c r="N146" s="7">
        <f>F146/(E146+G146*45)</f>
        <v/>
      </c>
      <c r="O146" s="6">
        <f>I146/F146</f>
        <v/>
      </c>
      <c r="P146" s="6">
        <f>J146/F146</f>
        <v/>
      </c>
      <c r="Q146" s="7">
        <f>IFERROR(K146/F146,0)</f>
        <v/>
      </c>
      <c r="R146">
        <f>IF(M146&gt;=1,"On Target",IF(M146&gt;=0.9,"Watch","Below Target"))</f>
        <v/>
      </c>
    </row>
    <row r="147">
      <c r="A147" t="n">
        <v>143</v>
      </c>
      <c r="B147" s="5" t="n">
        <v>46070</v>
      </c>
      <c r="C147" t="inlineStr">
        <is>
          <t>Evening</t>
        </is>
      </c>
      <c r="D147" t="inlineStr">
        <is>
          <t>PPC</t>
        </is>
      </c>
      <c r="E147" s="6" t="n">
        <v>1031</v>
      </c>
      <c r="F147" s="6" t="n">
        <v>799.4</v>
      </c>
      <c r="G147" s="6" t="n">
        <v>5.27</v>
      </c>
      <c r="H147" t="inlineStr">
        <is>
          <t>Mechanical Failure</t>
        </is>
      </c>
      <c r="I147" s="6" t="n">
        <v>1181.6</v>
      </c>
      <c r="J147" s="6" t="n">
        <v>65422.6</v>
      </c>
      <c r="K147" t="n">
        <v>3</v>
      </c>
      <c r="L147" t="n">
        <v>9</v>
      </c>
      <c r="M147" s="7">
        <f>F147/E147</f>
        <v/>
      </c>
      <c r="N147" s="7">
        <f>F147/(E147+G147*45)</f>
        <v/>
      </c>
      <c r="O147" s="6">
        <f>I147/F147</f>
        <v/>
      </c>
      <c r="P147" s="6">
        <f>J147/F147</f>
        <v/>
      </c>
      <c r="Q147" s="7">
        <f>IFERROR(K147/F147,0)</f>
        <v/>
      </c>
      <c r="R147">
        <f>IF(M147&gt;=1,"On Target",IF(M147&gt;=0.9,"Watch","Below Target"))</f>
        <v/>
      </c>
    </row>
    <row r="148">
      <c r="A148" t="n">
        <v>144</v>
      </c>
      <c r="B148" s="5" t="n">
        <v>46070</v>
      </c>
      <c r="C148" t="inlineStr">
        <is>
          <t>Night</t>
        </is>
      </c>
      <c r="D148" t="inlineStr">
        <is>
          <t>OPC</t>
        </is>
      </c>
      <c r="E148" s="6" t="n">
        <v>1128</v>
      </c>
      <c r="F148" s="6" t="n">
        <v>867.6</v>
      </c>
      <c r="G148" s="6" t="n">
        <v>3.9</v>
      </c>
      <c r="H148" t="inlineStr">
        <is>
          <t>Raw Material Shortage</t>
        </is>
      </c>
      <c r="I148" s="6" t="n">
        <v>1325.1</v>
      </c>
      <c r="J148" s="6" t="n">
        <v>66963.2</v>
      </c>
      <c r="K148" t="n">
        <v>4</v>
      </c>
      <c r="L148" t="n">
        <v>8</v>
      </c>
      <c r="M148" s="7">
        <f>F148/E148</f>
        <v/>
      </c>
      <c r="N148" s="7">
        <f>F148/(E148+G148*45)</f>
        <v/>
      </c>
      <c r="O148" s="6">
        <f>I148/F148</f>
        <v/>
      </c>
      <c r="P148" s="6">
        <f>J148/F148</f>
        <v/>
      </c>
      <c r="Q148" s="7">
        <f>IFERROR(K148/F148,0)</f>
        <v/>
      </c>
      <c r="R148">
        <f>IF(M148&gt;=1,"On Target",IF(M148&gt;=0.9,"Watch","Below Target"))</f>
        <v/>
      </c>
    </row>
    <row r="149">
      <c r="A149" t="n">
        <v>145</v>
      </c>
      <c r="B149" s="5" t="n">
        <v>46071</v>
      </c>
      <c r="C149" t="inlineStr">
        <is>
          <t>Day</t>
        </is>
      </c>
      <c r="D149" t="inlineStr">
        <is>
          <t>PPC</t>
        </is>
      </c>
      <c r="E149" s="6" t="n">
        <v>1019</v>
      </c>
      <c r="F149" s="6" t="n">
        <v>869.3</v>
      </c>
      <c r="G149" s="6" t="n">
        <v>4.41</v>
      </c>
      <c r="H149" t="inlineStr">
        <is>
          <t>Planned Maintenance</t>
        </is>
      </c>
      <c r="I149" s="6" t="n">
        <v>1342.3</v>
      </c>
      <c r="J149" s="6" t="n">
        <v>63588.4</v>
      </c>
      <c r="K149" t="n">
        <v>4</v>
      </c>
      <c r="L149" t="n">
        <v>7</v>
      </c>
      <c r="M149" s="7">
        <f>F149/E149</f>
        <v/>
      </c>
      <c r="N149" s="7">
        <f>F149/(E149+G149*45)</f>
        <v/>
      </c>
      <c r="O149" s="6">
        <f>I149/F149</f>
        <v/>
      </c>
      <c r="P149" s="6">
        <f>J149/F149</f>
        <v/>
      </c>
      <c r="Q149" s="7">
        <f>IFERROR(K149/F149,0)</f>
        <v/>
      </c>
      <c r="R149">
        <f>IF(M149&gt;=1,"On Target",IF(M149&gt;=0.9,"Watch","Below Target"))</f>
        <v/>
      </c>
    </row>
    <row r="150">
      <c r="A150" t="n">
        <v>146</v>
      </c>
      <c r="B150" s="5" t="n">
        <v>46071</v>
      </c>
      <c r="C150" t="inlineStr">
        <is>
          <t>Evening</t>
        </is>
      </c>
      <c r="D150" t="inlineStr">
        <is>
          <t>SRC</t>
        </is>
      </c>
      <c r="E150" s="6" t="n">
        <v>959</v>
      </c>
      <c r="F150" s="6" t="n">
        <v>677.6</v>
      </c>
      <c r="G150" s="6" t="n">
        <v>6.32</v>
      </c>
      <c r="H150" t="inlineStr">
        <is>
          <t>Electrical Failure</t>
        </is>
      </c>
      <c r="I150" s="6" t="n">
        <v>1070.9</v>
      </c>
      <c r="J150" s="6" t="n">
        <v>54479.1</v>
      </c>
      <c r="K150" t="n">
        <v>3</v>
      </c>
      <c r="L150" t="n">
        <v>11</v>
      </c>
      <c r="M150" s="7">
        <f>F150/E150</f>
        <v/>
      </c>
      <c r="N150" s="7">
        <f>F150/(E150+G150*45)</f>
        <v/>
      </c>
      <c r="O150" s="6">
        <f>I150/F150</f>
        <v/>
      </c>
      <c r="P150" s="6">
        <f>J150/F150</f>
        <v/>
      </c>
      <c r="Q150" s="7">
        <f>IFERROR(K150/F150,0)</f>
        <v/>
      </c>
      <c r="R150">
        <f>IF(M150&gt;=1,"On Target",IF(M150&gt;=0.9,"Watch","Below Target"))</f>
        <v/>
      </c>
    </row>
    <row r="151">
      <c r="A151" t="n">
        <v>147</v>
      </c>
      <c r="B151" s="5" t="n">
        <v>46071</v>
      </c>
      <c r="C151" t="inlineStr">
        <is>
          <t>Night</t>
        </is>
      </c>
      <c r="D151" t="inlineStr">
        <is>
          <t>OPC</t>
        </is>
      </c>
      <c r="E151" s="6" t="n">
        <v>1155</v>
      </c>
      <c r="F151" s="6" t="n">
        <v>820.5</v>
      </c>
      <c r="G151" s="6" t="n">
        <v>4.74</v>
      </c>
      <c r="H151" t="inlineStr">
        <is>
          <t>Mechanical Failure</t>
        </is>
      </c>
      <c r="I151" s="6" t="n">
        <v>1310.8</v>
      </c>
      <c r="J151" s="6" t="n">
        <v>66310.89999999999</v>
      </c>
      <c r="K151" t="n">
        <v>0</v>
      </c>
      <c r="L151" t="n">
        <v>8</v>
      </c>
      <c r="M151" s="7">
        <f>F151/E151</f>
        <v/>
      </c>
      <c r="N151" s="7">
        <f>F151/(E151+G151*45)</f>
        <v/>
      </c>
      <c r="O151" s="6">
        <f>I151/F151</f>
        <v/>
      </c>
      <c r="P151" s="6">
        <f>J151/F151</f>
        <v/>
      </c>
      <c r="Q151" s="7">
        <f>IFERROR(K151/F151,0)</f>
        <v/>
      </c>
      <c r="R151">
        <f>IF(M151&gt;=1,"On Target",IF(M151&gt;=0.9,"Watch","Below Target"))</f>
        <v/>
      </c>
    </row>
    <row r="152">
      <c r="A152" t="n">
        <v>148</v>
      </c>
      <c r="B152" s="5" t="n">
        <v>46072</v>
      </c>
      <c r="C152" t="inlineStr">
        <is>
          <t>Day</t>
        </is>
      </c>
      <c r="D152" t="inlineStr">
        <is>
          <t>PPC</t>
        </is>
      </c>
      <c r="E152" s="6" t="n">
        <v>1013</v>
      </c>
      <c r="F152" s="6" t="n">
        <v>832.8</v>
      </c>
      <c r="G152" s="6" t="n">
        <v>4.11</v>
      </c>
      <c r="H152" t="inlineStr">
        <is>
          <t>Planned Maintenance</t>
        </is>
      </c>
      <c r="I152" s="6" t="n">
        <v>1236.9</v>
      </c>
      <c r="J152" s="6" t="n">
        <v>69574.2</v>
      </c>
      <c r="K152" t="n">
        <v>5</v>
      </c>
      <c r="L152" t="n">
        <v>11</v>
      </c>
      <c r="M152" s="7">
        <f>F152/E152</f>
        <v/>
      </c>
      <c r="N152" s="7">
        <f>F152/(E152+G152*45)</f>
        <v/>
      </c>
      <c r="O152" s="6">
        <f>I152/F152</f>
        <v/>
      </c>
      <c r="P152" s="6">
        <f>J152/F152</f>
        <v/>
      </c>
      <c r="Q152" s="7">
        <f>IFERROR(K152/F152,0)</f>
        <v/>
      </c>
      <c r="R152">
        <f>IF(M152&gt;=1,"On Target",IF(M152&gt;=0.9,"Watch","Below Target"))</f>
        <v/>
      </c>
    </row>
    <row r="153">
      <c r="A153" t="n">
        <v>149</v>
      </c>
      <c r="B153" s="5" t="n">
        <v>46072</v>
      </c>
      <c r="C153" t="inlineStr">
        <is>
          <t>Evening</t>
        </is>
      </c>
      <c r="D153" t="inlineStr">
        <is>
          <t>OPC</t>
        </is>
      </c>
      <c r="E153" s="6" t="n">
        <v>1164</v>
      </c>
      <c r="F153" s="6" t="n">
        <v>1138.9</v>
      </c>
      <c r="G153" s="6" t="n">
        <v>0.71</v>
      </c>
      <c r="H153" t="inlineStr">
        <is>
          <t>Raw Material Shortage</t>
        </is>
      </c>
      <c r="I153" s="6" t="n">
        <v>1762</v>
      </c>
      <c r="J153" s="6" t="n">
        <v>97412.89999999999</v>
      </c>
      <c r="K153" t="n">
        <v>3</v>
      </c>
      <c r="L153" t="n">
        <v>9</v>
      </c>
      <c r="M153" s="7">
        <f>F153/E153</f>
        <v/>
      </c>
      <c r="N153" s="7">
        <f>F153/(E153+G153*45)</f>
        <v/>
      </c>
      <c r="O153" s="6">
        <f>I153/F153</f>
        <v/>
      </c>
      <c r="P153" s="6">
        <f>J153/F153</f>
        <v/>
      </c>
      <c r="Q153" s="7">
        <f>IFERROR(K153/F153,0)</f>
        <v/>
      </c>
      <c r="R153">
        <f>IF(M153&gt;=1,"On Target",IF(M153&gt;=0.9,"Watch","Below Target"))</f>
        <v/>
      </c>
    </row>
    <row r="154">
      <c r="A154" t="n">
        <v>150</v>
      </c>
      <c r="B154" s="5" t="n">
        <v>46072</v>
      </c>
      <c r="C154" t="inlineStr">
        <is>
          <t>Night</t>
        </is>
      </c>
      <c r="D154" t="inlineStr">
        <is>
          <t>PPC</t>
        </is>
      </c>
      <c r="E154" s="6" t="n">
        <v>1056</v>
      </c>
      <c r="F154" s="6" t="n">
        <v>838.8</v>
      </c>
      <c r="G154" s="6" t="n">
        <v>4.06</v>
      </c>
      <c r="H154" t="inlineStr">
        <is>
          <t>Planned Maintenance</t>
        </is>
      </c>
      <c r="I154" s="6" t="n">
        <v>1260.5</v>
      </c>
      <c r="J154" s="6" t="n">
        <v>65021.2</v>
      </c>
      <c r="K154" t="n">
        <v>1</v>
      </c>
      <c r="L154" t="n">
        <v>7</v>
      </c>
      <c r="M154" s="7">
        <f>F154/E154</f>
        <v/>
      </c>
      <c r="N154" s="7">
        <f>F154/(E154+G154*45)</f>
        <v/>
      </c>
      <c r="O154" s="6">
        <f>I154/F154</f>
        <v/>
      </c>
      <c r="P154" s="6">
        <f>J154/F154</f>
        <v/>
      </c>
      <c r="Q154" s="7">
        <f>IFERROR(K154/F154,0)</f>
        <v/>
      </c>
      <c r="R154">
        <f>IF(M154&gt;=1,"On Target",IF(M154&gt;=0.9,"Watch","Below Target"))</f>
        <v/>
      </c>
    </row>
    <row r="155">
      <c r="A155" t="n">
        <v>151</v>
      </c>
      <c r="B155" s="5" t="n">
        <v>46073</v>
      </c>
      <c r="C155" t="inlineStr">
        <is>
          <t>Day</t>
        </is>
      </c>
      <c r="D155" t="inlineStr">
        <is>
          <t>PPC</t>
        </is>
      </c>
      <c r="E155" s="6" t="n">
        <v>1079</v>
      </c>
      <c r="F155" s="6" t="n">
        <v>1101.1</v>
      </c>
      <c r="G155" s="6" t="n">
        <v>0.13</v>
      </c>
      <c r="H155" t="inlineStr">
        <is>
          <t>No Downtime</t>
        </is>
      </c>
      <c r="I155" s="6" t="n">
        <v>1713.4</v>
      </c>
      <c r="J155" s="6" t="n">
        <v>89428.8</v>
      </c>
      <c r="K155" t="n">
        <v>4</v>
      </c>
      <c r="L155" t="n">
        <v>12</v>
      </c>
      <c r="M155" s="7">
        <f>F155/E155</f>
        <v/>
      </c>
      <c r="N155" s="7">
        <f>F155/(E155+G155*45)</f>
        <v/>
      </c>
      <c r="O155" s="6">
        <f>I155/F155</f>
        <v/>
      </c>
      <c r="P155" s="6">
        <f>J155/F155</f>
        <v/>
      </c>
      <c r="Q155" s="7">
        <f>IFERROR(K155/F155,0)</f>
        <v/>
      </c>
      <c r="R155">
        <f>IF(M155&gt;=1,"On Target",IF(M155&gt;=0.9,"Watch","Below Target"))</f>
        <v/>
      </c>
    </row>
    <row r="156">
      <c r="A156" t="n">
        <v>152</v>
      </c>
      <c r="B156" s="5" t="n">
        <v>46073</v>
      </c>
      <c r="C156" t="inlineStr">
        <is>
          <t>Evening</t>
        </is>
      </c>
      <c r="D156" t="inlineStr">
        <is>
          <t>PPC</t>
        </is>
      </c>
      <c r="E156" s="6" t="n">
        <v>1048</v>
      </c>
      <c r="F156" s="6" t="n">
        <v>1004.8</v>
      </c>
      <c r="G156" s="6" t="n">
        <v>0.38</v>
      </c>
      <c r="H156" t="inlineStr">
        <is>
          <t>No Downtime</t>
        </is>
      </c>
      <c r="I156" s="6" t="n">
        <v>1539.7</v>
      </c>
      <c r="J156" s="6" t="n">
        <v>77977.89999999999</v>
      </c>
      <c r="K156" t="n">
        <v>4</v>
      </c>
      <c r="L156" t="n">
        <v>10</v>
      </c>
      <c r="M156" s="7">
        <f>F156/E156</f>
        <v/>
      </c>
      <c r="N156" s="7">
        <f>F156/(E156+G156*45)</f>
        <v/>
      </c>
      <c r="O156" s="6">
        <f>I156/F156</f>
        <v/>
      </c>
      <c r="P156" s="6">
        <f>J156/F156</f>
        <v/>
      </c>
      <c r="Q156" s="7">
        <f>IFERROR(K156/F156,0)</f>
        <v/>
      </c>
      <c r="R156">
        <f>IF(M156&gt;=1,"On Target",IF(M156&gt;=0.9,"Watch","Below Target"))</f>
        <v/>
      </c>
    </row>
    <row r="157">
      <c r="A157" t="n">
        <v>153</v>
      </c>
      <c r="B157" s="5" t="n">
        <v>46073</v>
      </c>
      <c r="C157" t="inlineStr">
        <is>
          <t>Night</t>
        </is>
      </c>
      <c r="D157" t="inlineStr">
        <is>
          <t>OPC</t>
        </is>
      </c>
      <c r="E157" s="6" t="n">
        <v>1116</v>
      </c>
      <c r="F157" s="6" t="n">
        <v>880.2</v>
      </c>
      <c r="G157" s="6" t="n">
        <v>3</v>
      </c>
      <c r="H157" t="inlineStr">
        <is>
          <t>Electrical Failure</t>
        </is>
      </c>
      <c r="I157" s="6" t="n">
        <v>1328.5</v>
      </c>
      <c r="J157" s="6" t="n">
        <v>77693.8</v>
      </c>
      <c r="K157" t="n">
        <v>1</v>
      </c>
      <c r="L157" t="n">
        <v>11</v>
      </c>
      <c r="M157" s="7">
        <f>F157/E157</f>
        <v/>
      </c>
      <c r="N157" s="7">
        <f>F157/(E157+G157*45)</f>
        <v/>
      </c>
      <c r="O157" s="6">
        <f>I157/F157</f>
        <v/>
      </c>
      <c r="P157" s="6">
        <f>J157/F157</f>
        <v/>
      </c>
      <c r="Q157" s="7">
        <f>IFERROR(K157/F157,0)</f>
        <v/>
      </c>
      <c r="R157">
        <f>IF(M157&gt;=1,"On Target",IF(M157&gt;=0.9,"Watch","Below Target"))</f>
        <v/>
      </c>
    </row>
    <row r="158">
      <c r="A158" t="n">
        <v>154</v>
      </c>
      <c r="B158" s="5" t="n">
        <v>46074</v>
      </c>
      <c r="C158" t="inlineStr">
        <is>
          <t>Day</t>
        </is>
      </c>
      <c r="D158" t="inlineStr">
        <is>
          <t>SRC</t>
        </is>
      </c>
      <c r="E158" s="6" t="n">
        <v>996</v>
      </c>
      <c r="F158" s="6" t="n">
        <v>975.9</v>
      </c>
      <c r="G158" s="6" t="n">
        <v>0.04</v>
      </c>
      <c r="H158" t="inlineStr">
        <is>
          <t>No Downtime</t>
        </is>
      </c>
      <c r="I158" s="6" t="n">
        <v>1510.3</v>
      </c>
      <c r="J158" s="6" t="n">
        <v>76545.8</v>
      </c>
      <c r="K158" t="n">
        <v>3</v>
      </c>
      <c r="L158" t="n">
        <v>8</v>
      </c>
      <c r="M158" s="7">
        <f>F158/E158</f>
        <v/>
      </c>
      <c r="N158" s="7">
        <f>F158/(E158+G158*45)</f>
        <v/>
      </c>
      <c r="O158" s="6">
        <f>I158/F158</f>
        <v/>
      </c>
      <c r="P158" s="6">
        <f>J158/F158</f>
        <v/>
      </c>
      <c r="Q158" s="7">
        <f>IFERROR(K158/F158,0)</f>
        <v/>
      </c>
      <c r="R158">
        <f>IF(M158&gt;=1,"On Target",IF(M158&gt;=0.9,"Watch","Below Target"))</f>
        <v/>
      </c>
    </row>
    <row r="159">
      <c r="A159" t="n">
        <v>155</v>
      </c>
      <c r="B159" s="5" t="n">
        <v>46074</v>
      </c>
      <c r="C159" t="inlineStr">
        <is>
          <t>Evening</t>
        </is>
      </c>
      <c r="D159" t="inlineStr">
        <is>
          <t>OPC</t>
        </is>
      </c>
      <c r="E159" s="6" t="n">
        <v>1123</v>
      </c>
      <c r="F159" s="6" t="n">
        <v>839.9</v>
      </c>
      <c r="G159" s="6" t="n">
        <v>4.61</v>
      </c>
      <c r="H159" t="inlineStr">
        <is>
          <t>Mechanical Failure</t>
        </is>
      </c>
      <c r="I159" s="6" t="n">
        <v>1290.3</v>
      </c>
      <c r="J159" s="6" t="n">
        <v>68750.10000000001</v>
      </c>
      <c r="K159" t="n">
        <v>2</v>
      </c>
      <c r="L159" t="n">
        <v>8</v>
      </c>
      <c r="M159" s="7">
        <f>F159/E159</f>
        <v/>
      </c>
      <c r="N159" s="7">
        <f>F159/(E159+G159*45)</f>
        <v/>
      </c>
      <c r="O159" s="6">
        <f>I159/F159</f>
        <v/>
      </c>
      <c r="P159" s="6">
        <f>J159/F159</f>
        <v/>
      </c>
      <c r="Q159" s="7">
        <f>IFERROR(K159/F159,0)</f>
        <v/>
      </c>
      <c r="R159">
        <f>IF(M159&gt;=1,"On Target",IF(M159&gt;=0.9,"Watch","Below Target"))</f>
        <v/>
      </c>
    </row>
    <row r="160">
      <c r="A160" t="n">
        <v>156</v>
      </c>
      <c r="B160" s="5" t="n">
        <v>46074</v>
      </c>
      <c r="C160" t="inlineStr">
        <is>
          <t>Night</t>
        </is>
      </c>
      <c r="D160" t="inlineStr">
        <is>
          <t>PPC</t>
        </is>
      </c>
      <c r="E160" s="6" t="n">
        <v>1080</v>
      </c>
      <c r="F160" s="6" t="n">
        <v>1050.5</v>
      </c>
      <c r="G160" s="6" t="n">
        <v>0.11</v>
      </c>
      <c r="H160" t="inlineStr">
        <is>
          <t>No Downtime</t>
        </is>
      </c>
      <c r="I160" s="6" t="n">
        <v>1634</v>
      </c>
      <c r="J160" s="6" t="n">
        <v>76544.5</v>
      </c>
      <c r="K160" t="n">
        <v>5</v>
      </c>
      <c r="L160" t="n">
        <v>11</v>
      </c>
      <c r="M160" s="7">
        <f>F160/E160</f>
        <v/>
      </c>
      <c r="N160" s="7">
        <f>F160/(E160+G160*45)</f>
        <v/>
      </c>
      <c r="O160" s="6">
        <f>I160/F160</f>
        <v/>
      </c>
      <c r="P160" s="6">
        <f>J160/F160</f>
        <v/>
      </c>
      <c r="Q160" s="7">
        <f>IFERROR(K160/F160,0)</f>
        <v/>
      </c>
      <c r="R160">
        <f>IF(M160&gt;=1,"On Target",IF(M160&gt;=0.9,"Watch","Below Target"))</f>
        <v/>
      </c>
    </row>
    <row r="161">
      <c r="A161" t="n">
        <v>157</v>
      </c>
      <c r="B161" s="5" t="n">
        <v>46075</v>
      </c>
      <c r="C161" t="inlineStr">
        <is>
          <t>Day</t>
        </is>
      </c>
      <c r="D161" t="inlineStr">
        <is>
          <t>SRC</t>
        </is>
      </c>
      <c r="E161" s="6" t="n">
        <v>996</v>
      </c>
      <c r="F161" s="6" t="n">
        <v>1025.1</v>
      </c>
      <c r="G161" s="6" t="n">
        <v>1.44</v>
      </c>
      <c r="H161" t="inlineStr">
        <is>
          <t>Raw Material Shortage</t>
        </is>
      </c>
      <c r="I161" s="6" t="n">
        <v>1580.4</v>
      </c>
      <c r="J161" s="6" t="n">
        <v>92497.39999999999</v>
      </c>
      <c r="K161" t="n">
        <v>1</v>
      </c>
      <c r="L161" t="n">
        <v>10</v>
      </c>
      <c r="M161" s="7">
        <f>F161/E161</f>
        <v/>
      </c>
      <c r="N161" s="7">
        <f>F161/(E161+G161*45)</f>
        <v/>
      </c>
      <c r="O161" s="6">
        <f>I161/F161</f>
        <v/>
      </c>
      <c r="P161" s="6">
        <f>J161/F161</f>
        <v/>
      </c>
      <c r="Q161" s="7">
        <f>IFERROR(K161/F161,0)</f>
        <v/>
      </c>
      <c r="R161">
        <f>IF(M161&gt;=1,"On Target",IF(M161&gt;=0.9,"Watch","Below Target"))</f>
        <v/>
      </c>
    </row>
    <row r="162">
      <c r="A162" t="n">
        <v>158</v>
      </c>
      <c r="B162" s="5" t="n">
        <v>46075</v>
      </c>
      <c r="C162" t="inlineStr">
        <is>
          <t>Evening</t>
        </is>
      </c>
      <c r="D162" t="inlineStr">
        <is>
          <t>OPC</t>
        </is>
      </c>
      <c r="E162" s="6" t="n">
        <v>1173</v>
      </c>
      <c r="F162" s="6" t="n">
        <v>907.8</v>
      </c>
      <c r="G162" s="6" t="n">
        <v>6.3</v>
      </c>
      <c r="H162" t="inlineStr">
        <is>
          <t>Electrical Failure</t>
        </is>
      </c>
      <c r="I162" s="6" t="n">
        <v>1430.1</v>
      </c>
      <c r="J162" s="6" t="n">
        <v>75434.8</v>
      </c>
      <c r="K162" t="n">
        <v>1</v>
      </c>
      <c r="L162" t="n">
        <v>11</v>
      </c>
      <c r="M162" s="7">
        <f>F162/E162</f>
        <v/>
      </c>
      <c r="N162" s="7">
        <f>F162/(E162+G162*45)</f>
        <v/>
      </c>
      <c r="O162" s="6">
        <f>I162/F162</f>
        <v/>
      </c>
      <c r="P162" s="6">
        <f>J162/F162</f>
        <v/>
      </c>
      <c r="Q162" s="7">
        <f>IFERROR(K162/F162,0)</f>
        <v/>
      </c>
      <c r="R162">
        <f>IF(M162&gt;=1,"On Target",IF(M162&gt;=0.9,"Watch","Below Target"))</f>
        <v/>
      </c>
    </row>
    <row r="163">
      <c r="A163" t="n">
        <v>159</v>
      </c>
      <c r="B163" s="5" t="n">
        <v>46075</v>
      </c>
      <c r="C163" t="inlineStr">
        <is>
          <t>Night</t>
        </is>
      </c>
      <c r="D163" t="inlineStr">
        <is>
          <t>PPC</t>
        </is>
      </c>
      <c r="E163" s="6" t="n">
        <v>1023</v>
      </c>
      <c r="F163" s="6" t="n">
        <v>860</v>
      </c>
      <c r="G163" s="6" t="n">
        <v>0.39</v>
      </c>
      <c r="H163" t="inlineStr">
        <is>
          <t>No Downtime</t>
        </is>
      </c>
      <c r="I163" s="6" t="n">
        <v>1333.8</v>
      </c>
      <c r="J163" s="6" t="n">
        <v>70251.2</v>
      </c>
      <c r="K163" t="n">
        <v>2</v>
      </c>
      <c r="L163" t="n">
        <v>10</v>
      </c>
      <c r="M163" s="7">
        <f>F163/E163</f>
        <v/>
      </c>
      <c r="N163" s="7">
        <f>F163/(E163+G163*45)</f>
        <v/>
      </c>
      <c r="O163" s="6">
        <f>I163/F163</f>
        <v/>
      </c>
      <c r="P163" s="6">
        <f>J163/F163</f>
        <v/>
      </c>
      <c r="Q163" s="7">
        <f>IFERROR(K163/F163,0)</f>
        <v/>
      </c>
      <c r="R163">
        <f>IF(M163&gt;=1,"On Target",IF(M163&gt;=0.9,"Watch","Below Target"))</f>
        <v/>
      </c>
    </row>
    <row r="164">
      <c r="A164" t="n">
        <v>160</v>
      </c>
      <c r="B164" s="5" t="n">
        <v>46076</v>
      </c>
      <c r="C164" t="inlineStr">
        <is>
          <t>Day</t>
        </is>
      </c>
      <c r="D164" t="inlineStr">
        <is>
          <t>PPC</t>
        </is>
      </c>
      <c r="E164" s="6" t="n">
        <v>1059</v>
      </c>
      <c r="F164" s="6" t="n">
        <v>933.9</v>
      </c>
      <c r="G164" s="6" t="n">
        <v>2.53</v>
      </c>
      <c r="H164" t="inlineStr">
        <is>
          <t>Mechanical Failure</t>
        </is>
      </c>
      <c r="I164" s="6" t="n">
        <v>1411.2</v>
      </c>
      <c r="J164" s="6" t="n">
        <v>73857.60000000001</v>
      </c>
      <c r="K164" t="n">
        <v>3</v>
      </c>
      <c r="L164" t="n">
        <v>12</v>
      </c>
      <c r="M164" s="7">
        <f>F164/E164</f>
        <v/>
      </c>
      <c r="N164" s="7">
        <f>F164/(E164+G164*45)</f>
        <v/>
      </c>
      <c r="O164" s="6">
        <f>I164/F164</f>
        <v/>
      </c>
      <c r="P164" s="6">
        <f>J164/F164</f>
        <v/>
      </c>
      <c r="Q164" s="7">
        <f>IFERROR(K164/F164,0)</f>
        <v/>
      </c>
      <c r="R164">
        <f>IF(M164&gt;=1,"On Target",IF(M164&gt;=0.9,"Watch","Below Target"))</f>
        <v/>
      </c>
    </row>
    <row r="165">
      <c r="A165" t="n">
        <v>161</v>
      </c>
      <c r="B165" s="5" t="n">
        <v>46076</v>
      </c>
      <c r="C165" t="inlineStr">
        <is>
          <t>Evening</t>
        </is>
      </c>
      <c r="D165" t="inlineStr">
        <is>
          <t>PPC</t>
        </is>
      </c>
      <c r="E165" s="6" t="n">
        <v>1051</v>
      </c>
      <c r="F165" s="6" t="n">
        <v>753.5</v>
      </c>
      <c r="G165" s="6" t="n">
        <v>4.87</v>
      </c>
      <c r="H165" t="inlineStr">
        <is>
          <t>Mechanical Failure</t>
        </is>
      </c>
      <c r="I165" s="6" t="n">
        <v>1166.1</v>
      </c>
      <c r="J165" s="6" t="n">
        <v>60965.3</v>
      </c>
      <c r="K165" t="n">
        <v>1</v>
      </c>
      <c r="L165" t="n">
        <v>10</v>
      </c>
      <c r="M165" s="7">
        <f>F165/E165</f>
        <v/>
      </c>
      <c r="N165" s="7">
        <f>F165/(E165+G165*45)</f>
        <v/>
      </c>
      <c r="O165" s="6">
        <f>I165/F165</f>
        <v/>
      </c>
      <c r="P165" s="6">
        <f>J165/F165</f>
        <v/>
      </c>
      <c r="Q165" s="7">
        <f>IFERROR(K165/F165,0)</f>
        <v/>
      </c>
      <c r="R165">
        <f>IF(M165&gt;=1,"On Target",IF(M165&gt;=0.9,"Watch","Below Target"))</f>
        <v/>
      </c>
    </row>
    <row r="166">
      <c r="A166" t="n">
        <v>162</v>
      </c>
      <c r="B166" s="5" t="n">
        <v>46076</v>
      </c>
      <c r="C166" t="inlineStr">
        <is>
          <t>Night</t>
        </is>
      </c>
      <c r="D166" t="inlineStr">
        <is>
          <t>OPC</t>
        </is>
      </c>
      <c r="E166" s="6" t="n">
        <v>1117</v>
      </c>
      <c r="F166" s="6" t="n">
        <v>880.1</v>
      </c>
      <c r="G166" s="6" t="n">
        <v>3.92</v>
      </c>
      <c r="H166" t="inlineStr">
        <is>
          <t>Mechanical Failure</t>
        </is>
      </c>
      <c r="I166" s="6" t="n">
        <v>1315.1</v>
      </c>
      <c r="J166" s="6" t="n">
        <v>72886.8</v>
      </c>
      <c r="K166" t="n">
        <v>7</v>
      </c>
      <c r="L166" t="n">
        <v>10</v>
      </c>
      <c r="M166" s="7">
        <f>F166/E166</f>
        <v/>
      </c>
      <c r="N166" s="7">
        <f>F166/(E166+G166*45)</f>
        <v/>
      </c>
      <c r="O166" s="6">
        <f>I166/F166</f>
        <v/>
      </c>
      <c r="P166" s="6">
        <f>J166/F166</f>
        <v/>
      </c>
      <c r="Q166" s="7">
        <f>IFERROR(K166/F166,0)</f>
        <v/>
      </c>
      <c r="R166">
        <f>IF(M166&gt;=1,"On Target",IF(M166&gt;=0.9,"Watch","Below Target"))</f>
        <v/>
      </c>
    </row>
    <row r="167">
      <c r="A167" t="n">
        <v>163</v>
      </c>
      <c r="B167" s="5" t="n">
        <v>46077</v>
      </c>
      <c r="C167" t="inlineStr">
        <is>
          <t>Day</t>
        </is>
      </c>
      <c r="D167" t="inlineStr">
        <is>
          <t>SRC</t>
        </is>
      </c>
      <c r="E167" s="6" t="n">
        <v>998</v>
      </c>
      <c r="F167" s="6" t="n">
        <v>1077.8</v>
      </c>
      <c r="G167" s="6" t="n">
        <v>0.45</v>
      </c>
      <c r="H167" t="inlineStr">
        <is>
          <t>No Downtime</t>
        </is>
      </c>
      <c r="I167" s="6" t="n">
        <v>1645.6</v>
      </c>
      <c r="J167" s="6" t="n">
        <v>86860.3</v>
      </c>
      <c r="K167" t="n">
        <v>5</v>
      </c>
      <c r="L167" t="n">
        <v>9</v>
      </c>
      <c r="M167" s="7">
        <f>F167/E167</f>
        <v/>
      </c>
      <c r="N167" s="7">
        <f>F167/(E167+G167*45)</f>
        <v/>
      </c>
      <c r="O167" s="6">
        <f>I167/F167</f>
        <v/>
      </c>
      <c r="P167" s="6">
        <f>J167/F167</f>
        <v/>
      </c>
      <c r="Q167" s="7">
        <f>IFERROR(K167/F167,0)</f>
        <v/>
      </c>
      <c r="R167">
        <f>IF(M167&gt;=1,"On Target",IF(M167&gt;=0.9,"Watch","Below Target"))</f>
        <v/>
      </c>
    </row>
    <row r="168">
      <c r="A168" t="n">
        <v>164</v>
      </c>
      <c r="B168" s="5" t="n">
        <v>46077</v>
      </c>
      <c r="C168" t="inlineStr">
        <is>
          <t>Evening</t>
        </is>
      </c>
      <c r="D168" t="inlineStr">
        <is>
          <t>SRC</t>
        </is>
      </c>
      <c r="E168" s="6" t="n">
        <v>1012</v>
      </c>
      <c r="F168" s="6" t="n">
        <v>905.5</v>
      </c>
      <c r="G168" s="6" t="n">
        <v>0.17</v>
      </c>
      <c r="H168" t="inlineStr">
        <is>
          <t>No Downtime</t>
        </is>
      </c>
      <c r="I168" s="6" t="n">
        <v>1393.6</v>
      </c>
      <c r="J168" s="6" t="n">
        <v>71208.3</v>
      </c>
      <c r="K168" t="n">
        <v>2</v>
      </c>
      <c r="L168" t="n">
        <v>10</v>
      </c>
      <c r="M168" s="7">
        <f>F168/E168</f>
        <v/>
      </c>
      <c r="N168" s="7">
        <f>F168/(E168+G168*45)</f>
        <v/>
      </c>
      <c r="O168" s="6">
        <f>I168/F168</f>
        <v/>
      </c>
      <c r="P168" s="6">
        <f>J168/F168</f>
        <v/>
      </c>
      <c r="Q168" s="7">
        <f>IFERROR(K168/F168,0)</f>
        <v/>
      </c>
      <c r="R168">
        <f>IF(M168&gt;=1,"On Target",IF(M168&gt;=0.9,"Watch","Below Target"))</f>
        <v/>
      </c>
    </row>
    <row r="169">
      <c r="A169" t="n">
        <v>165</v>
      </c>
      <c r="B169" s="5" t="n">
        <v>46077</v>
      </c>
      <c r="C169" t="inlineStr">
        <is>
          <t>Night</t>
        </is>
      </c>
      <c r="D169" t="inlineStr">
        <is>
          <t>SRC</t>
        </is>
      </c>
      <c r="E169" s="6" t="n">
        <v>990</v>
      </c>
      <c r="F169" s="6" t="n">
        <v>733.1</v>
      </c>
      <c r="G169" s="6" t="n">
        <v>4.17</v>
      </c>
      <c r="H169" t="inlineStr">
        <is>
          <t>Planned Maintenance</t>
        </is>
      </c>
      <c r="I169" s="6" t="n">
        <v>1139.9</v>
      </c>
      <c r="J169" s="6" t="n">
        <v>58846.8</v>
      </c>
      <c r="K169" t="n">
        <v>3</v>
      </c>
      <c r="L169" t="n">
        <v>8</v>
      </c>
      <c r="M169" s="7">
        <f>F169/E169</f>
        <v/>
      </c>
      <c r="N169" s="7">
        <f>F169/(E169+G169*45)</f>
        <v/>
      </c>
      <c r="O169" s="6">
        <f>I169/F169</f>
        <v/>
      </c>
      <c r="P169" s="6">
        <f>J169/F169</f>
        <v/>
      </c>
      <c r="Q169" s="7">
        <f>IFERROR(K169/F169,0)</f>
        <v/>
      </c>
      <c r="R169">
        <f>IF(M169&gt;=1,"On Target",IF(M169&gt;=0.9,"Watch","Below Target"))</f>
        <v/>
      </c>
    </row>
    <row r="170">
      <c r="A170" t="n">
        <v>166</v>
      </c>
      <c r="B170" s="5" t="n">
        <v>46078</v>
      </c>
      <c r="C170" t="inlineStr">
        <is>
          <t>Day</t>
        </is>
      </c>
      <c r="D170" t="inlineStr">
        <is>
          <t>OPC</t>
        </is>
      </c>
      <c r="E170" s="6" t="n">
        <v>1149</v>
      </c>
      <c r="F170" s="6" t="n">
        <v>1129.7</v>
      </c>
      <c r="G170" s="6" t="n">
        <v>0.04</v>
      </c>
      <c r="H170" t="inlineStr">
        <is>
          <t>No Downtime</t>
        </is>
      </c>
      <c r="I170" s="6" t="n">
        <v>1708.3</v>
      </c>
      <c r="J170" s="6" t="n">
        <v>89952.60000000001</v>
      </c>
      <c r="K170" t="n">
        <v>3</v>
      </c>
      <c r="L170" t="n">
        <v>7</v>
      </c>
      <c r="M170" s="7">
        <f>F170/E170</f>
        <v/>
      </c>
      <c r="N170" s="7">
        <f>F170/(E170+G170*45)</f>
        <v/>
      </c>
      <c r="O170" s="6">
        <f>I170/F170</f>
        <v/>
      </c>
      <c r="P170" s="6">
        <f>J170/F170</f>
        <v/>
      </c>
      <c r="Q170" s="7">
        <f>IFERROR(K170/F170,0)</f>
        <v/>
      </c>
      <c r="R170">
        <f>IF(M170&gt;=1,"On Target",IF(M170&gt;=0.9,"Watch","Below Target"))</f>
        <v/>
      </c>
    </row>
    <row r="171">
      <c r="A171" t="n">
        <v>167</v>
      </c>
      <c r="B171" s="5" t="n">
        <v>46078</v>
      </c>
      <c r="C171" t="inlineStr">
        <is>
          <t>Evening</t>
        </is>
      </c>
      <c r="D171" t="inlineStr">
        <is>
          <t>OPC</t>
        </is>
      </c>
      <c r="E171" s="6" t="n">
        <v>1155</v>
      </c>
      <c r="F171" s="6" t="n">
        <v>860.6</v>
      </c>
      <c r="G171" s="6" t="n">
        <v>5.94</v>
      </c>
      <c r="H171" t="inlineStr">
        <is>
          <t>Electrical Failure</t>
        </is>
      </c>
      <c r="I171" s="6" t="n">
        <v>1334</v>
      </c>
      <c r="J171" s="6" t="n">
        <v>71762.5</v>
      </c>
      <c r="K171" t="n">
        <v>0</v>
      </c>
      <c r="L171" t="n">
        <v>9</v>
      </c>
      <c r="M171" s="7">
        <f>F171/E171</f>
        <v/>
      </c>
      <c r="N171" s="7">
        <f>F171/(E171+G171*45)</f>
        <v/>
      </c>
      <c r="O171" s="6">
        <f>I171/F171</f>
        <v/>
      </c>
      <c r="P171" s="6">
        <f>J171/F171</f>
        <v/>
      </c>
      <c r="Q171" s="7">
        <f>IFERROR(K171/F171,0)</f>
        <v/>
      </c>
      <c r="R171">
        <f>IF(M171&gt;=1,"On Target",IF(M171&gt;=0.9,"Watch","Below Target"))</f>
        <v/>
      </c>
    </row>
    <row r="172">
      <c r="A172" t="n">
        <v>168</v>
      </c>
      <c r="B172" s="5" t="n">
        <v>46078</v>
      </c>
      <c r="C172" t="inlineStr">
        <is>
          <t>Night</t>
        </is>
      </c>
      <c r="D172" t="inlineStr">
        <is>
          <t>OPC</t>
        </is>
      </c>
      <c r="E172" s="6" t="n">
        <v>1155</v>
      </c>
      <c r="F172" s="6" t="n">
        <v>867.4</v>
      </c>
      <c r="G172" s="6" t="n">
        <v>4.08</v>
      </c>
      <c r="H172" t="inlineStr">
        <is>
          <t>Quality Issue</t>
        </is>
      </c>
      <c r="I172" s="6" t="n">
        <v>1326.2</v>
      </c>
      <c r="J172" s="6" t="n">
        <v>70908</v>
      </c>
      <c r="K172" t="n">
        <v>1</v>
      </c>
      <c r="L172" t="n">
        <v>7</v>
      </c>
      <c r="M172" s="7">
        <f>F172/E172</f>
        <v/>
      </c>
      <c r="N172" s="7">
        <f>F172/(E172+G172*45)</f>
        <v/>
      </c>
      <c r="O172" s="6">
        <f>I172/F172</f>
        <v/>
      </c>
      <c r="P172" s="6">
        <f>J172/F172</f>
        <v/>
      </c>
      <c r="Q172" s="7">
        <f>IFERROR(K172/F172,0)</f>
        <v/>
      </c>
      <c r="R172">
        <f>IF(M172&gt;=1,"On Target",IF(M172&gt;=0.9,"Watch","Below Target"))</f>
        <v/>
      </c>
    </row>
    <row r="173">
      <c r="A173" t="n">
        <v>169</v>
      </c>
      <c r="B173" s="5" t="n">
        <v>46079</v>
      </c>
      <c r="C173" t="inlineStr">
        <is>
          <t>Day</t>
        </is>
      </c>
      <c r="D173" t="inlineStr">
        <is>
          <t>OPC</t>
        </is>
      </c>
      <c r="E173" s="6" t="n">
        <v>1123</v>
      </c>
      <c r="F173" s="6" t="n">
        <v>1155.1</v>
      </c>
      <c r="G173" s="6" t="n">
        <v>0.15</v>
      </c>
      <c r="H173" t="inlineStr">
        <is>
          <t>No Downtime</t>
        </is>
      </c>
      <c r="I173" s="6" t="n">
        <v>1763.6</v>
      </c>
      <c r="J173" s="6" t="n">
        <v>96179.5</v>
      </c>
      <c r="K173" t="n">
        <v>1</v>
      </c>
      <c r="L173" t="n">
        <v>12</v>
      </c>
      <c r="M173" s="7">
        <f>F173/E173</f>
        <v/>
      </c>
      <c r="N173" s="7">
        <f>F173/(E173+G173*45)</f>
        <v/>
      </c>
      <c r="O173" s="6">
        <f>I173/F173</f>
        <v/>
      </c>
      <c r="P173" s="6">
        <f>J173/F173</f>
        <v/>
      </c>
      <c r="Q173" s="7">
        <f>IFERROR(K173/F173,0)</f>
        <v/>
      </c>
      <c r="R173">
        <f>IF(M173&gt;=1,"On Target",IF(M173&gt;=0.9,"Watch","Below Target"))</f>
        <v/>
      </c>
    </row>
    <row r="174">
      <c r="A174" t="n">
        <v>170</v>
      </c>
      <c r="B174" s="5" t="n">
        <v>46079</v>
      </c>
      <c r="C174" t="inlineStr">
        <is>
          <t>Evening</t>
        </is>
      </c>
      <c r="D174" t="inlineStr">
        <is>
          <t>PPC</t>
        </is>
      </c>
      <c r="E174" s="6" t="n">
        <v>1028</v>
      </c>
      <c r="F174" s="6" t="n">
        <v>954.8</v>
      </c>
      <c r="G174" s="6" t="n">
        <v>2.83</v>
      </c>
      <c r="H174" t="inlineStr">
        <is>
          <t>Mechanical Failure</t>
        </is>
      </c>
      <c r="I174" s="6" t="n">
        <v>1450.6</v>
      </c>
      <c r="J174" s="6" t="n">
        <v>77133</v>
      </c>
      <c r="K174" t="n">
        <v>2</v>
      </c>
      <c r="L174" t="n">
        <v>9</v>
      </c>
      <c r="M174" s="7">
        <f>F174/E174</f>
        <v/>
      </c>
      <c r="N174" s="7">
        <f>F174/(E174+G174*45)</f>
        <v/>
      </c>
      <c r="O174" s="6">
        <f>I174/F174</f>
        <v/>
      </c>
      <c r="P174" s="6">
        <f>J174/F174</f>
        <v/>
      </c>
      <c r="Q174" s="7">
        <f>IFERROR(K174/F174,0)</f>
        <v/>
      </c>
      <c r="R174">
        <f>IF(M174&gt;=1,"On Target",IF(M174&gt;=0.9,"Watch","Below Target"))</f>
        <v/>
      </c>
    </row>
    <row r="175">
      <c r="A175" t="n">
        <v>171</v>
      </c>
      <c r="B175" s="5" t="n">
        <v>46079</v>
      </c>
      <c r="C175" t="inlineStr">
        <is>
          <t>Night</t>
        </is>
      </c>
      <c r="D175" t="inlineStr">
        <is>
          <t>PPC</t>
        </is>
      </c>
      <c r="E175" s="6" t="n">
        <v>1050</v>
      </c>
      <c r="F175" s="6" t="n">
        <v>784.6</v>
      </c>
      <c r="G175" s="6" t="n">
        <v>5.12</v>
      </c>
      <c r="H175" t="inlineStr">
        <is>
          <t>Planned Maintenance</t>
        </is>
      </c>
      <c r="I175" s="6" t="n">
        <v>1212.7</v>
      </c>
      <c r="J175" s="6" t="n">
        <v>62297.9</v>
      </c>
      <c r="K175" t="n">
        <v>0</v>
      </c>
      <c r="L175" t="n">
        <v>9</v>
      </c>
      <c r="M175" s="7">
        <f>F175/E175</f>
        <v/>
      </c>
      <c r="N175" s="7">
        <f>F175/(E175+G175*45)</f>
        <v/>
      </c>
      <c r="O175" s="6">
        <f>I175/F175</f>
        <v/>
      </c>
      <c r="P175" s="6">
        <f>J175/F175</f>
        <v/>
      </c>
      <c r="Q175" s="7">
        <f>IFERROR(K175/F175,0)</f>
        <v/>
      </c>
      <c r="R175">
        <f>IF(M175&gt;=1,"On Target",IF(M175&gt;=0.9,"Watch","Below Target"))</f>
        <v/>
      </c>
    </row>
    <row r="176">
      <c r="A176" t="n">
        <v>172</v>
      </c>
      <c r="B176" s="5" t="n">
        <v>46080</v>
      </c>
      <c r="C176" t="inlineStr">
        <is>
          <t>Day</t>
        </is>
      </c>
      <c r="D176" t="inlineStr">
        <is>
          <t>OPC</t>
        </is>
      </c>
      <c r="E176" s="6" t="n">
        <v>1159</v>
      </c>
      <c r="F176" s="6" t="n">
        <v>1083.5</v>
      </c>
      <c r="G176" s="6" t="n">
        <v>2.71</v>
      </c>
      <c r="H176" t="inlineStr">
        <is>
          <t>Electrical Failure</t>
        </is>
      </c>
      <c r="I176" s="6" t="n">
        <v>1712.2</v>
      </c>
      <c r="J176" s="6" t="n">
        <v>88480.89999999999</v>
      </c>
      <c r="K176" t="n">
        <v>1</v>
      </c>
      <c r="L176" t="n">
        <v>9</v>
      </c>
      <c r="M176" s="7">
        <f>F176/E176</f>
        <v/>
      </c>
      <c r="N176" s="7">
        <f>F176/(E176+G176*45)</f>
        <v/>
      </c>
      <c r="O176" s="6">
        <f>I176/F176</f>
        <v/>
      </c>
      <c r="P176" s="6">
        <f>J176/F176</f>
        <v/>
      </c>
      <c r="Q176" s="7">
        <f>IFERROR(K176/F176,0)</f>
        <v/>
      </c>
      <c r="R176">
        <f>IF(M176&gt;=1,"On Target",IF(M176&gt;=0.9,"Watch","Below Target"))</f>
        <v/>
      </c>
    </row>
    <row r="177">
      <c r="A177" t="n">
        <v>173</v>
      </c>
      <c r="B177" s="5" t="n">
        <v>46080</v>
      </c>
      <c r="C177" t="inlineStr">
        <is>
          <t>Evening</t>
        </is>
      </c>
      <c r="D177" t="inlineStr">
        <is>
          <t>SRC</t>
        </is>
      </c>
      <c r="E177" s="6" t="n">
        <v>1004</v>
      </c>
      <c r="F177" s="6" t="n">
        <v>968</v>
      </c>
      <c r="G177" s="6" t="n">
        <v>0.3</v>
      </c>
      <c r="H177" t="inlineStr">
        <is>
          <t>Raw Material Shortage</t>
        </is>
      </c>
      <c r="I177" s="6" t="n">
        <v>1459.5</v>
      </c>
      <c r="J177" s="6" t="n">
        <v>77997.2</v>
      </c>
      <c r="K177" t="n">
        <v>5</v>
      </c>
      <c r="L177" t="n">
        <v>10</v>
      </c>
      <c r="M177" s="7">
        <f>F177/E177</f>
        <v/>
      </c>
      <c r="N177" s="7">
        <f>F177/(E177+G177*45)</f>
        <v/>
      </c>
      <c r="O177" s="6">
        <f>I177/F177</f>
        <v/>
      </c>
      <c r="P177" s="6">
        <f>J177/F177</f>
        <v/>
      </c>
      <c r="Q177" s="7">
        <f>IFERROR(K177/F177,0)</f>
        <v/>
      </c>
      <c r="R177">
        <f>IF(M177&gt;=1,"On Target",IF(M177&gt;=0.9,"Watch","Below Target"))</f>
        <v/>
      </c>
    </row>
    <row r="178">
      <c r="A178" t="n">
        <v>174</v>
      </c>
      <c r="B178" s="5" t="n">
        <v>46080</v>
      </c>
      <c r="C178" t="inlineStr">
        <is>
          <t>Night</t>
        </is>
      </c>
      <c r="D178" t="inlineStr">
        <is>
          <t>OPC</t>
        </is>
      </c>
      <c r="E178" s="6" t="n">
        <v>1154</v>
      </c>
      <c r="F178" s="6" t="n">
        <v>973.6</v>
      </c>
      <c r="G178" s="6" t="n">
        <v>0.13</v>
      </c>
      <c r="H178" t="inlineStr">
        <is>
          <t>No Downtime</t>
        </is>
      </c>
      <c r="I178" s="6" t="n">
        <v>1510.7</v>
      </c>
      <c r="J178" s="6" t="n">
        <v>78993.89999999999</v>
      </c>
      <c r="K178" t="n">
        <v>0</v>
      </c>
      <c r="L178" t="n">
        <v>11</v>
      </c>
      <c r="M178" s="7">
        <f>F178/E178</f>
        <v/>
      </c>
      <c r="N178" s="7">
        <f>F178/(E178+G178*45)</f>
        <v/>
      </c>
      <c r="O178" s="6">
        <f>I178/F178</f>
        <v/>
      </c>
      <c r="P178" s="6">
        <f>J178/F178</f>
        <v/>
      </c>
      <c r="Q178" s="7">
        <f>IFERROR(K178/F178,0)</f>
        <v/>
      </c>
      <c r="R178">
        <f>IF(M178&gt;=1,"On Target",IF(M178&gt;=0.9,"Watch","Below Target"))</f>
        <v/>
      </c>
    </row>
    <row r="179">
      <c r="A179" t="n">
        <v>175</v>
      </c>
      <c r="B179" s="5" t="n">
        <v>46081</v>
      </c>
      <c r="C179" t="inlineStr">
        <is>
          <t>Day</t>
        </is>
      </c>
      <c r="D179" t="inlineStr">
        <is>
          <t>PPC</t>
        </is>
      </c>
      <c r="E179" s="6" t="n">
        <v>1036</v>
      </c>
      <c r="F179" s="6" t="n">
        <v>1024.3</v>
      </c>
      <c r="G179" s="6" t="n">
        <v>0.17</v>
      </c>
      <c r="H179" t="inlineStr">
        <is>
          <t>No Downtime</t>
        </is>
      </c>
      <c r="I179" s="6" t="n">
        <v>1506.5</v>
      </c>
      <c r="J179" s="6" t="n">
        <v>83653.60000000001</v>
      </c>
      <c r="K179" t="n">
        <v>2</v>
      </c>
      <c r="L179" t="n">
        <v>11</v>
      </c>
      <c r="M179" s="7">
        <f>F179/E179</f>
        <v/>
      </c>
      <c r="N179" s="7">
        <f>F179/(E179+G179*45)</f>
        <v/>
      </c>
      <c r="O179" s="6">
        <f>I179/F179</f>
        <v/>
      </c>
      <c r="P179" s="6">
        <f>J179/F179</f>
        <v/>
      </c>
      <c r="Q179" s="7">
        <f>IFERROR(K179/F179,0)</f>
        <v/>
      </c>
      <c r="R179">
        <f>IF(M179&gt;=1,"On Target",IF(M179&gt;=0.9,"Watch","Below Target"))</f>
        <v/>
      </c>
    </row>
    <row r="180">
      <c r="A180" t="n">
        <v>176</v>
      </c>
      <c r="B180" s="5" t="n">
        <v>46081</v>
      </c>
      <c r="C180" t="inlineStr">
        <is>
          <t>Evening</t>
        </is>
      </c>
      <c r="D180" t="inlineStr">
        <is>
          <t>PPC</t>
        </is>
      </c>
      <c r="E180" s="6" t="n">
        <v>1058</v>
      </c>
      <c r="F180" s="6" t="n">
        <v>851.5</v>
      </c>
      <c r="G180" s="6" t="n">
        <v>3.79</v>
      </c>
      <c r="H180" t="inlineStr">
        <is>
          <t>Planned Maintenance</t>
        </is>
      </c>
      <c r="I180" s="6" t="n">
        <v>1305.6</v>
      </c>
      <c r="J180" s="6" t="n">
        <v>69210.89999999999</v>
      </c>
      <c r="K180" t="n">
        <v>1</v>
      </c>
      <c r="L180" t="n">
        <v>7</v>
      </c>
      <c r="M180" s="7">
        <f>F180/E180</f>
        <v/>
      </c>
      <c r="N180" s="7">
        <f>F180/(E180+G180*45)</f>
        <v/>
      </c>
      <c r="O180" s="6">
        <f>I180/F180</f>
        <v/>
      </c>
      <c r="P180" s="6">
        <f>J180/F180</f>
        <v/>
      </c>
      <c r="Q180" s="7">
        <f>IFERROR(K180/F180,0)</f>
        <v/>
      </c>
      <c r="R180">
        <f>IF(M180&gt;=1,"On Target",IF(M180&gt;=0.9,"Watch","Below Target"))</f>
        <v/>
      </c>
    </row>
    <row r="181">
      <c r="A181" t="n">
        <v>177</v>
      </c>
      <c r="B181" s="5" t="n">
        <v>46081</v>
      </c>
      <c r="C181" t="inlineStr">
        <is>
          <t>Night</t>
        </is>
      </c>
      <c r="D181" t="inlineStr">
        <is>
          <t>SRC</t>
        </is>
      </c>
      <c r="E181" s="6" t="n">
        <v>960</v>
      </c>
      <c r="F181" s="6" t="n">
        <v>792</v>
      </c>
      <c r="G181" s="6" t="n">
        <v>0.25</v>
      </c>
      <c r="H181" t="inlineStr">
        <is>
          <t>No Downtime</t>
        </is>
      </c>
      <c r="I181" s="6" t="n">
        <v>1192.7</v>
      </c>
      <c r="J181" s="6" t="n">
        <v>62873</v>
      </c>
      <c r="K181" t="n">
        <v>2</v>
      </c>
      <c r="L181" t="n">
        <v>11</v>
      </c>
      <c r="M181" s="7">
        <f>F181/E181</f>
        <v/>
      </c>
      <c r="N181" s="7">
        <f>F181/(E181+G181*45)</f>
        <v/>
      </c>
      <c r="O181" s="6">
        <f>I181/F181</f>
        <v/>
      </c>
      <c r="P181" s="6">
        <f>J181/F181</f>
        <v/>
      </c>
      <c r="Q181" s="7">
        <f>IFERROR(K181/F181,0)</f>
        <v/>
      </c>
      <c r="R181">
        <f>IF(M181&gt;=1,"On Target",IF(M181&gt;=0.9,"Watch","Below Target"))</f>
        <v/>
      </c>
    </row>
    <row r="182">
      <c r="A182" t="n">
        <v>178</v>
      </c>
      <c r="B182" s="5" t="n">
        <v>46082</v>
      </c>
      <c r="C182" t="inlineStr">
        <is>
          <t>Day</t>
        </is>
      </c>
      <c r="D182" t="inlineStr">
        <is>
          <t>PPC</t>
        </is>
      </c>
      <c r="E182" s="6" t="n">
        <v>1021</v>
      </c>
      <c r="F182" s="6" t="n">
        <v>1057.5</v>
      </c>
      <c r="G182" s="6" t="n">
        <v>0.48</v>
      </c>
      <c r="H182" t="inlineStr">
        <is>
          <t>No Downtime</t>
        </is>
      </c>
      <c r="I182" s="6" t="n">
        <v>1632.9</v>
      </c>
      <c r="J182" s="6" t="n">
        <v>88490.2</v>
      </c>
      <c r="K182" t="n">
        <v>0</v>
      </c>
      <c r="L182" t="n">
        <v>12</v>
      </c>
      <c r="M182" s="7">
        <f>F182/E182</f>
        <v/>
      </c>
      <c r="N182" s="7">
        <f>F182/(E182+G182*45)</f>
        <v/>
      </c>
      <c r="O182" s="6">
        <f>I182/F182</f>
        <v/>
      </c>
      <c r="P182" s="6">
        <f>J182/F182</f>
        <v/>
      </c>
      <c r="Q182" s="7">
        <f>IFERROR(K182/F182,0)</f>
        <v/>
      </c>
      <c r="R182">
        <f>IF(M182&gt;=1,"On Target",IF(M182&gt;=0.9,"Watch","Below Target"))</f>
        <v/>
      </c>
    </row>
    <row r="183">
      <c r="A183" t="n">
        <v>179</v>
      </c>
      <c r="B183" s="5" t="n">
        <v>46082</v>
      </c>
      <c r="C183" t="inlineStr">
        <is>
          <t>Evening</t>
        </is>
      </c>
      <c r="D183" t="inlineStr">
        <is>
          <t>OPC</t>
        </is>
      </c>
      <c r="E183" s="6" t="n">
        <v>1158</v>
      </c>
      <c r="F183" s="6" t="n">
        <v>1000.4</v>
      </c>
      <c r="G183" s="6" t="n">
        <v>3.61</v>
      </c>
      <c r="H183" t="inlineStr">
        <is>
          <t>Mechanical Failure</t>
        </is>
      </c>
      <c r="I183" s="6" t="n">
        <v>1445.3</v>
      </c>
      <c r="J183" s="6" t="n">
        <v>79158</v>
      </c>
      <c r="K183" t="n">
        <v>2</v>
      </c>
      <c r="L183" t="n">
        <v>7</v>
      </c>
      <c r="M183" s="7">
        <f>F183/E183</f>
        <v/>
      </c>
      <c r="N183" s="7">
        <f>F183/(E183+G183*45)</f>
        <v/>
      </c>
      <c r="O183" s="6">
        <f>I183/F183</f>
        <v/>
      </c>
      <c r="P183" s="6">
        <f>J183/F183</f>
        <v/>
      </c>
      <c r="Q183" s="7">
        <f>IFERROR(K183/F183,0)</f>
        <v/>
      </c>
      <c r="R183">
        <f>IF(M183&gt;=1,"On Target",IF(M183&gt;=0.9,"Watch","Below Target"))</f>
        <v/>
      </c>
    </row>
    <row r="184">
      <c r="A184" t="n">
        <v>180</v>
      </c>
      <c r="B184" s="5" t="n">
        <v>46082</v>
      </c>
      <c r="C184" t="inlineStr">
        <is>
          <t>Night</t>
        </is>
      </c>
      <c r="D184" t="inlineStr">
        <is>
          <t>OPC</t>
        </is>
      </c>
      <c r="E184" s="6" t="n">
        <v>1124</v>
      </c>
      <c r="F184" s="6" t="n">
        <v>900.4</v>
      </c>
      <c r="G184" s="6" t="n">
        <v>4.26</v>
      </c>
      <c r="H184" t="inlineStr">
        <is>
          <t>Planned Maintenance</t>
        </is>
      </c>
      <c r="I184" s="6" t="n">
        <v>1376</v>
      </c>
      <c r="J184" s="6" t="n">
        <v>77124.5</v>
      </c>
      <c r="K184" t="n">
        <v>2</v>
      </c>
      <c r="L184" t="n">
        <v>10</v>
      </c>
      <c r="M184" s="7">
        <f>F184/E184</f>
        <v/>
      </c>
      <c r="N184" s="7">
        <f>F184/(E184+G184*45)</f>
        <v/>
      </c>
      <c r="O184" s="6">
        <f>I184/F184</f>
        <v/>
      </c>
      <c r="P184" s="6">
        <f>J184/F184</f>
        <v/>
      </c>
      <c r="Q184" s="7">
        <f>IFERROR(K184/F184,0)</f>
        <v/>
      </c>
      <c r="R184">
        <f>IF(M184&gt;=1,"On Target",IF(M184&gt;=0.9,"Watch","Below Target"))</f>
        <v/>
      </c>
    </row>
    <row r="185">
      <c r="A185" t="n">
        <v>181</v>
      </c>
      <c r="B185" s="5" t="n">
        <v>46083</v>
      </c>
      <c r="C185" t="inlineStr">
        <is>
          <t>Day</t>
        </is>
      </c>
      <c r="D185" t="inlineStr">
        <is>
          <t>OPC</t>
        </is>
      </c>
      <c r="E185" s="6" t="n">
        <v>1179</v>
      </c>
      <c r="F185" s="6" t="n">
        <v>1093.5</v>
      </c>
      <c r="G185" s="6" t="n">
        <v>1.56</v>
      </c>
      <c r="H185" t="inlineStr">
        <is>
          <t>Mechanical Failure</t>
        </is>
      </c>
      <c r="I185" s="6" t="n">
        <v>1597.1</v>
      </c>
      <c r="J185" s="6" t="n">
        <v>86840</v>
      </c>
      <c r="K185" t="n">
        <v>2</v>
      </c>
      <c r="L185" t="n">
        <v>11</v>
      </c>
      <c r="M185" s="7">
        <f>F185/E185</f>
        <v/>
      </c>
      <c r="N185" s="7">
        <f>F185/(E185+G185*45)</f>
        <v/>
      </c>
      <c r="O185" s="6">
        <f>I185/F185</f>
        <v/>
      </c>
      <c r="P185" s="6">
        <f>J185/F185</f>
        <v/>
      </c>
      <c r="Q185" s="7">
        <f>IFERROR(K185/F185,0)</f>
        <v/>
      </c>
      <c r="R185">
        <f>IF(M185&gt;=1,"On Target",IF(M185&gt;=0.9,"Watch","Below Target"))</f>
        <v/>
      </c>
    </row>
    <row r="186">
      <c r="A186" t="n">
        <v>182</v>
      </c>
      <c r="B186" s="5" t="n">
        <v>46083</v>
      </c>
      <c r="C186" t="inlineStr">
        <is>
          <t>Evening</t>
        </is>
      </c>
      <c r="D186" t="inlineStr">
        <is>
          <t>SRC</t>
        </is>
      </c>
      <c r="E186" s="6" t="n">
        <v>964</v>
      </c>
      <c r="F186" s="6" t="n">
        <v>974.5</v>
      </c>
      <c r="G186" s="6" t="n">
        <v>0.35</v>
      </c>
      <c r="H186" t="inlineStr">
        <is>
          <t>No Downtime</t>
        </is>
      </c>
      <c r="I186" s="6" t="n">
        <v>1544</v>
      </c>
      <c r="J186" s="6" t="n">
        <v>77005.10000000001</v>
      </c>
      <c r="K186" t="n">
        <v>3</v>
      </c>
      <c r="L186" t="n">
        <v>8</v>
      </c>
      <c r="M186" s="7">
        <f>F186/E186</f>
        <v/>
      </c>
      <c r="N186" s="7">
        <f>F186/(E186+G186*45)</f>
        <v/>
      </c>
      <c r="O186" s="6">
        <f>I186/F186</f>
        <v/>
      </c>
      <c r="P186" s="6">
        <f>J186/F186</f>
        <v/>
      </c>
      <c r="Q186" s="7">
        <f>IFERROR(K186/F186,0)</f>
        <v/>
      </c>
      <c r="R186">
        <f>IF(M186&gt;=1,"On Target",IF(M186&gt;=0.9,"Watch","Below Target"))</f>
        <v/>
      </c>
    </row>
    <row r="187">
      <c r="A187" t="n">
        <v>183</v>
      </c>
      <c r="B187" s="5" t="n">
        <v>46083</v>
      </c>
      <c r="C187" t="inlineStr">
        <is>
          <t>Night</t>
        </is>
      </c>
      <c r="D187" t="inlineStr">
        <is>
          <t>OPC</t>
        </is>
      </c>
      <c r="E187" s="6" t="n">
        <v>1176</v>
      </c>
      <c r="F187" s="6" t="n">
        <v>894.5</v>
      </c>
      <c r="G187" s="6" t="n">
        <v>3.3</v>
      </c>
      <c r="H187" t="inlineStr">
        <is>
          <t>Planned Maintenance</t>
        </is>
      </c>
      <c r="I187" s="6" t="n">
        <v>1409.3</v>
      </c>
      <c r="J187" s="6" t="n">
        <v>76140.10000000001</v>
      </c>
      <c r="K187" t="n">
        <v>2</v>
      </c>
      <c r="L187" t="n">
        <v>11</v>
      </c>
      <c r="M187" s="7">
        <f>F187/E187</f>
        <v/>
      </c>
      <c r="N187" s="7">
        <f>F187/(E187+G187*45)</f>
        <v/>
      </c>
      <c r="O187" s="6">
        <f>I187/F187</f>
        <v/>
      </c>
      <c r="P187" s="6">
        <f>J187/F187</f>
        <v/>
      </c>
      <c r="Q187" s="7">
        <f>IFERROR(K187/F187,0)</f>
        <v/>
      </c>
      <c r="R187">
        <f>IF(M187&gt;=1,"On Target",IF(M187&gt;=0.9,"Watch","Below Target"))</f>
        <v/>
      </c>
    </row>
    <row r="188">
      <c r="A188" t="n">
        <v>184</v>
      </c>
      <c r="B188" s="5" t="n">
        <v>46084</v>
      </c>
      <c r="C188" t="inlineStr">
        <is>
          <t>Day</t>
        </is>
      </c>
      <c r="D188" t="inlineStr">
        <is>
          <t>PPC</t>
        </is>
      </c>
      <c r="E188" s="6" t="n">
        <v>1046</v>
      </c>
      <c r="F188" s="6" t="n">
        <v>1022.6</v>
      </c>
      <c r="G188" s="6" t="n">
        <v>1.64</v>
      </c>
      <c r="H188" t="inlineStr">
        <is>
          <t>Mechanical Failure</t>
        </is>
      </c>
      <c r="I188" s="6" t="n">
        <v>1601.2</v>
      </c>
      <c r="J188" s="6" t="n">
        <v>89558.5</v>
      </c>
      <c r="K188" t="n">
        <v>1</v>
      </c>
      <c r="L188" t="n">
        <v>12</v>
      </c>
      <c r="M188" s="7">
        <f>F188/E188</f>
        <v/>
      </c>
      <c r="N188" s="7">
        <f>F188/(E188+G188*45)</f>
        <v/>
      </c>
      <c r="O188" s="6">
        <f>I188/F188</f>
        <v/>
      </c>
      <c r="P188" s="6">
        <f>J188/F188</f>
        <v/>
      </c>
      <c r="Q188" s="7">
        <f>IFERROR(K188/F188,0)</f>
        <v/>
      </c>
      <c r="R188">
        <f>IF(M188&gt;=1,"On Target",IF(M188&gt;=0.9,"Watch","Below Target"))</f>
        <v/>
      </c>
    </row>
    <row r="189">
      <c r="A189" t="n">
        <v>185</v>
      </c>
      <c r="B189" s="5" t="n">
        <v>46084</v>
      </c>
      <c r="C189" t="inlineStr">
        <is>
          <t>Evening</t>
        </is>
      </c>
      <c r="D189" t="inlineStr">
        <is>
          <t>PPC</t>
        </is>
      </c>
      <c r="E189" s="6" t="n">
        <v>1047</v>
      </c>
      <c r="F189" s="6" t="n">
        <v>1057.5</v>
      </c>
      <c r="G189" s="6" t="n">
        <v>0.29</v>
      </c>
      <c r="H189" t="inlineStr">
        <is>
          <t>No Downtime</t>
        </is>
      </c>
      <c r="I189" s="6" t="n">
        <v>1572.7</v>
      </c>
      <c r="J189" s="6" t="n">
        <v>87315.89999999999</v>
      </c>
      <c r="K189" t="n">
        <v>2</v>
      </c>
      <c r="L189" t="n">
        <v>9</v>
      </c>
      <c r="M189" s="7">
        <f>F189/E189</f>
        <v/>
      </c>
      <c r="N189" s="7">
        <f>F189/(E189+G189*45)</f>
        <v/>
      </c>
      <c r="O189" s="6">
        <f>I189/F189</f>
        <v/>
      </c>
      <c r="P189" s="6">
        <f>J189/F189</f>
        <v/>
      </c>
      <c r="Q189" s="7">
        <f>IFERROR(K189/F189,0)</f>
        <v/>
      </c>
      <c r="R189">
        <f>IF(M189&gt;=1,"On Target",IF(M189&gt;=0.9,"Watch","Below Target"))</f>
        <v/>
      </c>
    </row>
    <row r="190">
      <c r="A190" t="n">
        <v>186</v>
      </c>
      <c r="B190" s="5" t="n">
        <v>46084</v>
      </c>
      <c r="C190" t="inlineStr">
        <is>
          <t>Night</t>
        </is>
      </c>
      <c r="D190" t="inlineStr">
        <is>
          <t>PPC</t>
        </is>
      </c>
      <c r="E190" s="6" t="n">
        <v>1054</v>
      </c>
      <c r="F190" s="6" t="n">
        <v>809.9</v>
      </c>
      <c r="G190" s="6" t="n">
        <v>3.63</v>
      </c>
      <c r="H190" t="inlineStr">
        <is>
          <t>Mechanical Failure</t>
        </is>
      </c>
      <c r="I190" s="6" t="n">
        <v>1223.7</v>
      </c>
      <c r="J190" s="6" t="n">
        <v>71588.10000000001</v>
      </c>
      <c r="K190" t="n">
        <v>2</v>
      </c>
      <c r="L190" t="n">
        <v>8</v>
      </c>
      <c r="M190" s="7">
        <f>F190/E190</f>
        <v/>
      </c>
      <c r="N190" s="7">
        <f>F190/(E190+G190*45)</f>
        <v/>
      </c>
      <c r="O190" s="6">
        <f>I190/F190</f>
        <v/>
      </c>
      <c r="P190" s="6">
        <f>J190/F190</f>
        <v/>
      </c>
      <c r="Q190" s="7">
        <f>IFERROR(K190/F190,0)</f>
        <v/>
      </c>
      <c r="R190">
        <f>IF(M190&gt;=1,"On Target",IF(M190&gt;=0.9,"Watch","Below Target"))</f>
        <v/>
      </c>
    </row>
    <row r="191">
      <c r="A191" t="n">
        <v>187</v>
      </c>
      <c r="B191" s="5" t="n">
        <v>46085</v>
      </c>
      <c r="C191" t="inlineStr">
        <is>
          <t>Day</t>
        </is>
      </c>
      <c r="D191" t="inlineStr">
        <is>
          <t>OPC</t>
        </is>
      </c>
      <c r="E191" s="6" t="n">
        <v>1144</v>
      </c>
      <c r="F191" s="6" t="n">
        <v>1179.2</v>
      </c>
      <c r="G191" s="6" t="n">
        <v>0.49</v>
      </c>
      <c r="H191" t="inlineStr">
        <is>
          <t>No Downtime</t>
        </is>
      </c>
      <c r="I191" s="6" t="n">
        <v>1728.8</v>
      </c>
      <c r="J191" s="6" t="n">
        <v>89680.3</v>
      </c>
      <c r="K191" t="n">
        <v>2</v>
      </c>
      <c r="L191" t="n">
        <v>7</v>
      </c>
      <c r="M191" s="7">
        <f>F191/E191</f>
        <v/>
      </c>
      <c r="N191" s="7">
        <f>F191/(E191+G191*45)</f>
        <v/>
      </c>
      <c r="O191" s="6">
        <f>I191/F191</f>
        <v/>
      </c>
      <c r="P191" s="6">
        <f>J191/F191</f>
        <v/>
      </c>
      <c r="Q191" s="7">
        <f>IFERROR(K191/F191,0)</f>
        <v/>
      </c>
      <c r="R191">
        <f>IF(M191&gt;=1,"On Target",IF(M191&gt;=0.9,"Watch","Below Target"))</f>
        <v/>
      </c>
    </row>
    <row r="192">
      <c r="A192" t="n">
        <v>188</v>
      </c>
      <c r="B192" s="5" t="n">
        <v>46085</v>
      </c>
      <c r="C192" t="inlineStr">
        <is>
          <t>Evening</t>
        </is>
      </c>
      <c r="D192" t="inlineStr">
        <is>
          <t>PPC</t>
        </is>
      </c>
      <c r="E192" s="6" t="n">
        <v>1062</v>
      </c>
      <c r="F192" s="6" t="n">
        <v>959.5</v>
      </c>
      <c r="G192" s="6" t="n">
        <v>2.93</v>
      </c>
      <c r="H192" t="inlineStr">
        <is>
          <t>Electrical Failure</t>
        </is>
      </c>
      <c r="I192" s="6" t="n">
        <v>1416.1</v>
      </c>
      <c r="J192" s="6" t="n">
        <v>75358.5</v>
      </c>
      <c r="K192" t="n">
        <v>4</v>
      </c>
      <c r="L192" t="n">
        <v>9</v>
      </c>
      <c r="M192" s="7">
        <f>F192/E192</f>
        <v/>
      </c>
      <c r="N192" s="7">
        <f>F192/(E192+G192*45)</f>
        <v/>
      </c>
      <c r="O192" s="6">
        <f>I192/F192</f>
        <v/>
      </c>
      <c r="P192" s="6">
        <f>J192/F192</f>
        <v/>
      </c>
      <c r="Q192" s="7">
        <f>IFERROR(K192/F192,0)</f>
        <v/>
      </c>
      <c r="R192">
        <f>IF(M192&gt;=1,"On Target",IF(M192&gt;=0.9,"Watch","Below Target"))</f>
        <v/>
      </c>
    </row>
    <row r="193">
      <c r="A193" t="n">
        <v>189</v>
      </c>
      <c r="B193" s="5" t="n">
        <v>46085</v>
      </c>
      <c r="C193" t="inlineStr">
        <is>
          <t>Night</t>
        </is>
      </c>
      <c r="D193" t="inlineStr">
        <is>
          <t>OPC</t>
        </is>
      </c>
      <c r="E193" s="6" t="n">
        <v>1120</v>
      </c>
      <c r="F193" s="6" t="n">
        <v>987.2</v>
      </c>
      <c r="G193" s="6" t="n">
        <v>0.15</v>
      </c>
      <c r="H193" t="inlineStr">
        <is>
          <t>No Downtime</t>
        </is>
      </c>
      <c r="I193" s="6" t="n">
        <v>1537.3</v>
      </c>
      <c r="J193" s="6" t="n">
        <v>78443.89999999999</v>
      </c>
      <c r="K193" t="n">
        <v>2</v>
      </c>
      <c r="L193" t="n">
        <v>11</v>
      </c>
      <c r="M193" s="7">
        <f>F193/E193</f>
        <v/>
      </c>
      <c r="N193" s="7">
        <f>F193/(E193+G193*45)</f>
        <v/>
      </c>
      <c r="O193" s="6">
        <f>I193/F193</f>
        <v/>
      </c>
      <c r="P193" s="6">
        <f>J193/F193</f>
        <v/>
      </c>
      <c r="Q193" s="7">
        <f>IFERROR(K193/F193,0)</f>
        <v/>
      </c>
      <c r="R193">
        <f>IF(M193&gt;=1,"On Target",IF(M193&gt;=0.9,"Watch","Below Target"))</f>
        <v/>
      </c>
    </row>
    <row r="194">
      <c r="A194" t="n">
        <v>190</v>
      </c>
      <c r="B194" s="5" t="n">
        <v>46086</v>
      </c>
      <c r="C194" t="inlineStr">
        <is>
          <t>Day</t>
        </is>
      </c>
      <c r="D194" t="inlineStr">
        <is>
          <t>PPC</t>
        </is>
      </c>
      <c r="E194" s="6" t="n">
        <v>1045</v>
      </c>
      <c r="F194" s="6" t="n">
        <v>899.7</v>
      </c>
      <c r="G194" s="6" t="n">
        <v>5.03</v>
      </c>
      <c r="H194" t="inlineStr">
        <is>
          <t>Raw Material Shortage</t>
        </is>
      </c>
      <c r="I194" s="6" t="n">
        <v>1350.3</v>
      </c>
      <c r="J194" s="6" t="n">
        <v>73595</v>
      </c>
      <c r="K194" t="n">
        <v>2</v>
      </c>
      <c r="L194" t="n">
        <v>10</v>
      </c>
      <c r="M194" s="7">
        <f>F194/E194</f>
        <v/>
      </c>
      <c r="N194" s="7">
        <f>F194/(E194+G194*45)</f>
        <v/>
      </c>
      <c r="O194" s="6">
        <f>I194/F194</f>
        <v/>
      </c>
      <c r="P194" s="6">
        <f>J194/F194</f>
        <v/>
      </c>
      <c r="Q194" s="7">
        <f>IFERROR(K194/F194,0)</f>
        <v/>
      </c>
      <c r="R194">
        <f>IF(M194&gt;=1,"On Target",IF(M194&gt;=0.9,"Watch","Below Target"))</f>
        <v/>
      </c>
    </row>
    <row r="195">
      <c r="A195" t="n">
        <v>191</v>
      </c>
      <c r="B195" s="5" t="n">
        <v>46086</v>
      </c>
      <c r="C195" t="inlineStr">
        <is>
          <t>Evening</t>
        </is>
      </c>
      <c r="D195" t="inlineStr">
        <is>
          <t>PPC</t>
        </is>
      </c>
      <c r="E195" s="6" t="n">
        <v>1021</v>
      </c>
      <c r="F195" s="6" t="n">
        <v>991.4</v>
      </c>
      <c r="G195" s="6" t="n">
        <v>0.25</v>
      </c>
      <c r="H195" t="inlineStr">
        <is>
          <t>No Downtime</t>
        </is>
      </c>
      <c r="I195" s="6" t="n">
        <v>1504</v>
      </c>
      <c r="J195" s="6" t="n">
        <v>73659.89999999999</v>
      </c>
      <c r="K195" t="n">
        <v>5</v>
      </c>
      <c r="L195" t="n">
        <v>7</v>
      </c>
      <c r="M195" s="7">
        <f>F195/E195</f>
        <v/>
      </c>
      <c r="N195" s="7">
        <f>F195/(E195+G195*45)</f>
        <v/>
      </c>
      <c r="O195" s="6">
        <f>I195/F195</f>
        <v/>
      </c>
      <c r="P195" s="6">
        <f>J195/F195</f>
        <v/>
      </c>
      <c r="Q195" s="7">
        <f>IFERROR(K195/F195,0)</f>
        <v/>
      </c>
      <c r="R195">
        <f>IF(M195&gt;=1,"On Target",IF(M195&gt;=0.9,"Watch","Below Target"))</f>
        <v/>
      </c>
    </row>
    <row r="196">
      <c r="A196" t="n">
        <v>192</v>
      </c>
      <c r="B196" s="5" t="n">
        <v>46086</v>
      </c>
      <c r="C196" t="inlineStr">
        <is>
          <t>Night</t>
        </is>
      </c>
      <c r="D196" t="inlineStr">
        <is>
          <t>SRC</t>
        </is>
      </c>
      <c r="E196" s="6" t="n">
        <v>1017</v>
      </c>
      <c r="F196" s="6" t="n">
        <v>707.6</v>
      </c>
      <c r="G196" s="6" t="n">
        <v>4.07</v>
      </c>
      <c r="H196" t="inlineStr">
        <is>
          <t>Planned Maintenance</t>
        </is>
      </c>
      <c r="I196" s="6" t="n">
        <v>1072.9</v>
      </c>
      <c r="J196" s="6" t="n">
        <v>61956.4</v>
      </c>
      <c r="K196" t="n">
        <v>1</v>
      </c>
      <c r="L196" t="n">
        <v>11</v>
      </c>
      <c r="M196" s="7">
        <f>F196/E196</f>
        <v/>
      </c>
      <c r="N196" s="7">
        <f>F196/(E196+G196*45)</f>
        <v/>
      </c>
      <c r="O196" s="6">
        <f>I196/F196</f>
        <v/>
      </c>
      <c r="P196" s="6">
        <f>J196/F196</f>
        <v/>
      </c>
      <c r="Q196" s="7">
        <f>IFERROR(K196/F196,0)</f>
        <v/>
      </c>
      <c r="R196">
        <f>IF(M196&gt;=1,"On Target",IF(M196&gt;=0.9,"Watch","Below Target"))</f>
        <v/>
      </c>
    </row>
    <row r="197">
      <c r="A197" t="n">
        <v>193</v>
      </c>
      <c r="B197" s="5" t="n">
        <v>46087</v>
      </c>
      <c r="C197" t="inlineStr">
        <is>
          <t>Day</t>
        </is>
      </c>
      <c r="D197" t="inlineStr">
        <is>
          <t>OPC</t>
        </is>
      </c>
      <c r="E197" s="6" t="n">
        <v>1181</v>
      </c>
      <c r="F197" s="6" t="n">
        <v>820</v>
      </c>
      <c r="G197" s="6" t="n">
        <v>5.24</v>
      </c>
      <c r="H197" t="inlineStr">
        <is>
          <t>Planned Maintenance</t>
        </is>
      </c>
      <c r="I197" s="6" t="n">
        <v>1245.8</v>
      </c>
      <c r="J197" s="6" t="n">
        <v>65961.89999999999</v>
      </c>
      <c r="K197" t="n">
        <v>3</v>
      </c>
      <c r="L197" t="n">
        <v>12</v>
      </c>
      <c r="M197" s="7">
        <f>F197/E197</f>
        <v/>
      </c>
      <c r="N197" s="7">
        <f>F197/(E197+G197*45)</f>
        <v/>
      </c>
      <c r="O197" s="6">
        <f>I197/F197</f>
        <v/>
      </c>
      <c r="P197" s="6">
        <f>J197/F197</f>
        <v/>
      </c>
      <c r="Q197" s="7">
        <f>IFERROR(K197/F197,0)</f>
        <v/>
      </c>
      <c r="R197">
        <f>IF(M197&gt;=1,"On Target",IF(M197&gt;=0.9,"Watch","Below Target"))</f>
        <v/>
      </c>
    </row>
    <row r="198">
      <c r="A198" t="n">
        <v>194</v>
      </c>
      <c r="B198" s="5" t="n">
        <v>46087</v>
      </c>
      <c r="C198" t="inlineStr">
        <is>
          <t>Evening</t>
        </is>
      </c>
      <c r="D198" t="inlineStr">
        <is>
          <t>PPC</t>
        </is>
      </c>
      <c r="E198" s="6" t="n">
        <v>1085</v>
      </c>
      <c r="F198" s="6" t="n">
        <v>796.3</v>
      </c>
      <c r="G198" s="6" t="n">
        <v>6.77</v>
      </c>
      <c r="H198" t="inlineStr">
        <is>
          <t>Mechanical Failure</t>
        </is>
      </c>
      <c r="I198" s="6" t="n">
        <v>1236.9</v>
      </c>
      <c r="J198" s="6" t="n">
        <v>66930</v>
      </c>
      <c r="K198" t="n">
        <v>1</v>
      </c>
      <c r="L198" t="n">
        <v>7</v>
      </c>
      <c r="M198" s="7">
        <f>F198/E198</f>
        <v/>
      </c>
      <c r="N198" s="7">
        <f>F198/(E198+G198*45)</f>
        <v/>
      </c>
      <c r="O198" s="6">
        <f>I198/F198</f>
        <v/>
      </c>
      <c r="P198" s="6">
        <f>J198/F198</f>
        <v/>
      </c>
      <c r="Q198" s="7">
        <f>IFERROR(K198/F198,0)</f>
        <v/>
      </c>
      <c r="R198">
        <f>IF(M198&gt;=1,"On Target",IF(M198&gt;=0.9,"Watch","Below Target"))</f>
        <v/>
      </c>
    </row>
    <row r="199">
      <c r="A199" t="n">
        <v>195</v>
      </c>
      <c r="B199" s="5" t="n">
        <v>46087</v>
      </c>
      <c r="C199" t="inlineStr">
        <is>
          <t>Night</t>
        </is>
      </c>
      <c r="D199" t="inlineStr">
        <is>
          <t>OPC</t>
        </is>
      </c>
      <c r="E199" s="6" t="n">
        <v>1146</v>
      </c>
      <c r="F199" s="6" t="n">
        <v>1043.5</v>
      </c>
      <c r="G199" s="6" t="n">
        <v>0.38</v>
      </c>
      <c r="H199" t="inlineStr">
        <is>
          <t>No Downtime</t>
        </is>
      </c>
      <c r="I199" s="6" t="n">
        <v>1629.5</v>
      </c>
      <c r="J199" s="6" t="n">
        <v>88521.60000000001</v>
      </c>
      <c r="K199" t="n">
        <v>3</v>
      </c>
      <c r="L199" t="n">
        <v>12</v>
      </c>
      <c r="M199" s="7">
        <f>F199/E199</f>
        <v/>
      </c>
      <c r="N199" s="7">
        <f>F199/(E199+G199*45)</f>
        <v/>
      </c>
      <c r="O199" s="6">
        <f>I199/F199</f>
        <v/>
      </c>
      <c r="P199" s="6">
        <f>J199/F199</f>
        <v/>
      </c>
      <c r="Q199" s="7">
        <f>IFERROR(K199/F199,0)</f>
        <v/>
      </c>
      <c r="R199">
        <f>IF(M199&gt;=1,"On Target",IF(M199&gt;=0.9,"Watch","Below Target"))</f>
        <v/>
      </c>
    </row>
    <row r="200">
      <c r="A200" t="n">
        <v>196</v>
      </c>
      <c r="B200" s="5" t="n">
        <v>46088</v>
      </c>
      <c r="C200" t="inlineStr">
        <is>
          <t>Day</t>
        </is>
      </c>
      <c r="D200" t="inlineStr">
        <is>
          <t>OPC</t>
        </is>
      </c>
      <c r="E200" s="6" t="n">
        <v>1113</v>
      </c>
      <c r="F200" s="6" t="n">
        <v>1079.9</v>
      </c>
      <c r="G200" s="6" t="n">
        <v>1.05</v>
      </c>
      <c r="H200" t="inlineStr">
        <is>
          <t>Raw Material Shortage</t>
        </is>
      </c>
      <c r="I200" s="6" t="n">
        <v>1645.4</v>
      </c>
      <c r="J200" s="6" t="n">
        <v>87966.3</v>
      </c>
      <c r="K200" t="n">
        <v>3</v>
      </c>
      <c r="L200" t="n">
        <v>8</v>
      </c>
      <c r="M200" s="7">
        <f>F200/E200</f>
        <v/>
      </c>
      <c r="N200" s="7">
        <f>F200/(E200+G200*45)</f>
        <v/>
      </c>
      <c r="O200" s="6">
        <f>I200/F200</f>
        <v/>
      </c>
      <c r="P200" s="6">
        <f>J200/F200</f>
        <v/>
      </c>
      <c r="Q200" s="7">
        <f>IFERROR(K200/F200,0)</f>
        <v/>
      </c>
      <c r="R200">
        <f>IF(M200&gt;=1,"On Target",IF(M200&gt;=0.9,"Watch","Below Target"))</f>
        <v/>
      </c>
    </row>
    <row r="201">
      <c r="A201" t="n">
        <v>197</v>
      </c>
      <c r="B201" s="5" t="n">
        <v>46088</v>
      </c>
      <c r="C201" t="inlineStr">
        <is>
          <t>Evening</t>
        </is>
      </c>
      <c r="D201" t="inlineStr">
        <is>
          <t>OPC</t>
        </is>
      </c>
      <c r="E201" s="6" t="n">
        <v>1143</v>
      </c>
      <c r="F201" s="6" t="n">
        <v>1068.9</v>
      </c>
      <c r="G201" s="6" t="n">
        <v>1.9</v>
      </c>
      <c r="H201" t="inlineStr">
        <is>
          <t>Mechanical Failure</t>
        </is>
      </c>
      <c r="I201" s="6" t="n">
        <v>1564.6</v>
      </c>
      <c r="J201" s="6" t="n">
        <v>84390.7</v>
      </c>
      <c r="K201" t="n">
        <v>4</v>
      </c>
      <c r="L201" t="n">
        <v>9</v>
      </c>
      <c r="M201" s="7">
        <f>F201/E201</f>
        <v/>
      </c>
      <c r="N201" s="7">
        <f>F201/(E201+G201*45)</f>
        <v/>
      </c>
      <c r="O201" s="6">
        <f>I201/F201</f>
        <v/>
      </c>
      <c r="P201" s="6">
        <f>J201/F201</f>
        <v/>
      </c>
      <c r="Q201" s="7">
        <f>IFERROR(K201/F201,0)</f>
        <v/>
      </c>
      <c r="R201">
        <f>IF(M201&gt;=1,"On Target",IF(M201&gt;=0.9,"Watch","Below Target"))</f>
        <v/>
      </c>
    </row>
    <row r="202">
      <c r="A202" t="n">
        <v>198</v>
      </c>
      <c r="B202" s="5" t="n">
        <v>46088</v>
      </c>
      <c r="C202" t="inlineStr">
        <is>
          <t>Night</t>
        </is>
      </c>
      <c r="D202" t="inlineStr">
        <is>
          <t>OPC</t>
        </is>
      </c>
      <c r="E202" s="6" t="n">
        <v>1162</v>
      </c>
      <c r="F202" s="6" t="n">
        <v>1032.1</v>
      </c>
      <c r="G202" s="6" t="n">
        <v>1.69</v>
      </c>
      <c r="H202" t="inlineStr">
        <is>
          <t>Mechanical Failure</t>
        </is>
      </c>
      <c r="I202" s="6" t="n">
        <v>1554.1</v>
      </c>
      <c r="J202" s="6" t="n">
        <v>78921.89999999999</v>
      </c>
      <c r="K202" t="n">
        <v>4</v>
      </c>
      <c r="L202" t="n">
        <v>10</v>
      </c>
      <c r="M202" s="7">
        <f>F202/E202</f>
        <v/>
      </c>
      <c r="N202" s="7">
        <f>F202/(E202+G202*45)</f>
        <v/>
      </c>
      <c r="O202" s="6">
        <f>I202/F202</f>
        <v/>
      </c>
      <c r="P202" s="6">
        <f>J202/F202</f>
        <v/>
      </c>
      <c r="Q202" s="7">
        <f>IFERROR(K202/F202,0)</f>
        <v/>
      </c>
      <c r="R202">
        <f>IF(M202&gt;=1,"On Target",IF(M202&gt;=0.9,"Watch","Below Target"))</f>
        <v/>
      </c>
    </row>
    <row r="203">
      <c r="A203" t="n">
        <v>199</v>
      </c>
      <c r="B203" s="5" t="n">
        <v>46089</v>
      </c>
      <c r="C203" t="inlineStr">
        <is>
          <t>Day</t>
        </is>
      </c>
      <c r="D203" t="inlineStr">
        <is>
          <t>PPC</t>
        </is>
      </c>
      <c r="E203" s="6" t="n">
        <v>1061</v>
      </c>
      <c r="F203" s="6" t="n">
        <v>1032.8</v>
      </c>
      <c r="G203" s="6" t="n">
        <v>2.92</v>
      </c>
      <c r="H203" t="inlineStr">
        <is>
          <t>Quality Issue</t>
        </is>
      </c>
      <c r="I203" s="6" t="n">
        <v>1542.1</v>
      </c>
      <c r="J203" s="6" t="n">
        <v>80418.10000000001</v>
      </c>
      <c r="K203" t="n">
        <v>2</v>
      </c>
      <c r="L203" t="n">
        <v>9</v>
      </c>
      <c r="M203" s="7">
        <f>F203/E203</f>
        <v/>
      </c>
      <c r="N203" s="7">
        <f>F203/(E203+G203*45)</f>
        <v/>
      </c>
      <c r="O203" s="6">
        <f>I203/F203</f>
        <v/>
      </c>
      <c r="P203" s="6">
        <f>J203/F203</f>
        <v/>
      </c>
      <c r="Q203" s="7">
        <f>IFERROR(K203/F203,0)</f>
        <v/>
      </c>
      <c r="R203">
        <f>IF(M203&gt;=1,"On Target",IF(M203&gt;=0.9,"Watch","Below Target"))</f>
        <v/>
      </c>
    </row>
    <row r="204">
      <c r="A204" t="n">
        <v>200</v>
      </c>
      <c r="B204" s="5" t="n">
        <v>46089</v>
      </c>
      <c r="C204" t="inlineStr">
        <is>
          <t>Evening</t>
        </is>
      </c>
      <c r="D204" t="inlineStr">
        <is>
          <t>PPC</t>
        </is>
      </c>
      <c r="E204" s="6" t="n">
        <v>1021</v>
      </c>
      <c r="F204" s="6" t="n">
        <v>792.7</v>
      </c>
      <c r="G204" s="6" t="n">
        <v>4.96</v>
      </c>
      <c r="H204" t="inlineStr">
        <is>
          <t>Mechanical Failure</t>
        </is>
      </c>
      <c r="I204" s="6" t="n">
        <v>1187.5</v>
      </c>
      <c r="J204" s="6" t="n">
        <v>65048.8</v>
      </c>
      <c r="K204" t="n">
        <v>2</v>
      </c>
      <c r="L204" t="n">
        <v>8</v>
      </c>
      <c r="M204" s="7">
        <f>F204/E204</f>
        <v/>
      </c>
      <c r="N204" s="7">
        <f>F204/(E204+G204*45)</f>
        <v/>
      </c>
      <c r="O204" s="6">
        <f>I204/F204</f>
        <v/>
      </c>
      <c r="P204" s="6">
        <f>J204/F204</f>
        <v/>
      </c>
      <c r="Q204" s="7">
        <f>IFERROR(K204/F204,0)</f>
        <v/>
      </c>
      <c r="R204">
        <f>IF(M204&gt;=1,"On Target",IF(M204&gt;=0.9,"Watch","Below Target"))</f>
        <v/>
      </c>
    </row>
    <row r="205">
      <c r="A205" t="n">
        <v>201</v>
      </c>
      <c r="B205" s="5" t="n">
        <v>46089</v>
      </c>
      <c r="C205" t="inlineStr">
        <is>
          <t>Night</t>
        </is>
      </c>
      <c r="D205" t="inlineStr">
        <is>
          <t>PPC</t>
        </is>
      </c>
      <c r="E205" s="6" t="n">
        <v>1015</v>
      </c>
      <c r="F205" s="6" t="n">
        <v>813.5</v>
      </c>
      <c r="G205" s="6" t="n">
        <v>2.06</v>
      </c>
      <c r="H205" t="inlineStr">
        <is>
          <t>Electrical Failure</t>
        </is>
      </c>
      <c r="I205" s="6" t="n">
        <v>1198.3</v>
      </c>
      <c r="J205" s="6" t="n">
        <v>64045</v>
      </c>
      <c r="K205" t="n">
        <v>4</v>
      </c>
      <c r="L205" t="n">
        <v>7</v>
      </c>
      <c r="M205" s="7">
        <f>F205/E205</f>
        <v/>
      </c>
      <c r="N205" s="7">
        <f>F205/(E205+G205*45)</f>
        <v/>
      </c>
      <c r="O205" s="6">
        <f>I205/F205</f>
        <v/>
      </c>
      <c r="P205" s="6">
        <f>J205/F205</f>
        <v/>
      </c>
      <c r="Q205" s="7">
        <f>IFERROR(K205/F205,0)</f>
        <v/>
      </c>
      <c r="R205">
        <f>IF(M205&gt;=1,"On Target",IF(M205&gt;=0.9,"Watch","Below Target"))</f>
        <v/>
      </c>
    </row>
    <row r="206">
      <c r="A206" t="n">
        <v>202</v>
      </c>
      <c r="B206" s="5" t="n">
        <v>46090</v>
      </c>
      <c r="C206" t="inlineStr">
        <is>
          <t>Day</t>
        </is>
      </c>
      <c r="D206" t="inlineStr">
        <is>
          <t>OPC</t>
        </is>
      </c>
      <c r="E206" s="6" t="n">
        <v>1165</v>
      </c>
      <c r="F206" s="6" t="n">
        <v>1165.7</v>
      </c>
      <c r="G206" s="6" t="n">
        <v>2.09</v>
      </c>
      <c r="H206" t="inlineStr">
        <is>
          <t>Raw Material Shortage</t>
        </is>
      </c>
      <c r="I206" s="6" t="n">
        <v>1829.9</v>
      </c>
      <c r="J206" s="6" t="n">
        <v>99905.60000000001</v>
      </c>
      <c r="K206" t="n">
        <v>0</v>
      </c>
      <c r="L206" t="n">
        <v>11</v>
      </c>
      <c r="M206" s="7">
        <f>F206/E206</f>
        <v/>
      </c>
      <c r="N206" s="7">
        <f>F206/(E206+G206*45)</f>
        <v/>
      </c>
      <c r="O206" s="6">
        <f>I206/F206</f>
        <v/>
      </c>
      <c r="P206" s="6">
        <f>J206/F206</f>
        <v/>
      </c>
      <c r="Q206" s="7">
        <f>IFERROR(K206/F206,0)</f>
        <v/>
      </c>
      <c r="R206">
        <f>IF(M206&gt;=1,"On Target",IF(M206&gt;=0.9,"Watch","Below Target"))</f>
        <v/>
      </c>
    </row>
    <row r="207">
      <c r="A207" t="n">
        <v>203</v>
      </c>
      <c r="B207" s="5" t="n">
        <v>46090</v>
      </c>
      <c r="C207" t="inlineStr">
        <is>
          <t>Evening</t>
        </is>
      </c>
      <c r="D207" t="inlineStr">
        <is>
          <t>PPC</t>
        </is>
      </c>
      <c r="E207" s="6" t="n">
        <v>1022</v>
      </c>
      <c r="F207" s="6" t="n">
        <v>754.1</v>
      </c>
      <c r="G207" s="6" t="n">
        <v>5.22</v>
      </c>
      <c r="H207" t="inlineStr">
        <is>
          <t>Mechanical Failure</t>
        </is>
      </c>
      <c r="I207" s="6" t="n">
        <v>1205.4</v>
      </c>
      <c r="J207" s="6" t="n">
        <v>60597.1</v>
      </c>
      <c r="K207" t="n">
        <v>2</v>
      </c>
      <c r="L207" t="n">
        <v>10</v>
      </c>
      <c r="M207" s="7">
        <f>F207/E207</f>
        <v/>
      </c>
      <c r="N207" s="7">
        <f>F207/(E207+G207*45)</f>
        <v/>
      </c>
      <c r="O207" s="6">
        <f>I207/F207</f>
        <v/>
      </c>
      <c r="P207" s="6">
        <f>J207/F207</f>
        <v/>
      </c>
      <c r="Q207" s="7">
        <f>IFERROR(K207/F207,0)</f>
        <v/>
      </c>
      <c r="R207">
        <f>IF(M207&gt;=1,"On Target",IF(M207&gt;=0.9,"Watch","Below Target"))</f>
        <v/>
      </c>
    </row>
    <row r="208">
      <c r="A208" t="n">
        <v>204</v>
      </c>
      <c r="B208" s="5" t="n">
        <v>46090</v>
      </c>
      <c r="C208" t="inlineStr">
        <is>
          <t>Night</t>
        </is>
      </c>
      <c r="D208" t="inlineStr">
        <is>
          <t>SRC</t>
        </is>
      </c>
      <c r="E208" s="6" t="n">
        <v>986</v>
      </c>
      <c r="F208" s="6" t="n">
        <v>868.4</v>
      </c>
      <c r="G208" s="6" t="n">
        <v>0</v>
      </c>
      <c r="H208" t="inlineStr">
        <is>
          <t>No Downtime</t>
        </is>
      </c>
      <c r="I208" s="6" t="n">
        <v>1311.3</v>
      </c>
      <c r="J208" s="6" t="n">
        <v>72348.7</v>
      </c>
      <c r="K208" t="n">
        <v>3</v>
      </c>
      <c r="L208" t="n">
        <v>12</v>
      </c>
      <c r="M208" s="7">
        <f>F208/E208</f>
        <v/>
      </c>
      <c r="N208" s="7">
        <f>F208/(E208+G208*45)</f>
        <v/>
      </c>
      <c r="O208" s="6">
        <f>I208/F208</f>
        <v/>
      </c>
      <c r="P208" s="6">
        <f>J208/F208</f>
        <v/>
      </c>
      <c r="Q208" s="7">
        <f>IFERROR(K208/F208,0)</f>
        <v/>
      </c>
      <c r="R208">
        <f>IF(M208&gt;=1,"On Target",IF(M208&gt;=0.9,"Watch","Below Target"))</f>
        <v/>
      </c>
    </row>
    <row r="209">
      <c r="A209" t="n">
        <v>205</v>
      </c>
      <c r="B209" s="5" t="n">
        <v>46091</v>
      </c>
      <c r="C209" t="inlineStr">
        <is>
          <t>Day</t>
        </is>
      </c>
      <c r="D209" t="inlineStr">
        <is>
          <t>PPC</t>
        </is>
      </c>
      <c r="E209" s="6" t="n">
        <v>1065</v>
      </c>
      <c r="F209" s="6" t="n">
        <v>1106.9</v>
      </c>
      <c r="G209" s="6" t="n">
        <v>0.02</v>
      </c>
      <c r="H209" t="inlineStr">
        <is>
          <t>No Downtime</t>
        </is>
      </c>
      <c r="I209" s="6" t="n">
        <v>1708.5</v>
      </c>
      <c r="J209" s="6" t="n">
        <v>90033.8</v>
      </c>
      <c r="K209" t="n">
        <v>3</v>
      </c>
      <c r="L209" t="n">
        <v>10</v>
      </c>
      <c r="M209" s="7">
        <f>F209/E209</f>
        <v/>
      </c>
      <c r="N209" s="7">
        <f>F209/(E209+G209*45)</f>
        <v/>
      </c>
      <c r="O209" s="6">
        <f>I209/F209</f>
        <v/>
      </c>
      <c r="P209" s="6">
        <f>J209/F209</f>
        <v/>
      </c>
      <c r="Q209" s="7">
        <f>IFERROR(K209/F209,0)</f>
        <v/>
      </c>
      <c r="R209">
        <f>IF(M209&gt;=1,"On Target",IF(M209&gt;=0.9,"Watch","Below Target"))</f>
        <v/>
      </c>
    </row>
    <row r="210">
      <c r="A210" t="n">
        <v>206</v>
      </c>
      <c r="B210" s="5" t="n">
        <v>46091</v>
      </c>
      <c r="C210" t="inlineStr">
        <is>
          <t>Evening</t>
        </is>
      </c>
      <c r="D210" t="inlineStr">
        <is>
          <t>PPC</t>
        </is>
      </c>
      <c r="E210" s="6" t="n">
        <v>1063</v>
      </c>
      <c r="F210" s="6" t="n">
        <v>823.2</v>
      </c>
      <c r="G210" s="6" t="n">
        <v>5.17</v>
      </c>
      <c r="H210" t="inlineStr">
        <is>
          <t>Mechanical Failure</t>
        </is>
      </c>
      <c r="I210" s="6" t="n">
        <v>1266</v>
      </c>
      <c r="J210" s="6" t="n">
        <v>69441.7</v>
      </c>
      <c r="K210" t="n">
        <v>1</v>
      </c>
      <c r="L210" t="n">
        <v>8</v>
      </c>
      <c r="M210" s="7">
        <f>F210/E210</f>
        <v/>
      </c>
      <c r="N210" s="7">
        <f>F210/(E210+G210*45)</f>
        <v/>
      </c>
      <c r="O210" s="6">
        <f>I210/F210</f>
        <v/>
      </c>
      <c r="P210" s="6">
        <f>J210/F210</f>
        <v/>
      </c>
      <c r="Q210" s="7">
        <f>IFERROR(K210/F210,0)</f>
        <v/>
      </c>
      <c r="R210">
        <f>IF(M210&gt;=1,"On Target",IF(M210&gt;=0.9,"Watch","Below Target"))</f>
        <v/>
      </c>
    </row>
    <row r="211">
      <c r="A211" t="n">
        <v>207</v>
      </c>
      <c r="B211" s="5" t="n">
        <v>46091</v>
      </c>
      <c r="C211" t="inlineStr">
        <is>
          <t>Night</t>
        </is>
      </c>
      <c r="D211" t="inlineStr">
        <is>
          <t>OPC</t>
        </is>
      </c>
      <c r="E211" s="6" t="n">
        <v>1146</v>
      </c>
      <c r="F211" s="6" t="n">
        <v>805</v>
      </c>
      <c r="G211" s="6" t="n">
        <v>5.55</v>
      </c>
      <c r="H211" t="inlineStr">
        <is>
          <t>Mechanical Failure</t>
        </is>
      </c>
      <c r="I211" s="6" t="n">
        <v>1242.2</v>
      </c>
      <c r="J211" s="6" t="n">
        <v>65126.1</v>
      </c>
      <c r="K211" t="n">
        <v>3</v>
      </c>
      <c r="L211" t="n">
        <v>8</v>
      </c>
      <c r="M211" s="7">
        <f>F211/E211</f>
        <v/>
      </c>
      <c r="N211" s="7">
        <f>F211/(E211+G211*45)</f>
        <v/>
      </c>
      <c r="O211" s="6">
        <f>I211/F211</f>
        <v/>
      </c>
      <c r="P211" s="6">
        <f>J211/F211</f>
        <v/>
      </c>
      <c r="Q211" s="7">
        <f>IFERROR(K211/F211,0)</f>
        <v/>
      </c>
      <c r="R211">
        <f>IF(M211&gt;=1,"On Target",IF(M211&gt;=0.9,"Watch","Below Target"))</f>
        <v/>
      </c>
    </row>
    <row r="212">
      <c r="A212" t="n">
        <v>208</v>
      </c>
      <c r="B212" s="5" t="n">
        <v>46092</v>
      </c>
      <c r="C212" t="inlineStr">
        <is>
          <t>Day</t>
        </is>
      </c>
      <c r="D212" t="inlineStr">
        <is>
          <t>PPC</t>
        </is>
      </c>
      <c r="E212" s="6" t="n">
        <v>1037</v>
      </c>
      <c r="F212" s="6" t="n">
        <v>757.8</v>
      </c>
      <c r="G212" s="6" t="n">
        <v>6.21</v>
      </c>
      <c r="H212" t="inlineStr">
        <is>
          <t>Mechanical Failure</t>
        </is>
      </c>
      <c r="I212" s="6" t="n">
        <v>1131.6</v>
      </c>
      <c r="J212" s="6" t="n">
        <v>62547.7</v>
      </c>
      <c r="K212" t="n">
        <v>2</v>
      </c>
      <c r="L212" t="n">
        <v>11</v>
      </c>
      <c r="M212" s="7">
        <f>F212/E212</f>
        <v/>
      </c>
      <c r="N212" s="7">
        <f>F212/(E212+G212*45)</f>
        <v/>
      </c>
      <c r="O212" s="6">
        <f>I212/F212</f>
        <v/>
      </c>
      <c r="P212" s="6">
        <f>J212/F212</f>
        <v/>
      </c>
      <c r="Q212" s="7">
        <f>IFERROR(K212/F212,0)</f>
        <v/>
      </c>
      <c r="R212">
        <f>IF(M212&gt;=1,"On Target",IF(M212&gt;=0.9,"Watch","Below Target"))</f>
        <v/>
      </c>
    </row>
    <row r="213">
      <c r="A213" t="n">
        <v>209</v>
      </c>
      <c r="B213" s="5" t="n">
        <v>46092</v>
      </c>
      <c r="C213" t="inlineStr">
        <is>
          <t>Evening</t>
        </is>
      </c>
      <c r="D213" t="inlineStr">
        <is>
          <t>OPC</t>
        </is>
      </c>
      <c r="E213" s="6" t="n">
        <v>1164</v>
      </c>
      <c r="F213" s="6" t="n">
        <v>1151.1</v>
      </c>
      <c r="G213" s="6" t="n">
        <v>0</v>
      </c>
      <c r="H213" t="inlineStr">
        <is>
          <t>Raw Material Shortage</t>
        </is>
      </c>
      <c r="I213" s="6" t="n">
        <v>1756.4</v>
      </c>
      <c r="J213" s="6" t="n">
        <v>94627.10000000001</v>
      </c>
      <c r="K213" t="n">
        <v>1</v>
      </c>
      <c r="L213" t="n">
        <v>9</v>
      </c>
      <c r="M213" s="7">
        <f>F213/E213</f>
        <v/>
      </c>
      <c r="N213" s="7">
        <f>F213/(E213+G213*45)</f>
        <v/>
      </c>
      <c r="O213" s="6">
        <f>I213/F213</f>
        <v/>
      </c>
      <c r="P213" s="6">
        <f>J213/F213</f>
        <v/>
      </c>
      <c r="Q213" s="7">
        <f>IFERROR(K213/F213,0)</f>
        <v/>
      </c>
      <c r="R213">
        <f>IF(M213&gt;=1,"On Target",IF(M213&gt;=0.9,"Watch","Below Target"))</f>
        <v/>
      </c>
    </row>
    <row r="214">
      <c r="A214" t="n">
        <v>210</v>
      </c>
      <c r="B214" s="5" t="n">
        <v>46092</v>
      </c>
      <c r="C214" t="inlineStr">
        <is>
          <t>Night</t>
        </is>
      </c>
      <c r="D214" t="inlineStr">
        <is>
          <t>SRC</t>
        </is>
      </c>
      <c r="E214" s="6" t="n">
        <v>1011</v>
      </c>
      <c r="F214" s="6" t="n">
        <v>892.3</v>
      </c>
      <c r="G214" s="6" t="n">
        <v>0.36</v>
      </c>
      <c r="H214" t="inlineStr">
        <is>
          <t>No Downtime</t>
        </is>
      </c>
      <c r="I214" s="6" t="n">
        <v>1361</v>
      </c>
      <c r="J214" s="6" t="n">
        <v>75440.39999999999</v>
      </c>
      <c r="K214" t="n">
        <v>1</v>
      </c>
      <c r="L214" t="n">
        <v>10</v>
      </c>
      <c r="M214" s="7">
        <f>F214/E214</f>
        <v/>
      </c>
      <c r="N214" s="7">
        <f>F214/(E214+G214*45)</f>
        <v/>
      </c>
      <c r="O214" s="6">
        <f>I214/F214</f>
        <v/>
      </c>
      <c r="P214" s="6">
        <f>J214/F214</f>
        <v/>
      </c>
      <c r="Q214" s="7">
        <f>IFERROR(K214/F214,0)</f>
        <v/>
      </c>
      <c r="R214">
        <f>IF(M214&gt;=1,"On Target",IF(M214&gt;=0.9,"Watch","Below Target"))</f>
        <v/>
      </c>
    </row>
    <row r="215">
      <c r="A215" t="n">
        <v>211</v>
      </c>
      <c r="B215" s="5" t="n">
        <v>46093</v>
      </c>
      <c r="C215" t="inlineStr">
        <is>
          <t>Day</t>
        </is>
      </c>
      <c r="D215" t="inlineStr">
        <is>
          <t>OPC</t>
        </is>
      </c>
      <c r="E215" s="6" t="n">
        <v>1118</v>
      </c>
      <c r="F215" s="6" t="n">
        <v>875.8</v>
      </c>
      <c r="G215" s="6" t="n">
        <v>4.26</v>
      </c>
      <c r="H215" t="inlineStr">
        <is>
          <t>Planned Maintenance</t>
        </is>
      </c>
      <c r="I215" s="6" t="n">
        <v>1376.2</v>
      </c>
      <c r="J215" s="6" t="n">
        <v>72953.2</v>
      </c>
      <c r="K215" t="n">
        <v>4</v>
      </c>
      <c r="L215" t="n">
        <v>9</v>
      </c>
      <c r="M215" s="7">
        <f>F215/E215</f>
        <v/>
      </c>
      <c r="N215" s="7">
        <f>F215/(E215+G215*45)</f>
        <v/>
      </c>
      <c r="O215" s="6">
        <f>I215/F215</f>
        <v/>
      </c>
      <c r="P215" s="6">
        <f>J215/F215</f>
        <v/>
      </c>
      <c r="Q215" s="7">
        <f>IFERROR(K215/F215,0)</f>
        <v/>
      </c>
      <c r="R215">
        <f>IF(M215&gt;=1,"On Target",IF(M215&gt;=0.9,"Watch","Below Target"))</f>
        <v/>
      </c>
    </row>
    <row r="216">
      <c r="A216" t="n">
        <v>212</v>
      </c>
      <c r="B216" s="5" t="n">
        <v>46093</v>
      </c>
      <c r="C216" t="inlineStr">
        <is>
          <t>Evening</t>
        </is>
      </c>
      <c r="D216" t="inlineStr">
        <is>
          <t>PPC</t>
        </is>
      </c>
      <c r="E216" s="6" t="n">
        <v>1020</v>
      </c>
      <c r="F216" s="6" t="n">
        <v>1009.7</v>
      </c>
      <c r="G216" s="6" t="n">
        <v>0.08</v>
      </c>
      <c r="H216" t="inlineStr">
        <is>
          <t>No Downtime</t>
        </is>
      </c>
      <c r="I216" s="6" t="n">
        <v>1574.4</v>
      </c>
      <c r="J216" s="6" t="n">
        <v>84883.3</v>
      </c>
      <c r="K216" t="n">
        <v>4</v>
      </c>
      <c r="L216" t="n">
        <v>12</v>
      </c>
      <c r="M216" s="7">
        <f>F216/E216</f>
        <v/>
      </c>
      <c r="N216" s="7">
        <f>F216/(E216+G216*45)</f>
        <v/>
      </c>
      <c r="O216" s="6">
        <f>I216/F216</f>
        <v/>
      </c>
      <c r="P216" s="6">
        <f>J216/F216</f>
        <v/>
      </c>
      <c r="Q216" s="7">
        <f>IFERROR(K216/F216,0)</f>
        <v/>
      </c>
      <c r="R216">
        <f>IF(M216&gt;=1,"On Target",IF(M216&gt;=0.9,"Watch","Below Target"))</f>
        <v/>
      </c>
    </row>
    <row r="217">
      <c r="A217" t="n">
        <v>213</v>
      </c>
      <c r="B217" s="5" t="n">
        <v>46093</v>
      </c>
      <c r="C217" t="inlineStr">
        <is>
          <t>Night</t>
        </is>
      </c>
      <c r="D217" t="inlineStr">
        <is>
          <t>OPC</t>
        </is>
      </c>
      <c r="E217" s="6" t="n">
        <v>1114</v>
      </c>
      <c r="F217" s="6" t="n">
        <v>853.2</v>
      </c>
      <c r="G217" s="6" t="n">
        <v>3.79</v>
      </c>
      <c r="H217" t="inlineStr">
        <is>
          <t>Mechanical Failure</t>
        </is>
      </c>
      <c r="I217" s="6" t="n">
        <v>1327.8</v>
      </c>
      <c r="J217" s="6" t="n">
        <v>67281.89999999999</v>
      </c>
      <c r="K217" t="n">
        <v>7</v>
      </c>
      <c r="L217" t="n">
        <v>12</v>
      </c>
      <c r="M217" s="7">
        <f>F217/E217</f>
        <v/>
      </c>
      <c r="N217" s="7">
        <f>F217/(E217+G217*45)</f>
        <v/>
      </c>
      <c r="O217" s="6">
        <f>I217/F217</f>
        <v/>
      </c>
      <c r="P217" s="6">
        <f>J217/F217</f>
        <v/>
      </c>
      <c r="Q217" s="7">
        <f>IFERROR(K217/F217,0)</f>
        <v/>
      </c>
      <c r="R217">
        <f>IF(M217&gt;=1,"On Target",IF(M217&gt;=0.9,"Watch","Below Target"))</f>
        <v/>
      </c>
    </row>
    <row r="218">
      <c r="A218" t="n">
        <v>214</v>
      </c>
      <c r="B218" s="5" t="n">
        <v>46094</v>
      </c>
      <c r="C218" t="inlineStr">
        <is>
          <t>Day</t>
        </is>
      </c>
      <c r="D218" t="inlineStr">
        <is>
          <t>PPC</t>
        </is>
      </c>
      <c r="E218" s="6" t="n">
        <v>1015</v>
      </c>
      <c r="F218" s="6" t="n">
        <v>761</v>
      </c>
      <c r="G218" s="6" t="n">
        <v>6.14</v>
      </c>
      <c r="H218" t="inlineStr">
        <is>
          <t>Mechanical Failure</t>
        </is>
      </c>
      <c r="I218" s="6" t="n">
        <v>1145.2</v>
      </c>
      <c r="J218" s="6" t="n">
        <v>64190.2</v>
      </c>
      <c r="K218" t="n">
        <v>6</v>
      </c>
      <c r="L218" t="n">
        <v>9</v>
      </c>
      <c r="M218" s="7">
        <f>F218/E218</f>
        <v/>
      </c>
      <c r="N218" s="7">
        <f>F218/(E218+G218*45)</f>
        <v/>
      </c>
      <c r="O218" s="6">
        <f>I218/F218</f>
        <v/>
      </c>
      <c r="P218" s="6">
        <f>J218/F218</f>
        <v/>
      </c>
      <c r="Q218" s="7">
        <f>IFERROR(K218/F218,0)</f>
        <v/>
      </c>
      <c r="R218">
        <f>IF(M218&gt;=1,"On Target",IF(M218&gt;=0.9,"Watch","Below Target"))</f>
        <v/>
      </c>
    </row>
    <row r="219">
      <c r="A219" t="n">
        <v>215</v>
      </c>
      <c r="B219" s="5" t="n">
        <v>46094</v>
      </c>
      <c r="C219" t="inlineStr">
        <is>
          <t>Evening</t>
        </is>
      </c>
      <c r="D219" t="inlineStr">
        <is>
          <t>PPC</t>
        </is>
      </c>
      <c r="E219" s="6" t="n">
        <v>1027</v>
      </c>
      <c r="F219" s="6" t="n">
        <v>784.2</v>
      </c>
      <c r="G219" s="6" t="n">
        <v>5.43</v>
      </c>
      <c r="H219" t="inlineStr">
        <is>
          <t>Planned Maintenance</t>
        </is>
      </c>
      <c r="I219" s="6" t="n">
        <v>1207.1</v>
      </c>
      <c r="J219" s="6" t="n">
        <v>62483.1</v>
      </c>
      <c r="K219" t="n">
        <v>6</v>
      </c>
      <c r="L219" t="n">
        <v>12</v>
      </c>
      <c r="M219" s="7">
        <f>F219/E219</f>
        <v/>
      </c>
      <c r="N219" s="7">
        <f>F219/(E219+G219*45)</f>
        <v/>
      </c>
      <c r="O219" s="6">
        <f>I219/F219</f>
        <v/>
      </c>
      <c r="P219" s="6">
        <f>J219/F219</f>
        <v/>
      </c>
      <c r="Q219" s="7">
        <f>IFERROR(K219/F219,0)</f>
        <v/>
      </c>
      <c r="R219">
        <f>IF(M219&gt;=1,"On Target",IF(M219&gt;=0.9,"Watch","Below Target"))</f>
        <v/>
      </c>
    </row>
    <row r="220">
      <c r="A220" t="n">
        <v>216</v>
      </c>
      <c r="B220" s="5" t="n">
        <v>46094</v>
      </c>
      <c r="C220" t="inlineStr">
        <is>
          <t>Night</t>
        </is>
      </c>
      <c r="D220" t="inlineStr">
        <is>
          <t>PPC</t>
        </is>
      </c>
      <c r="E220" s="6" t="n">
        <v>1074</v>
      </c>
      <c r="F220" s="6" t="n">
        <v>953.5</v>
      </c>
      <c r="G220" s="6" t="n">
        <v>0.38</v>
      </c>
      <c r="H220" t="inlineStr">
        <is>
          <t>No Downtime</t>
        </is>
      </c>
      <c r="I220" s="6" t="n">
        <v>1459.5</v>
      </c>
      <c r="J220" s="6" t="n">
        <v>82209.60000000001</v>
      </c>
      <c r="K220" t="n">
        <v>5</v>
      </c>
      <c r="L220" t="n">
        <v>8</v>
      </c>
      <c r="M220" s="7">
        <f>F220/E220</f>
        <v/>
      </c>
      <c r="N220" s="7">
        <f>F220/(E220+G220*45)</f>
        <v/>
      </c>
      <c r="O220" s="6">
        <f>I220/F220</f>
        <v/>
      </c>
      <c r="P220" s="6">
        <f>J220/F220</f>
        <v/>
      </c>
      <c r="Q220" s="7">
        <f>IFERROR(K220/F220,0)</f>
        <v/>
      </c>
      <c r="R220">
        <f>IF(M220&gt;=1,"On Target",IF(M220&gt;=0.9,"Watch","Below Target"))</f>
        <v/>
      </c>
    </row>
    <row r="221">
      <c r="A221" t="n">
        <v>217</v>
      </c>
      <c r="B221" s="5" t="n">
        <v>46095</v>
      </c>
      <c r="C221" t="inlineStr">
        <is>
          <t>Day</t>
        </is>
      </c>
      <c r="D221" t="inlineStr">
        <is>
          <t>OPC</t>
        </is>
      </c>
      <c r="E221" s="6" t="n">
        <v>1175</v>
      </c>
      <c r="F221" s="6" t="n">
        <v>1058.8</v>
      </c>
      <c r="G221" s="6" t="n">
        <v>2.85</v>
      </c>
      <c r="H221" t="inlineStr">
        <is>
          <t>Electrical Failure</t>
        </is>
      </c>
      <c r="I221" s="6" t="n">
        <v>1642.1</v>
      </c>
      <c r="J221" s="6" t="n">
        <v>85899.2</v>
      </c>
      <c r="K221" t="n">
        <v>0</v>
      </c>
      <c r="L221" t="n">
        <v>10</v>
      </c>
      <c r="M221" s="7">
        <f>F221/E221</f>
        <v/>
      </c>
      <c r="N221" s="7">
        <f>F221/(E221+G221*45)</f>
        <v/>
      </c>
      <c r="O221" s="6">
        <f>I221/F221</f>
        <v/>
      </c>
      <c r="P221" s="6">
        <f>J221/F221</f>
        <v/>
      </c>
      <c r="Q221" s="7">
        <f>IFERROR(K221/F221,0)</f>
        <v/>
      </c>
      <c r="R221">
        <f>IF(M221&gt;=1,"On Target",IF(M221&gt;=0.9,"Watch","Below Target"))</f>
        <v/>
      </c>
    </row>
    <row r="222">
      <c r="A222" t="n">
        <v>218</v>
      </c>
      <c r="B222" s="5" t="n">
        <v>46095</v>
      </c>
      <c r="C222" t="inlineStr">
        <is>
          <t>Evening</t>
        </is>
      </c>
      <c r="D222" t="inlineStr">
        <is>
          <t>OPC</t>
        </is>
      </c>
      <c r="E222" s="6" t="n">
        <v>1136</v>
      </c>
      <c r="F222" s="6" t="n">
        <v>1036.3</v>
      </c>
      <c r="G222" s="6" t="n">
        <v>2.19</v>
      </c>
      <c r="H222" t="inlineStr">
        <is>
          <t>Quality Issue</t>
        </is>
      </c>
      <c r="I222" s="6" t="n">
        <v>1657</v>
      </c>
      <c r="J222" s="6" t="n">
        <v>83698.3</v>
      </c>
      <c r="K222" t="n">
        <v>1</v>
      </c>
      <c r="L222" t="n">
        <v>9</v>
      </c>
      <c r="M222" s="7">
        <f>F222/E222</f>
        <v/>
      </c>
      <c r="N222" s="7">
        <f>F222/(E222+G222*45)</f>
        <v/>
      </c>
      <c r="O222" s="6">
        <f>I222/F222</f>
        <v/>
      </c>
      <c r="P222" s="6">
        <f>J222/F222</f>
        <v/>
      </c>
      <c r="Q222" s="7">
        <f>IFERROR(K222/F222,0)</f>
        <v/>
      </c>
      <c r="R222">
        <f>IF(M222&gt;=1,"On Target",IF(M222&gt;=0.9,"Watch","Below Target"))</f>
        <v/>
      </c>
    </row>
    <row r="223">
      <c r="A223" t="n">
        <v>219</v>
      </c>
      <c r="B223" s="5" t="n">
        <v>46095</v>
      </c>
      <c r="C223" t="inlineStr">
        <is>
          <t>Night</t>
        </is>
      </c>
      <c r="D223" t="inlineStr">
        <is>
          <t>SRC</t>
        </is>
      </c>
      <c r="E223" s="6" t="n">
        <v>1017</v>
      </c>
      <c r="F223" s="6" t="n">
        <v>690.8</v>
      </c>
      <c r="G223" s="6" t="n">
        <v>4.32</v>
      </c>
      <c r="H223" t="inlineStr">
        <is>
          <t>Raw Material Shortage</t>
        </is>
      </c>
      <c r="I223" s="6" t="n">
        <v>1030.6</v>
      </c>
      <c r="J223" s="6" t="n">
        <v>58710.2</v>
      </c>
      <c r="K223" t="n">
        <v>2</v>
      </c>
      <c r="L223" t="n">
        <v>7</v>
      </c>
      <c r="M223" s="7">
        <f>F223/E223</f>
        <v/>
      </c>
      <c r="N223" s="7">
        <f>F223/(E223+G223*45)</f>
        <v/>
      </c>
      <c r="O223" s="6">
        <f>I223/F223</f>
        <v/>
      </c>
      <c r="P223" s="6">
        <f>J223/F223</f>
        <v/>
      </c>
      <c r="Q223" s="7">
        <f>IFERROR(K223/F223,0)</f>
        <v/>
      </c>
      <c r="R223">
        <f>IF(M223&gt;=1,"On Target",IF(M223&gt;=0.9,"Watch","Below Target"))</f>
        <v/>
      </c>
    </row>
    <row r="224">
      <c r="A224" t="n">
        <v>220</v>
      </c>
      <c r="B224" s="5" t="n">
        <v>46096</v>
      </c>
      <c r="C224" t="inlineStr">
        <is>
          <t>Day</t>
        </is>
      </c>
      <c r="D224" t="inlineStr">
        <is>
          <t>SRC</t>
        </is>
      </c>
      <c r="E224" s="6" t="n">
        <v>1008</v>
      </c>
      <c r="F224" s="6" t="n">
        <v>958.1</v>
      </c>
      <c r="G224" s="6" t="n">
        <v>3.04</v>
      </c>
      <c r="H224" t="inlineStr">
        <is>
          <t>Raw Material Shortage</t>
        </is>
      </c>
      <c r="I224" s="6" t="n">
        <v>1487.4</v>
      </c>
      <c r="J224" s="6" t="n">
        <v>76752.8</v>
      </c>
      <c r="K224" t="n">
        <v>2</v>
      </c>
      <c r="L224" t="n">
        <v>8</v>
      </c>
      <c r="M224" s="7">
        <f>F224/E224</f>
        <v/>
      </c>
      <c r="N224" s="7">
        <f>F224/(E224+G224*45)</f>
        <v/>
      </c>
      <c r="O224" s="6">
        <f>I224/F224</f>
        <v/>
      </c>
      <c r="P224" s="6">
        <f>J224/F224</f>
        <v/>
      </c>
      <c r="Q224" s="7">
        <f>IFERROR(K224/F224,0)</f>
        <v/>
      </c>
      <c r="R224">
        <f>IF(M224&gt;=1,"On Target",IF(M224&gt;=0.9,"Watch","Below Target"))</f>
        <v/>
      </c>
    </row>
    <row r="225">
      <c r="A225" t="n">
        <v>221</v>
      </c>
      <c r="B225" s="5" t="n">
        <v>46096</v>
      </c>
      <c r="C225" t="inlineStr">
        <is>
          <t>Evening</t>
        </is>
      </c>
      <c r="D225" t="inlineStr">
        <is>
          <t>SRC</t>
        </is>
      </c>
      <c r="E225" s="6" t="n">
        <v>960</v>
      </c>
      <c r="F225" s="6" t="n">
        <v>948.2</v>
      </c>
      <c r="G225" s="6" t="n">
        <v>0.27</v>
      </c>
      <c r="H225" t="inlineStr">
        <is>
          <t>No Downtime</t>
        </is>
      </c>
      <c r="I225" s="6" t="n">
        <v>1419.5</v>
      </c>
      <c r="J225" s="6" t="n">
        <v>74748.8</v>
      </c>
      <c r="K225" t="n">
        <v>2</v>
      </c>
      <c r="L225" t="n">
        <v>12</v>
      </c>
      <c r="M225" s="7">
        <f>F225/E225</f>
        <v/>
      </c>
      <c r="N225" s="7">
        <f>F225/(E225+G225*45)</f>
        <v/>
      </c>
      <c r="O225" s="6">
        <f>I225/F225</f>
        <v/>
      </c>
      <c r="P225" s="6">
        <f>J225/F225</f>
        <v/>
      </c>
      <c r="Q225" s="7">
        <f>IFERROR(K225/F225,0)</f>
        <v/>
      </c>
      <c r="R225">
        <f>IF(M225&gt;=1,"On Target",IF(M225&gt;=0.9,"Watch","Below Target"))</f>
        <v/>
      </c>
    </row>
    <row r="226">
      <c r="A226" t="n">
        <v>222</v>
      </c>
      <c r="B226" s="5" t="n">
        <v>46096</v>
      </c>
      <c r="C226" t="inlineStr">
        <is>
          <t>Night</t>
        </is>
      </c>
      <c r="D226" t="inlineStr">
        <is>
          <t>OPC</t>
        </is>
      </c>
      <c r="E226" s="6" t="n">
        <v>1177</v>
      </c>
      <c r="F226" s="6" t="n">
        <v>906.5</v>
      </c>
      <c r="G226" s="6" t="n">
        <v>3.35</v>
      </c>
      <c r="H226" t="inlineStr">
        <is>
          <t>Quality Issue</t>
        </is>
      </c>
      <c r="I226" s="6" t="n">
        <v>1357.1</v>
      </c>
      <c r="J226" s="6" t="n">
        <v>78729.5</v>
      </c>
      <c r="K226" t="n">
        <v>3</v>
      </c>
      <c r="L226" t="n">
        <v>10</v>
      </c>
      <c r="M226" s="7">
        <f>F226/E226</f>
        <v/>
      </c>
      <c r="N226" s="7">
        <f>F226/(E226+G226*45)</f>
        <v/>
      </c>
      <c r="O226" s="6">
        <f>I226/F226</f>
        <v/>
      </c>
      <c r="P226" s="6">
        <f>J226/F226</f>
        <v/>
      </c>
      <c r="Q226" s="7">
        <f>IFERROR(K226/F226,0)</f>
        <v/>
      </c>
      <c r="R226">
        <f>IF(M226&gt;=1,"On Target",IF(M226&gt;=0.9,"Watch","Below Target"))</f>
        <v/>
      </c>
    </row>
    <row r="227">
      <c r="A227" t="n">
        <v>223</v>
      </c>
      <c r="B227" s="5" t="n">
        <v>46097</v>
      </c>
      <c r="C227" t="inlineStr">
        <is>
          <t>Day</t>
        </is>
      </c>
      <c r="D227" t="inlineStr">
        <is>
          <t>OPC</t>
        </is>
      </c>
      <c r="E227" s="6" t="n">
        <v>1178</v>
      </c>
      <c r="F227" s="6" t="n">
        <v>919.3</v>
      </c>
      <c r="G227" s="6" t="n">
        <v>3.82</v>
      </c>
      <c r="H227" t="inlineStr">
        <is>
          <t>Quality Issue</t>
        </is>
      </c>
      <c r="I227" s="6" t="n">
        <v>1376.4</v>
      </c>
      <c r="J227" s="6" t="n">
        <v>75874.10000000001</v>
      </c>
      <c r="K227" t="n">
        <v>2</v>
      </c>
      <c r="L227" t="n">
        <v>12</v>
      </c>
      <c r="M227" s="7">
        <f>F227/E227</f>
        <v/>
      </c>
      <c r="N227" s="7">
        <f>F227/(E227+G227*45)</f>
        <v/>
      </c>
      <c r="O227" s="6">
        <f>I227/F227</f>
        <v/>
      </c>
      <c r="P227" s="6">
        <f>J227/F227</f>
        <v/>
      </c>
      <c r="Q227" s="7">
        <f>IFERROR(K227/F227,0)</f>
        <v/>
      </c>
      <c r="R227">
        <f>IF(M227&gt;=1,"On Target",IF(M227&gt;=0.9,"Watch","Below Target"))</f>
        <v/>
      </c>
    </row>
    <row r="228">
      <c r="A228" t="n">
        <v>224</v>
      </c>
      <c r="B228" s="5" t="n">
        <v>46097</v>
      </c>
      <c r="C228" t="inlineStr">
        <is>
          <t>Evening</t>
        </is>
      </c>
      <c r="D228" t="inlineStr">
        <is>
          <t>OPC</t>
        </is>
      </c>
      <c r="E228" s="6" t="n">
        <v>1112</v>
      </c>
      <c r="F228" s="6" t="n">
        <v>1037.6</v>
      </c>
      <c r="G228" s="6" t="n">
        <v>0.32</v>
      </c>
      <c r="H228" t="inlineStr">
        <is>
          <t>No Downtime</t>
        </is>
      </c>
      <c r="I228" s="6" t="n">
        <v>1631</v>
      </c>
      <c r="J228" s="6" t="n">
        <v>83088.8</v>
      </c>
      <c r="K228" t="n">
        <v>4</v>
      </c>
      <c r="L228" t="n">
        <v>7</v>
      </c>
      <c r="M228" s="7">
        <f>F228/E228</f>
        <v/>
      </c>
      <c r="N228" s="7">
        <f>F228/(E228+G228*45)</f>
        <v/>
      </c>
      <c r="O228" s="6">
        <f>I228/F228</f>
        <v/>
      </c>
      <c r="P228" s="6">
        <f>J228/F228</f>
        <v/>
      </c>
      <c r="Q228" s="7">
        <f>IFERROR(K228/F228,0)</f>
        <v/>
      </c>
      <c r="R228">
        <f>IF(M228&gt;=1,"On Target",IF(M228&gt;=0.9,"Watch","Below Target"))</f>
        <v/>
      </c>
    </row>
    <row r="229">
      <c r="A229" t="n">
        <v>225</v>
      </c>
      <c r="B229" s="5" t="n">
        <v>46097</v>
      </c>
      <c r="C229" t="inlineStr">
        <is>
          <t>Night</t>
        </is>
      </c>
      <c r="D229" t="inlineStr">
        <is>
          <t>OPC</t>
        </is>
      </c>
      <c r="E229" s="6" t="n">
        <v>1156</v>
      </c>
      <c r="F229" s="6" t="n">
        <v>920.4</v>
      </c>
      <c r="G229" s="6" t="n">
        <v>4.31</v>
      </c>
      <c r="H229" t="inlineStr">
        <is>
          <t>Planned Maintenance</t>
        </is>
      </c>
      <c r="I229" s="6" t="n">
        <v>1401.8</v>
      </c>
      <c r="J229" s="6" t="n">
        <v>72500.2</v>
      </c>
      <c r="K229" t="n">
        <v>3</v>
      </c>
      <c r="L229" t="n">
        <v>9</v>
      </c>
      <c r="M229" s="7">
        <f>F229/E229</f>
        <v/>
      </c>
      <c r="N229" s="7">
        <f>F229/(E229+G229*45)</f>
        <v/>
      </c>
      <c r="O229" s="6">
        <f>I229/F229</f>
        <v/>
      </c>
      <c r="P229" s="6">
        <f>J229/F229</f>
        <v/>
      </c>
      <c r="Q229" s="7">
        <f>IFERROR(K229/F229,0)</f>
        <v/>
      </c>
      <c r="R229">
        <f>IF(M229&gt;=1,"On Target",IF(M229&gt;=0.9,"Watch","Below Target"))</f>
        <v/>
      </c>
    </row>
    <row r="230">
      <c r="A230" t="n">
        <v>226</v>
      </c>
      <c r="B230" s="5" t="n">
        <v>46098</v>
      </c>
      <c r="C230" t="inlineStr">
        <is>
          <t>Day</t>
        </is>
      </c>
      <c r="D230" t="inlineStr">
        <is>
          <t>PPC</t>
        </is>
      </c>
      <c r="E230" s="6" t="n">
        <v>1026</v>
      </c>
      <c r="F230" s="6" t="n">
        <v>1058.4</v>
      </c>
      <c r="G230" s="6" t="n">
        <v>0.38</v>
      </c>
      <c r="H230" t="inlineStr">
        <is>
          <t>No Downtime</t>
        </is>
      </c>
      <c r="I230" s="6" t="n">
        <v>1610.1</v>
      </c>
      <c r="J230" s="6" t="n">
        <v>82744.3</v>
      </c>
      <c r="K230" t="n">
        <v>6</v>
      </c>
      <c r="L230" t="n">
        <v>7</v>
      </c>
      <c r="M230" s="7">
        <f>F230/E230</f>
        <v/>
      </c>
      <c r="N230" s="7">
        <f>F230/(E230+G230*45)</f>
        <v/>
      </c>
      <c r="O230" s="6">
        <f>I230/F230</f>
        <v/>
      </c>
      <c r="P230" s="6">
        <f>J230/F230</f>
        <v/>
      </c>
      <c r="Q230" s="7">
        <f>IFERROR(K230/F230,0)</f>
        <v/>
      </c>
      <c r="R230">
        <f>IF(M230&gt;=1,"On Target",IF(M230&gt;=0.9,"Watch","Below Target"))</f>
        <v/>
      </c>
    </row>
    <row r="231">
      <c r="A231" t="n">
        <v>227</v>
      </c>
      <c r="B231" s="5" t="n">
        <v>46098</v>
      </c>
      <c r="C231" t="inlineStr">
        <is>
          <t>Evening</t>
        </is>
      </c>
      <c r="D231" t="inlineStr">
        <is>
          <t>OPC</t>
        </is>
      </c>
      <c r="E231" s="6" t="n">
        <v>1148</v>
      </c>
      <c r="F231" s="6" t="n">
        <v>1079.2</v>
      </c>
      <c r="G231" s="6" t="n">
        <v>1.79</v>
      </c>
      <c r="H231" t="inlineStr">
        <is>
          <t>Mechanical Failure</t>
        </is>
      </c>
      <c r="I231" s="6" t="n">
        <v>1626.5</v>
      </c>
      <c r="J231" s="6" t="n">
        <v>86510.2</v>
      </c>
      <c r="K231" t="n">
        <v>2</v>
      </c>
      <c r="L231" t="n">
        <v>7</v>
      </c>
      <c r="M231" s="7">
        <f>F231/E231</f>
        <v/>
      </c>
      <c r="N231" s="7">
        <f>F231/(E231+G231*45)</f>
        <v/>
      </c>
      <c r="O231" s="6">
        <f>I231/F231</f>
        <v/>
      </c>
      <c r="P231" s="6">
        <f>J231/F231</f>
        <v/>
      </c>
      <c r="Q231" s="7">
        <f>IFERROR(K231/F231,0)</f>
        <v/>
      </c>
      <c r="R231">
        <f>IF(M231&gt;=1,"On Target",IF(M231&gt;=0.9,"Watch","Below Target"))</f>
        <v/>
      </c>
    </row>
    <row r="232">
      <c r="A232" t="n">
        <v>228</v>
      </c>
      <c r="B232" s="5" t="n">
        <v>46098</v>
      </c>
      <c r="C232" t="inlineStr">
        <is>
          <t>Night</t>
        </is>
      </c>
      <c r="D232" t="inlineStr">
        <is>
          <t>PPC</t>
        </is>
      </c>
      <c r="E232" s="6" t="n">
        <v>1056</v>
      </c>
      <c r="F232" s="6" t="n">
        <v>715.4</v>
      </c>
      <c r="G232" s="6" t="n">
        <v>4.15</v>
      </c>
      <c r="H232" t="inlineStr">
        <is>
          <t>Electrical Failure</t>
        </is>
      </c>
      <c r="I232" s="6" t="n">
        <v>1026.5</v>
      </c>
      <c r="J232" s="6" t="n">
        <v>59077.2</v>
      </c>
      <c r="K232" t="n">
        <v>1</v>
      </c>
      <c r="L232" t="n">
        <v>9</v>
      </c>
      <c r="M232" s="7">
        <f>F232/E232</f>
        <v/>
      </c>
      <c r="N232" s="7">
        <f>F232/(E232+G232*45)</f>
        <v/>
      </c>
      <c r="O232" s="6">
        <f>I232/F232</f>
        <v/>
      </c>
      <c r="P232" s="6">
        <f>J232/F232</f>
        <v/>
      </c>
      <c r="Q232" s="7">
        <f>IFERROR(K232/F232,0)</f>
        <v/>
      </c>
      <c r="R232">
        <f>IF(M232&gt;=1,"On Target",IF(M232&gt;=0.9,"Watch","Below Target"))</f>
        <v/>
      </c>
    </row>
    <row r="233">
      <c r="A233" t="n">
        <v>229</v>
      </c>
      <c r="B233" s="5" t="n">
        <v>46099</v>
      </c>
      <c r="C233" t="inlineStr">
        <is>
          <t>Day</t>
        </is>
      </c>
      <c r="D233" t="inlineStr">
        <is>
          <t>SRC</t>
        </is>
      </c>
      <c r="E233" s="6" t="n">
        <v>1017</v>
      </c>
      <c r="F233" s="6" t="n">
        <v>1007</v>
      </c>
      <c r="G233" s="6" t="n">
        <v>0.41</v>
      </c>
      <c r="H233" t="inlineStr">
        <is>
          <t>No Downtime</t>
        </is>
      </c>
      <c r="I233" s="6" t="n">
        <v>1548.2</v>
      </c>
      <c r="J233" s="6" t="n">
        <v>82772.2</v>
      </c>
      <c r="K233" t="n">
        <v>1</v>
      </c>
      <c r="L233" t="n">
        <v>9</v>
      </c>
      <c r="M233" s="7">
        <f>F233/E233</f>
        <v/>
      </c>
      <c r="N233" s="7">
        <f>F233/(E233+G233*45)</f>
        <v/>
      </c>
      <c r="O233" s="6">
        <f>I233/F233</f>
        <v/>
      </c>
      <c r="P233" s="6">
        <f>J233/F233</f>
        <v/>
      </c>
      <c r="Q233" s="7">
        <f>IFERROR(K233/F233,0)</f>
        <v/>
      </c>
      <c r="R233">
        <f>IF(M233&gt;=1,"On Target",IF(M233&gt;=0.9,"Watch","Below Target"))</f>
        <v/>
      </c>
    </row>
    <row r="234">
      <c r="A234" t="n">
        <v>230</v>
      </c>
      <c r="B234" s="5" t="n">
        <v>46099</v>
      </c>
      <c r="C234" t="inlineStr">
        <is>
          <t>Evening</t>
        </is>
      </c>
      <c r="D234" t="inlineStr">
        <is>
          <t>PPC</t>
        </is>
      </c>
      <c r="E234" s="6" t="n">
        <v>1022</v>
      </c>
      <c r="F234" s="6" t="n">
        <v>835</v>
      </c>
      <c r="G234" s="6" t="n">
        <v>4.19</v>
      </c>
      <c r="H234" t="inlineStr">
        <is>
          <t>Planned Maintenance</t>
        </is>
      </c>
      <c r="I234" s="6" t="n">
        <v>1297.5</v>
      </c>
      <c r="J234" s="6" t="n">
        <v>66598.8</v>
      </c>
      <c r="K234" t="n">
        <v>1</v>
      </c>
      <c r="L234" t="n">
        <v>12</v>
      </c>
      <c r="M234" s="7">
        <f>F234/E234</f>
        <v/>
      </c>
      <c r="N234" s="7">
        <f>F234/(E234+G234*45)</f>
        <v/>
      </c>
      <c r="O234" s="6">
        <f>I234/F234</f>
        <v/>
      </c>
      <c r="P234" s="6">
        <f>J234/F234</f>
        <v/>
      </c>
      <c r="Q234" s="7">
        <f>IFERROR(K234/F234,0)</f>
        <v/>
      </c>
      <c r="R234">
        <f>IF(M234&gt;=1,"On Target",IF(M234&gt;=0.9,"Watch","Below Target"))</f>
        <v/>
      </c>
    </row>
    <row r="235">
      <c r="A235" t="n">
        <v>231</v>
      </c>
      <c r="B235" s="5" t="n">
        <v>46099</v>
      </c>
      <c r="C235" t="inlineStr">
        <is>
          <t>Night</t>
        </is>
      </c>
      <c r="D235" t="inlineStr">
        <is>
          <t>PPC</t>
        </is>
      </c>
      <c r="E235" s="6" t="n">
        <v>1076</v>
      </c>
      <c r="F235" s="6" t="n">
        <v>901.7</v>
      </c>
      <c r="G235" s="6" t="n">
        <v>2.53</v>
      </c>
      <c r="H235" t="inlineStr">
        <is>
          <t>Mechanical Failure</t>
        </is>
      </c>
      <c r="I235" s="6" t="n">
        <v>1368.9</v>
      </c>
      <c r="J235" s="6" t="n">
        <v>73074.7</v>
      </c>
      <c r="K235" t="n">
        <v>3</v>
      </c>
      <c r="L235" t="n">
        <v>10</v>
      </c>
      <c r="M235" s="7">
        <f>F235/E235</f>
        <v/>
      </c>
      <c r="N235" s="7">
        <f>F235/(E235+G235*45)</f>
        <v/>
      </c>
      <c r="O235" s="6">
        <f>I235/F235</f>
        <v/>
      </c>
      <c r="P235" s="6">
        <f>J235/F235</f>
        <v/>
      </c>
      <c r="Q235" s="7">
        <f>IFERROR(K235/F235,0)</f>
        <v/>
      </c>
      <c r="R235">
        <f>IF(M235&gt;=1,"On Target",IF(M235&gt;=0.9,"Watch","Below Target"))</f>
        <v/>
      </c>
    </row>
    <row r="236">
      <c r="A236" t="n">
        <v>232</v>
      </c>
      <c r="B236" s="5" t="n">
        <v>46100</v>
      </c>
      <c r="C236" t="inlineStr">
        <is>
          <t>Day</t>
        </is>
      </c>
      <c r="D236" t="inlineStr">
        <is>
          <t>OPC</t>
        </is>
      </c>
      <c r="E236" s="6" t="n">
        <v>1168</v>
      </c>
      <c r="F236" s="6" t="n">
        <v>922.4</v>
      </c>
      <c r="G236" s="6" t="n">
        <v>5.23</v>
      </c>
      <c r="H236" t="inlineStr">
        <is>
          <t>Electrical Failure</t>
        </is>
      </c>
      <c r="I236" s="6" t="n">
        <v>1407.3</v>
      </c>
      <c r="J236" s="6" t="n">
        <v>75485.5</v>
      </c>
      <c r="K236" t="n">
        <v>3</v>
      </c>
      <c r="L236" t="n">
        <v>12</v>
      </c>
      <c r="M236" s="7">
        <f>F236/E236</f>
        <v/>
      </c>
      <c r="N236" s="7">
        <f>F236/(E236+G236*45)</f>
        <v/>
      </c>
      <c r="O236" s="6">
        <f>I236/F236</f>
        <v/>
      </c>
      <c r="P236" s="6">
        <f>J236/F236</f>
        <v/>
      </c>
      <c r="Q236" s="7">
        <f>IFERROR(K236/F236,0)</f>
        <v/>
      </c>
      <c r="R236">
        <f>IF(M236&gt;=1,"On Target",IF(M236&gt;=0.9,"Watch","Below Target"))</f>
        <v/>
      </c>
    </row>
    <row r="237">
      <c r="A237" t="n">
        <v>233</v>
      </c>
      <c r="B237" s="5" t="n">
        <v>46100</v>
      </c>
      <c r="C237" t="inlineStr">
        <is>
          <t>Evening</t>
        </is>
      </c>
      <c r="D237" t="inlineStr">
        <is>
          <t>PPC</t>
        </is>
      </c>
      <c r="E237" s="6" t="n">
        <v>1029</v>
      </c>
      <c r="F237" s="6" t="n">
        <v>950.4</v>
      </c>
      <c r="G237" s="6" t="n">
        <v>0.5600000000000001</v>
      </c>
      <c r="H237" t="inlineStr">
        <is>
          <t>Raw Material Shortage</t>
        </is>
      </c>
      <c r="I237" s="6" t="n">
        <v>1400.4</v>
      </c>
      <c r="J237" s="6" t="n">
        <v>78223.3</v>
      </c>
      <c r="K237" t="n">
        <v>2</v>
      </c>
      <c r="L237" t="n">
        <v>11</v>
      </c>
      <c r="M237" s="7">
        <f>F237/E237</f>
        <v/>
      </c>
      <c r="N237" s="7">
        <f>F237/(E237+G237*45)</f>
        <v/>
      </c>
      <c r="O237" s="6">
        <f>I237/F237</f>
        <v/>
      </c>
      <c r="P237" s="6">
        <f>J237/F237</f>
        <v/>
      </c>
      <c r="Q237" s="7">
        <f>IFERROR(K237/F237,0)</f>
        <v/>
      </c>
      <c r="R237">
        <f>IF(M237&gt;=1,"On Target",IF(M237&gt;=0.9,"Watch","Below Target"))</f>
        <v/>
      </c>
    </row>
    <row r="238">
      <c r="A238" t="n">
        <v>234</v>
      </c>
      <c r="B238" s="5" t="n">
        <v>46100</v>
      </c>
      <c r="C238" t="inlineStr">
        <is>
          <t>Night</t>
        </is>
      </c>
      <c r="D238" t="inlineStr">
        <is>
          <t>OPC</t>
        </is>
      </c>
      <c r="E238" s="6" t="n">
        <v>1150</v>
      </c>
      <c r="F238" s="6" t="n">
        <v>777.8</v>
      </c>
      <c r="G238" s="6" t="n">
        <v>4.83</v>
      </c>
      <c r="H238" t="inlineStr">
        <is>
          <t>Mechanical Failure</t>
        </is>
      </c>
      <c r="I238" s="6" t="n">
        <v>1228.6</v>
      </c>
      <c r="J238" s="6" t="n">
        <v>64148</v>
      </c>
      <c r="K238" t="n">
        <v>3</v>
      </c>
      <c r="L238" t="n">
        <v>9</v>
      </c>
      <c r="M238" s="7">
        <f>F238/E238</f>
        <v/>
      </c>
      <c r="N238" s="7">
        <f>F238/(E238+G238*45)</f>
        <v/>
      </c>
      <c r="O238" s="6">
        <f>I238/F238</f>
        <v/>
      </c>
      <c r="P238" s="6">
        <f>J238/F238</f>
        <v/>
      </c>
      <c r="Q238" s="7">
        <f>IFERROR(K238/F238,0)</f>
        <v/>
      </c>
      <c r="R238">
        <f>IF(M238&gt;=1,"On Target",IF(M238&gt;=0.9,"Watch","Below Target"))</f>
        <v/>
      </c>
    </row>
    <row r="239">
      <c r="A239" t="n">
        <v>235</v>
      </c>
      <c r="B239" s="5" t="n">
        <v>46101</v>
      </c>
      <c r="C239" t="inlineStr">
        <is>
          <t>Day</t>
        </is>
      </c>
      <c r="D239" t="inlineStr">
        <is>
          <t>OPC</t>
        </is>
      </c>
      <c r="E239" s="6" t="n">
        <v>1129</v>
      </c>
      <c r="F239" s="6" t="n">
        <v>940.1</v>
      </c>
      <c r="G239" s="6" t="n">
        <v>4.18</v>
      </c>
      <c r="H239" t="inlineStr">
        <is>
          <t>Planned Maintenance</t>
        </is>
      </c>
      <c r="I239" s="6" t="n">
        <v>1386.3</v>
      </c>
      <c r="J239" s="6" t="n">
        <v>80212.2</v>
      </c>
      <c r="K239" t="n">
        <v>0</v>
      </c>
      <c r="L239" t="n">
        <v>9</v>
      </c>
      <c r="M239" s="7">
        <f>F239/E239</f>
        <v/>
      </c>
      <c r="N239" s="7">
        <f>F239/(E239+G239*45)</f>
        <v/>
      </c>
      <c r="O239" s="6">
        <f>I239/F239</f>
        <v/>
      </c>
      <c r="P239" s="6">
        <f>J239/F239</f>
        <v/>
      </c>
      <c r="Q239" s="7">
        <f>IFERROR(K239/F239,0)</f>
        <v/>
      </c>
      <c r="R239">
        <f>IF(M239&gt;=1,"On Target",IF(M239&gt;=0.9,"Watch","Below Target"))</f>
        <v/>
      </c>
    </row>
    <row r="240">
      <c r="A240" t="n">
        <v>236</v>
      </c>
      <c r="B240" s="5" t="n">
        <v>46101</v>
      </c>
      <c r="C240" t="inlineStr">
        <is>
          <t>Evening</t>
        </is>
      </c>
      <c r="D240" t="inlineStr">
        <is>
          <t>OPC</t>
        </is>
      </c>
      <c r="E240" s="6" t="n">
        <v>1136</v>
      </c>
      <c r="F240" s="6" t="n">
        <v>1010</v>
      </c>
      <c r="G240" s="6" t="n">
        <v>3.1</v>
      </c>
      <c r="H240" t="inlineStr">
        <is>
          <t>Planned Maintenance</t>
        </is>
      </c>
      <c r="I240" s="6" t="n">
        <v>1558.4</v>
      </c>
      <c r="J240" s="6" t="n">
        <v>76613.10000000001</v>
      </c>
      <c r="K240" t="n">
        <v>3</v>
      </c>
      <c r="L240" t="n">
        <v>9</v>
      </c>
      <c r="M240" s="7">
        <f>F240/E240</f>
        <v/>
      </c>
      <c r="N240" s="7">
        <f>F240/(E240+G240*45)</f>
        <v/>
      </c>
      <c r="O240" s="6">
        <f>I240/F240</f>
        <v/>
      </c>
      <c r="P240" s="6">
        <f>J240/F240</f>
        <v/>
      </c>
      <c r="Q240" s="7">
        <f>IFERROR(K240/F240,0)</f>
        <v/>
      </c>
      <c r="R240">
        <f>IF(M240&gt;=1,"On Target",IF(M240&gt;=0.9,"Watch","Below Target"))</f>
        <v/>
      </c>
    </row>
    <row r="241">
      <c r="A241" t="n">
        <v>237</v>
      </c>
      <c r="B241" s="5" t="n">
        <v>46101</v>
      </c>
      <c r="C241" t="inlineStr">
        <is>
          <t>Night</t>
        </is>
      </c>
      <c r="D241" t="inlineStr">
        <is>
          <t>PPC</t>
        </is>
      </c>
      <c r="E241" s="6" t="n">
        <v>1057</v>
      </c>
      <c r="F241" s="6" t="n">
        <v>816.4</v>
      </c>
      <c r="G241" s="6" t="n">
        <v>4.95</v>
      </c>
      <c r="H241" t="inlineStr">
        <is>
          <t>Mechanical Failure</t>
        </is>
      </c>
      <c r="I241" s="6" t="n">
        <v>1258.6</v>
      </c>
      <c r="J241" s="6" t="n">
        <v>66409.10000000001</v>
      </c>
      <c r="K241" t="n">
        <v>3</v>
      </c>
      <c r="L241" t="n">
        <v>12</v>
      </c>
      <c r="M241" s="7">
        <f>F241/E241</f>
        <v/>
      </c>
      <c r="N241" s="7">
        <f>F241/(E241+G241*45)</f>
        <v/>
      </c>
      <c r="O241" s="6">
        <f>I241/F241</f>
        <v/>
      </c>
      <c r="P241" s="6">
        <f>J241/F241</f>
        <v/>
      </c>
      <c r="Q241" s="7">
        <f>IFERROR(K241/F241,0)</f>
        <v/>
      </c>
      <c r="R241">
        <f>IF(M241&gt;=1,"On Target",IF(M241&gt;=0.9,"Watch","Below Target"))</f>
        <v/>
      </c>
    </row>
    <row r="242">
      <c r="A242" t="n">
        <v>238</v>
      </c>
      <c r="B242" s="5" t="n">
        <v>46102</v>
      </c>
      <c r="C242" t="inlineStr">
        <is>
          <t>Day</t>
        </is>
      </c>
      <c r="D242" t="inlineStr">
        <is>
          <t>OPC</t>
        </is>
      </c>
      <c r="E242" s="6" t="n">
        <v>1141</v>
      </c>
      <c r="F242" s="6" t="n">
        <v>959.2</v>
      </c>
      <c r="G242" s="6" t="n">
        <v>3.3</v>
      </c>
      <c r="H242" t="inlineStr">
        <is>
          <t>Quality Issue</t>
        </is>
      </c>
      <c r="I242" s="6" t="n">
        <v>1430</v>
      </c>
      <c r="J242" s="6" t="n">
        <v>83151</v>
      </c>
      <c r="K242" t="n">
        <v>3</v>
      </c>
      <c r="L242" t="n">
        <v>10</v>
      </c>
      <c r="M242" s="7">
        <f>F242/E242</f>
        <v/>
      </c>
      <c r="N242" s="7">
        <f>F242/(E242+G242*45)</f>
        <v/>
      </c>
      <c r="O242" s="6">
        <f>I242/F242</f>
        <v/>
      </c>
      <c r="P242" s="6">
        <f>J242/F242</f>
        <v/>
      </c>
      <c r="Q242" s="7">
        <f>IFERROR(K242/F242,0)</f>
        <v/>
      </c>
      <c r="R242">
        <f>IF(M242&gt;=1,"On Target",IF(M242&gt;=0.9,"Watch","Below Target"))</f>
        <v/>
      </c>
    </row>
    <row r="243">
      <c r="A243" t="n">
        <v>239</v>
      </c>
      <c r="B243" s="5" t="n">
        <v>46102</v>
      </c>
      <c r="C243" t="inlineStr">
        <is>
          <t>Evening</t>
        </is>
      </c>
      <c r="D243" t="inlineStr">
        <is>
          <t>OPC</t>
        </is>
      </c>
      <c r="E243" s="6" t="n">
        <v>1182</v>
      </c>
      <c r="F243" s="6" t="n">
        <v>880.4</v>
      </c>
      <c r="G243" s="6" t="n">
        <v>4.45</v>
      </c>
      <c r="H243" t="inlineStr">
        <is>
          <t>Planned Maintenance</t>
        </is>
      </c>
      <c r="I243" s="6" t="n">
        <v>1356.3</v>
      </c>
      <c r="J243" s="6" t="n">
        <v>68216.39999999999</v>
      </c>
      <c r="K243" t="n">
        <v>1</v>
      </c>
      <c r="L243" t="n">
        <v>10</v>
      </c>
      <c r="M243" s="7">
        <f>F243/E243</f>
        <v/>
      </c>
      <c r="N243" s="7">
        <f>F243/(E243+G243*45)</f>
        <v/>
      </c>
      <c r="O243" s="6">
        <f>I243/F243</f>
        <v/>
      </c>
      <c r="P243" s="6">
        <f>J243/F243</f>
        <v/>
      </c>
      <c r="Q243" s="7">
        <f>IFERROR(K243/F243,0)</f>
        <v/>
      </c>
      <c r="R243">
        <f>IF(M243&gt;=1,"On Target",IF(M243&gt;=0.9,"Watch","Below Target"))</f>
        <v/>
      </c>
    </row>
    <row r="244">
      <c r="A244" t="n">
        <v>240</v>
      </c>
      <c r="B244" s="5" t="n">
        <v>46102</v>
      </c>
      <c r="C244" t="inlineStr">
        <is>
          <t>Night</t>
        </is>
      </c>
      <c r="D244" t="inlineStr">
        <is>
          <t>OPC</t>
        </is>
      </c>
      <c r="E244" s="6" t="n">
        <v>1172</v>
      </c>
      <c r="F244" s="6" t="n">
        <v>776.9</v>
      </c>
      <c r="G244" s="6" t="n">
        <v>4.78</v>
      </c>
      <c r="H244" t="inlineStr">
        <is>
          <t>Mechanical Failure</t>
        </is>
      </c>
      <c r="I244" s="6" t="n">
        <v>1134.2</v>
      </c>
      <c r="J244" s="6" t="n">
        <v>67669.10000000001</v>
      </c>
      <c r="K244" t="n">
        <v>3</v>
      </c>
      <c r="L244" t="n">
        <v>11</v>
      </c>
      <c r="M244" s="7">
        <f>F244/E244</f>
        <v/>
      </c>
      <c r="N244" s="7">
        <f>F244/(E244+G244*45)</f>
        <v/>
      </c>
      <c r="O244" s="6">
        <f>I244/F244</f>
        <v/>
      </c>
      <c r="P244" s="6">
        <f>J244/F244</f>
        <v/>
      </c>
      <c r="Q244" s="7">
        <f>IFERROR(K244/F244,0)</f>
        <v/>
      </c>
      <c r="R244">
        <f>IF(M244&gt;=1,"On Target",IF(M244&gt;=0.9,"Watch","Below Target"))</f>
        <v/>
      </c>
    </row>
    <row r="245">
      <c r="A245" t="n">
        <v>241</v>
      </c>
      <c r="B245" s="5" t="n">
        <v>46103</v>
      </c>
      <c r="C245" t="inlineStr">
        <is>
          <t>Day</t>
        </is>
      </c>
      <c r="D245" t="inlineStr">
        <is>
          <t>PPC</t>
        </is>
      </c>
      <c r="E245" s="6" t="n">
        <v>1012</v>
      </c>
      <c r="F245" s="6" t="n">
        <v>1045.2</v>
      </c>
      <c r="G245" s="6" t="n">
        <v>0.26</v>
      </c>
      <c r="H245" t="inlineStr">
        <is>
          <t>No Downtime</t>
        </is>
      </c>
      <c r="I245" s="6" t="n">
        <v>1581.9</v>
      </c>
      <c r="J245" s="6" t="n">
        <v>83112.89999999999</v>
      </c>
      <c r="K245" t="n">
        <v>4</v>
      </c>
      <c r="L245" t="n">
        <v>12</v>
      </c>
      <c r="M245" s="7">
        <f>F245/E245</f>
        <v/>
      </c>
      <c r="N245" s="7">
        <f>F245/(E245+G245*45)</f>
        <v/>
      </c>
      <c r="O245" s="6">
        <f>I245/F245</f>
        <v/>
      </c>
      <c r="P245" s="6">
        <f>J245/F245</f>
        <v/>
      </c>
      <c r="Q245" s="7">
        <f>IFERROR(K245/F245,0)</f>
        <v/>
      </c>
      <c r="R245">
        <f>IF(M245&gt;=1,"On Target",IF(M245&gt;=0.9,"Watch","Below Target"))</f>
        <v/>
      </c>
    </row>
    <row r="246">
      <c r="A246" t="n">
        <v>242</v>
      </c>
      <c r="B246" s="5" t="n">
        <v>46103</v>
      </c>
      <c r="C246" t="inlineStr">
        <is>
          <t>Evening</t>
        </is>
      </c>
      <c r="D246" t="inlineStr">
        <is>
          <t>SRC</t>
        </is>
      </c>
      <c r="E246" s="6" t="n">
        <v>995</v>
      </c>
      <c r="F246" s="6" t="n">
        <v>1009.6</v>
      </c>
      <c r="G246" s="6" t="n">
        <v>0.32</v>
      </c>
      <c r="H246" t="inlineStr">
        <is>
          <t>No Downtime</t>
        </is>
      </c>
      <c r="I246" s="6" t="n">
        <v>1534.5</v>
      </c>
      <c r="J246" s="6" t="n">
        <v>87923.7</v>
      </c>
      <c r="K246" t="n">
        <v>3</v>
      </c>
      <c r="L246" t="n">
        <v>12</v>
      </c>
      <c r="M246" s="7">
        <f>F246/E246</f>
        <v/>
      </c>
      <c r="N246" s="7">
        <f>F246/(E246+G246*45)</f>
        <v/>
      </c>
      <c r="O246" s="6">
        <f>I246/F246</f>
        <v/>
      </c>
      <c r="P246" s="6">
        <f>J246/F246</f>
        <v/>
      </c>
      <c r="Q246" s="7">
        <f>IFERROR(K246/F246,0)</f>
        <v/>
      </c>
      <c r="R246">
        <f>IF(M246&gt;=1,"On Target",IF(M246&gt;=0.9,"Watch","Below Target"))</f>
        <v/>
      </c>
    </row>
    <row r="247">
      <c r="A247" t="n">
        <v>243</v>
      </c>
      <c r="B247" s="5" t="n">
        <v>46103</v>
      </c>
      <c r="C247" t="inlineStr">
        <is>
          <t>Night</t>
        </is>
      </c>
      <c r="D247" t="inlineStr">
        <is>
          <t>PPC</t>
        </is>
      </c>
      <c r="E247" s="6" t="n">
        <v>1067</v>
      </c>
      <c r="F247" s="6" t="n">
        <v>929.6</v>
      </c>
      <c r="G247" s="6" t="n">
        <v>1.03</v>
      </c>
      <c r="H247" t="inlineStr">
        <is>
          <t>Quality Issue</t>
        </is>
      </c>
      <c r="I247" s="6" t="n">
        <v>1396.9</v>
      </c>
      <c r="J247" s="6" t="n">
        <v>81595.2</v>
      </c>
      <c r="K247" t="n">
        <v>2</v>
      </c>
      <c r="L247" t="n">
        <v>11</v>
      </c>
      <c r="M247" s="7">
        <f>F247/E247</f>
        <v/>
      </c>
      <c r="N247" s="7">
        <f>F247/(E247+G247*45)</f>
        <v/>
      </c>
      <c r="O247" s="6">
        <f>I247/F247</f>
        <v/>
      </c>
      <c r="P247" s="6">
        <f>J247/F247</f>
        <v/>
      </c>
      <c r="Q247" s="7">
        <f>IFERROR(K247/F247,0)</f>
        <v/>
      </c>
      <c r="R247">
        <f>IF(M247&gt;=1,"On Target",IF(M247&gt;=0.9,"Watch","Below Target"))</f>
        <v/>
      </c>
    </row>
    <row r="248">
      <c r="A248" t="n">
        <v>244</v>
      </c>
      <c r="B248" s="5" t="n">
        <v>46104</v>
      </c>
      <c r="C248" t="inlineStr">
        <is>
          <t>Day</t>
        </is>
      </c>
      <c r="D248" t="inlineStr">
        <is>
          <t>OPC</t>
        </is>
      </c>
      <c r="E248" s="6" t="n">
        <v>1183</v>
      </c>
      <c r="F248" s="6" t="n">
        <v>1049.5</v>
      </c>
      <c r="G248" s="6" t="n">
        <v>3.58</v>
      </c>
      <c r="H248" t="inlineStr">
        <is>
          <t>Raw Material Shortage</t>
        </is>
      </c>
      <c r="I248" s="6" t="n">
        <v>1591.5</v>
      </c>
      <c r="J248" s="6" t="n">
        <v>89335.7</v>
      </c>
      <c r="K248" t="n">
        <v>3</v>
      </c>
      <c r="L248" t="n">
        <v>7</v>
      </c>
      <c r="M248" s="7">
        <f>F248/E248</f>
        <v/>
      </c>
      <c r="N248" s="7">
        <f>F248/(E248+G248*45)</f>
        <v/>
      </c>
      <c r="O248" s="6">
        <f>I248/F248</f>
        <v/>
      </c>
      <c r="P248" s="6">
        <f>J248/F248</f>
        <v/>
      </c>
      <c r="Q248" s="7">
        <f>IFERROR(K248/F248,0)</f>
        <v/>
      </c>
      <c r="R248">
        <f>IF(M248&gt;=1,"On Target",IF(M248&gt;=0.9,"Watch","Below Target"))</f>
        <v/>
      </c>
    </row>
    <row r="249">
      <c r="A249" t="n">
        <v>245</v>
      </c>
      <c r="B249" s="5" t="n">
        <v>46104</v>
      </c>
      <c r="C249" t="inlineStr">
        <is>
          <t>Evening</t>
        </is>
      </c>
      <c r="D249" t="inlineStr">
        <is>
          <t>SRC</t>
        </is>
      </c>
      <c r="E249" s="6" t="n">
        <v>985</v>
      </c>
      <c r="F249" s="6" t="n">
        <v>908.1</v>
      </c>
      <c r="G249" s="6" t="n">
        <v>0.25</v>
      </c>
      <c r="H249" t="inlineStr">
        <is>
          <t>Quality Issue</t>
        </is>
      </c>
      <c r="I249" s="6" t="n">
        <v>1373.1</v>
      </c>
      <c r="J249" s="6" t="n">
        <v>71374.60000000001</v>
      </c>
      <c r="K249" t="n">
        <v>2</v>
      </c>
      <c r="L249" t="n">
        <v>12</v>
      </c>
      <c r="M249" s="7">
        <f>F249/E249</f>
        <v/>
      </c>
      <c r="N249" s="7">
        <f>F249/(E249+G249*45)</f>
        <v/>
      </c>
      <c r="O249" s="6">
        <f>I249/F249</f>
        <v/>
      </c>
      <c r="P249" s="6">
        <f>J249/F249</f>
        <v/>
      </c>
      <c r="Q249" s="7">
        <f>IFERROR(K249/F249,0)</f>
        <v/>
      </c>
      <c r="R249">
        <f>IF(M249&gt;=1,"On Target",IF(M249&gt;=0.9,"Watch","Below Target"))</f>
        <v/>
      </c>
    </row>
    <row r="250">
      <c r="A250" t="n">
        <v>246</v>
      </c>
      <c r="B250" s="5" t="n">
        <v>46104</v>
      </c>
      <c r="C250" t="inlineStr">
        <is>
          <t>Night</t>
        </is>
      </c>
      <c r="D250" t="inlineStr">
        <is>
          <t>PPC</t>
        </is>
      </c>
      <c r="E250" s="6" t="n">
        <v>1090</v>
      </c>
      <c r="F250" s="6" t="n">
        <v>857.7</v>
      </c>
      <c r="G250" s="6" t="n">
        <v>1.33</v>
      </c>
      <c r="H250" t="inlineStr">
        <is>
          <t>Raw Material Shortage</t>
        </is>
      </c>
      <c r="I250" s="6" t="n">
        <v>1234</v>
      </c>
      <c r="J250" s="6" t="n">
        <v>66673</v>
      </c>
      <c r="K250" t="n">
        <v>3</v>
      </c>
      <c r="L250" t="n">
        <v>11</v>
      </c>
      <c r="M250" s="7">
        <f>F250/E250</f>
        <v/>
      </c>
      <c r="N250" s="7">
        <f>F250/(E250+G250*45)</f>
        <v/>
      </c>
      <c r="O250" s="6">
        <f>I250/F250</f>
        <v/>
      </c>
      <c r="P250" s="6">
        <f>J250/F250</f>
        <v/>
      </c>
      <c r="Q250" s="7">
        <f>IFERROR(K250/F250,0)</f>
        <v/>
      </c>
      <c r="R250">
        <f>IF(M250&gt;=1,"On Target",IF(M250&gt;=0.9,"Watch","Below Target"))</f>
        <v/>
      </c>
    </row>
    <row r="251">
      <c r="A251" t="n">
        <v>247</v>
      </c>
      <c r="B251" s="5" t="n">
        <v>46105</v>
      </c>
      <c r="C251" t="inlineStr">
        <is>
          <t>Day</t>
        </is>
      </c>
      <c r="D251" t="inlineStr">
        <is>
          <t>PPC</t>
        </is>
      </c>
      <c r="E251" s="6" t="n">
        <v>1015</v>
      </c>
      <c r="F251" s="6" t="n">
        <v>1024.2</v>
      </c>
      <c r="G251" s="6" t="n">
        <v>1.05</v>
      </c>
      <c r="H251" t="inlineStr">
        <is>
          <t>Quality Issue</t>
        </is>
      </c>
      <c r="I251" s="6" t="n">
        <v>1521.4</v>
      </c>
      <c r="J251" s="6" t="n">
        <v>76682</v>
      </c>
      <c r="K251" t="n">
        <v>4</v>
      </c>
      <c r="L251" t="n">
        <v>8</v>
      </c>
      <c r="M251" s="7">
        <f>F251/E251</f>
        <v/>
      </c>
      <c r="N251" s="7">
        <f>F251/(E251+G251*45)</f>
        <v/>
      </c>
      <c r="O251" s="6">
        <f>I251/F251</f>
        <v/>
      </c>
      <c r="P251" s="6">
        <f>J251/F251</f>
        <v/>
      </c>
      <c r="Q251" s="7">
        <f>IFERROR(K251/F251,0)</f>
        <v/>
      </c>
      <c r="R251">
        <f>IF(M251&gt;=1,"On Target",IF(M251&gt;=0.9,"Watch","Below Target"))</f>
        <v/>
      </c>
    </row>
    <row r="252">
      <c r="A252" t="n">
        <v>248</v>
      </c>
      <c r="B252" s="5" t="n">
        <v>46105</v>
      </c>
      <c r="C252" t="inlineStr">
        <is>
          <t>Evening</t>
        </is>
      </c>
      <c r="D252" t="inlineStr">
        <is>
          <t>PPC</t>
        </is>
      </c>
      <c r="E252" s="6" t="n">
        <v>1037</v>
      </c>
      <c r="F252" s="6" t="n">
        <v>871.9</v>
      </c>
      <c r="G252" s="6" t="n">
        <v>2.97</v>
      </c>
      <c r="H252" t="inlineStr">
        <is>
          <t>Electrical Failure</t>
        </is>
      </c>
      <c r="I252" s="6" t="n">
        <v>1361.9</v>
      </c>
      <c r="J252" s="6" t="n">
        <v>68742.5</v>
      </c>
      <c r="K252" t="n">
        <v>6</v>
      </c>
      <c r="L252" t="n">
        <v>8</v>
      </c>
      <c r="M252" s="7">
        <f>F252/E252</f>
        <v/>
      </c>
      <c r="N252" s="7">
        <f>F252/(E252+G252*45)</f>
        <v/>
      </c>
      <c r="O252" s="6">
        <f>I252/F252</f>
        <v/>
      </c>
      <c r="P252" s="6">
        <f>J252/F252</f>
        <v/>
      </c>
      <c r="Q252" s="7">
        <f>IFERROR(K252/F252,0)</f>
        <v/>
      </c>
      <c r="R252">
        <f>IF(M252&gt;=1,"On Target",IF(M252&gt;=0.9,"Watch","Below Target"))</f>
        <v/>
      </c>
    </row>
    <row r="253">
      <c r="A253" t="n">
        <v>249</v>
      </c>
      <c r="B253" s="5" t="n">
        <v>46105</v>
      </c>
      <c r="C253" t="inlineStr">
        <is>
          <t>Night</t>
        </is>
      </c>
      <c r="D253" t="inlineStr">
        <is>
          <t>OPC</t>
        </is>
      </c>
      <c r="E253" s="6" t="n">
        <v>1159</v>
      </c>
      <c r="F253" s="6" t="n">
        <v>883.9</v>
      </c>
      <c r="G253" s="6" t="n">
        <v>2.08</v>
      </c>
      <c r="H253" t="inlineStr">
        <is>
          <t>Planned Maintenance</t>
        </is>
      </c>
      <c r="I253" s="6" t="n">
        <v>1347.7</v>
      </c>
      <c r="J253" s="6" t="n">
        <v>73549.60000000001</v>
      </c>
      <c r="K253" t="n">
        <v>5</v>
      </c>
      <c r="L253" t="n">
        <v>8</v>
      </c>
      <c r="M253" s="7">
        <f>F253/E253</f>
        <v/>
      </c>
      <c r="N253" s="7">
        <f>F253/(E253+G253*45)</f>
        <v/>
      </c>
      <c r="O253" s="6">
        <f>I253/F253</f>
        <v/>
      </c>
      <c r="P253" s="6">
        <f>J253/F253</f>
        <v/>
      </c>
      <c r="Q253" s="7">
        <f>IFERROR(K253/F253,0)</f>
        <v/>
      </c>
      <c r="R253">
        <f>IF(M253&gt;=1,"On Target",IF(M253&gt;=0.9,"Watch","Below Target"))</f>
        <v/>
      </c>
    </row>
    <row r="254">
      <c r="A254" t="n">
        <v>250</v>
      </c>
      <c r="B254" s="5" t="n">
        <v>46106</v>
      </c>
      <c r="C254" t="inlineStr">
        <is>
          <t>Day</t>
        </is>
      </c>
      <c r="D254" t="inlineStr">
        <is>
          <t>SRC</t>
        </is>
      </c>
      <c r="E254" s="6" t="n">
        <v>946</v>
      </c>
      <c r="F254" s="6" t="n">
        <v>995.6</v>
      </c>
      <c r="G254" s="6" t="n">
        <v>0.34</v>
      </c>
      <c r="H254" t="inlineStr">
        <is>
          <t>No Downtime</t>
        </is>
      </c>
      <c r="I254" s="6" t="n">
        <v>1545.9</v>
      </c>
      <c r="J254" s="6" t="n">
        <v>80747</v>
      </c>
      <c r="K254" t="n">
        <v>6</v>
      </c>
      <c r="L254" t="n">
        <v>12</v>
      </c>
      <c r="M254" s="7">
        <f>F254/E254</f>
        <v/>
      </c>
      <c r="N254" s="7">
        <f>F254/(E254+G254*45)</f>
        <v/>
      </c>
      <c r="O254" s="6">
        <f>I254/F254</f>
        <v/>
      </c>
      <c r="P254" s="6">
        <f>J254/F254</f>
        <v/>
      </c>
      <c r="Q254" s="7">
        <f>IFERROR(K254/F254,0)</f>
        <v/>
      </c>
      <c r="R254">
        <f>IF(M254&gt;=1,"On Target",IF(M254&gt;=0.9,"Watch","Below Target"))</f>
        <v/>
      </c>
    </row>
    <row r="255">
      <c r="A255" t="n">
        <v>251</v>
      </c>
      <c r="B255" s="5" t="n">
        <v>46106</v>
      </c>
      <c r="C255" t="inlineStr">
        <is>
          <t>Evening</t>
        </is>
      </c>
      <c r="D255" t="inlineStr">
        <is>
          <t>SRC</t>
        </is>
      </c>
      <c r="E255" s="6" t="n">
        <v>990</v>
      </c>
      <c r="F255" s="6" t="n">
        <v>800.3</v>
      </c>
      <c r="G255" s="6" t="n">
        <v>2.65</v>
      </c>
      <c r="H255" t="inlineStr">
        <is>
          <t>Quality Issue</t>
        </is>
      </c>
      <c r="I255" s="6" t="n">
        <v>1206.3</v>
      </c>
      <c r="J255" s="6" t="n">
        <v>69514.39999999999</v>
      </c>
      <c r="K255" t="n">
        <v>1</v>
      </c>
      <c r="L255" t="n">
        <v>12</v>
      </c>
      <c r="M255" s="7">
        <f>F255/E255</f>
        <v/>
      </c>
      <c r="N255" s="7">
        <f>F255/(E255+G255*45)</f>
        <v/>
      </c>
      <c r="O255" s="6">
        <f>I255/F255</f>
        <v/>
      </c>
      <c r="P255" s="6">
        <f>J255/F255</f>
        <v/>
      </c>
      <c r="Q255" s="7">
        <f>IFERROR(K255/F255,0)</f>
        <v/>
      </c>
      <c r="R255">
        <f>IF(M255&gt;=1,"On Target",IF(M255&gt;=0.9,"Watch","Below Target"))</f>
        <v/>
      </c>
    </row>
    <row r="256">
      <c r="A256" t="n">
        <v>252</v>
      </c>
      <c r="B256" s="5" t="n">
        <v>46106</v>
      </c>
      <c r="C256" t="inlineStr">
        <is>
          <t>Night</t>
        </is>
      </c>
      <c r="D256" t="inlineStr">
        <is>
          <t>OPC</t>
        </is>
      </c>
      <c r="E256" s="6" t="n">
        <v>1127</v>
      </c>
      <c r="F256" s="6" t="n">
        <v>757.6</v>
      </c>
      <c r="G256" s="6" t="n">
        <v>6.33</v>
      </c>
      <c r="H256" t="inlineStr">
        <is>
          <t>Mechanical Failure</t>
        </is>
      </c>
      <c r="I256" s="6" t="n">
        <v>1174</v>
      </c>
      <c r="J256" s="6" t="n">
        <v>55311.3</v>
      </c>
      <c r="K256" t="n">
        <v>1</v>
      </c>
      <c r="L256" t="n">
        <v>7</v>
      </c>
      <c r="M256" s="7">
        <f>F256/E256</f>
        <v/>
      </c>
      <c r="N256" s="7">
        <f>F256/(E256+G256*45)</f>
        <v/>
      </c>
      <c r="O256" s="6">
        <f>I256/F256</f>
        <v/>
      </c>
      <c r="P256" s="6">
        <f>J256/F256</f>
        <v/>
      </c>
      <c r="Q256" s="7">
        <f>IFERROR(K256/F256,0)</f>
        <v/>
      </c>
      <c r="R256">
        <f>IF(M256&gt;=1,"On Target",IF(M256&gt;=0.9,"Watch","Below Target"))</f>
        <v/>
      </c>
    </row>
    <row r="257">
      <c r="A257" t="n">
        <v>253</v>
      </c>
      <c r="B257" s="5" t="n">
        <v>46107</v>
      </c>
      <c r="C257" t="inlineStr">
        <is>
          <t>Day</t>
        </is>
      </c>
      <c r="D257" t="inlineStr">
        <is>
          <t>SRC</t>
        </is>
      </c>
      <c r="E257" s="6" t="n">
        <v>1005</v>
      </c>
      <c r="F257" s="6" t="n">
        <v>739.9</v>
      </c>
      <c r="G257" s="6" t="n">
        <v>6.68</v>
      </c>
      <c r="H257" t="inlineStr">
        <is>
          <t>Electrical Failure</t>
        </is>
      </c>
      <c r="I257" s="6" t="n">
        <v>1122.9</v>
      </c>
      <c r="J257" s="6" t="n">
        <v>58980</v>
      </c>
      <c r="K257" t="n">
        <v>0</v>
      </c>
      <c r="L257" t="n">
        <v>12</v>
      </c>
      <c r="M257" s="7">
        <f>F257/E257</f>
        <v/>
      </c>
      <c r="N257" s="7">
        <f>F257/(E257+G257*45)</f>
        <v/>
      </c>
      <c r="O257" s="6">
        <f>I257/F257</f>
        <v/>
      </c>
      <c r="P257" s="6">
        <f>J257/F257</f>
        <v/>
      </c>
      <c r="Q257" s="7">
        <f>IFERROR(K257/F257,0)</f>
        <v/>
      </c>
      <c r="R257">
        <f>IF(M257&gt;=1,"On Target",IF(M257&gt;=0.9,"Watch","Below Target"))</f>
        <v/>
      </c>
    </row>
    <row r="258">
      <c r="A258" t="n">
        <v>254</v>
      </c>
      <c r="B258" s="5" t="n">
        <v>46107</v>
      </c>
      <c r="C258" t="inlineStr">
        <is>
          <t>Evening</t>
        </is>
      </c>
      <c r="D258" t="inlineStr">
        <is>
          <t>OPC</t>
        </is>
      </c>
      <c r="E258" s="6" t="n">
        <v>1168</v>
      </c>
      <c r="F258" s="6" t="n">
        <v>1171</v>
      </c>
      <c r="G258" s="6" t="n">
        <v>0.7</v>
      </c>
      <c r="H258" t="inlineStr">
        <is>
          <t>Raw Material Shortage</t>
        </is>
      </c>
      <c r="I258" s="6" t="n">
        <v>1774.6</v>
      </c>
      <c r="J258" s="6" t="n">
        <v>94173.8</v>
      </c>
      <c r="K258" t="n">
        <v>6</v>
      </c>
      <c r="L258" t="n">
        <v>7</v>
      </c>
      <c r="M258" s="7">
        <f>F258/E258</f>
        <v/>
      </c>
      <c r="N258" s="7">
        <f>F258/(E258+G258*45)</f>
        <v/>
      </c>
      <c r="O258" s="6">
        <f>I258/F258</f>
        <v/>
      </c>
      <c r="P258" s="6">
        <f>J258/F258</f>
        <v/>
      </c>
      <c r="Q258" s="7">
        <f>IFERROR(K258/F258,0)</f>
        <v/>
      </c>
      <c r="R258">
        <f>IF(M258&gt;=1,"On Target",IF(M258&gt;=0.9,"Watch","Below Target"))</f>
        <v/>
      </c>
    </row>
    <row r="259">
      <c r="A259" t="n">
        <v>255</v>
      </c>
      <c r="B259" s="5" t="n">
        <v>46107</v>
      </c>
      <c r="C259" t="inlineStr">
        <is>
          <t>Night</t>
        </is>
      </c>
      <c r="D259" t="inlineStr">
        <is>
          <t>PPC</t>
        </is>
      </c>
      <c r="E259" s="6" t="n">
        <v>1082</v>
      </c>
      <c r="F259" s="6" t="n">
        <v>983.9</v>
      </c>
      <c r="G259" s="6" t="n">
        <v>0.4</v>
      </c>
      <c r="H259" t="inlineStr">
        <is>
          <t>No Downtime</t>
        </is>
      </c>
      <c r="I259" s="6" t="n">
        <v>1456.1</v>
      </c>
      <c r="J259" s="6" t="n">
        <v>80901.2</v>
      </c>
      <c r="K259" t="n">
        <v>4</v>
      </c>
      <c r="L259" t="n">
        <v>10</v>
      </c>
      <c r="M259" s="7">
        <f>F259/E259</f>
        <v/>
      </c>
      <c r="N259" s="7">
        <f>F259/(E259+G259*45)</f>
        <v/>
      </c>
      <c r="O259" s="6">
        <f>I259/F259</f>
        <v/>
      </c>
      <c r="P259" s="6">
        <f>J259/F259</f>
        <v/>
      </c>
      <c r="Q259" s="7">
        <f>IFERROR(K259/F259,0)</f>
        <v/>
      </c>
      <c r="R259">
        <f>IF(M259&gt;=1,"On Target",IF(M259&gt;=0.9,"Watch","Below Target"))</f>
        <v/>
      </c>
    </row>
    <row r="260">
      <c r="A260" t="n">
        <v>256</v>
      </c>
      <c r="B260" s="5" t="n">
        <v>46108</v>
      </c>
      <c r="C260" t="inlineStr">
        <is>
          <t>Day</t>
        </is>
      </c>
      <c r="D260" t="inlineStr">
        <is>
          <t>OPC</t>
        </is>
      </c>
      <c r="E260" s="6" t="n">
        <v>1167</v>
      </c>
      <c r="F260" s="6" t="n">
        <v>990.3</v>
      </c>
      <c r="G260" s="6" t="n">
        <v>4.29</v>
      </c>
      <c r="H260" t="inlineStr">
        <is>
          <t>Planned Maintenance</t>
        </is>
      </c>
      <c r="I260" s="6" t="n">
        <v>1511.9</v>
      </c>
      <c r="J260" s="6" t="n">
        <v>84934.10000000001</v>
      </c>
      <c r="K260" t="n">
        <v>2</v>
      </c>
      <c r="L260" t="n">
        <v>11</v>
      </c>
      <c r="M260" s="7">
        <f>F260/E260</f>
        <v/>
      </c>
      <c r="N260" s="7">
        <f>F260/(E260+G260*45)</f>
        <v/>
      </c>
      <c r="O260" s="6">
        <f>I260/F260</f>
        <v/>
      </c>
      <c r="P260" s="6">
        <f>J260/F260</f>
        <v/>
      </c>
      <c r="Q260" s="7">
        <f>IFERROR(K260/F260,0)</f>
        <v/>
      </c>
      <c r="R260">
        <f>IF(M260&gt;=1,"On Target",IF(M260&gt;=0.9,"Watch","Below Target"))</f>
        <v/>
      </c>
    </row>
    <row r="261">
      <c r="A261" t="n">
        <v>257</v>
      </c>
      <c r="B261" s="5" t="n">
        <v>46108</v>
      </c>
      <c r="C261" t="inlineStr">
        <is>
          <t>Evening</t>
        </is>
      </c>
      <c r="D261" t="inlineStr">
        <is>
          <t>PPC</t>
        </is>
      </c>
      <c r="E261" s="6" t="n">
        <v>1025</v>
      </c>
      <c r="F261" s="6" t="n">
        <v>856.1</v>
      </c>
      <c r="G261" s="6" t="n">
        <v>2.68</v>
      </c>
      <c r="H261" t="inlineStr">
        <is>
          <t>Electrical Failure</t>
        </is>
      </c>
      <c r="I261" s="6" t="n">
        <v>1326.7</v>
      </c>
      <c r="J261" s="6" t="n">
        <v>69662</v>
      </c>
      <c r="K261" t="n">
        <v>2</v>
      </c>
      <c r="L261" t="n">
        <v>8</v>
      </c>
      <c r="M261" s="7">
        <f>F261/E261</f>
        <v/>
      </c>
      <c r="N261" s="7">
        <f>F261/(E261+G261*45)</f>
        <v/>
      </c>
      <c r="O261" s="6">
        <f>I261/F261</f>
        <v/>
      </c>
      <c r="P261" s="6">
        <f>J261/F261</f>
        <v/>
      </c>
      <c r="Q261" s="7">
        <f>IFERROR(K261/F261,0)</f>
        <v/>
      </c>
      <c r="R261">
        <f>IF(M261&gt;=1,"On Target",IF(M261&gt;=0.9,"Watch","Below Target"))</f>
        <v/>
      </c>
    </row>
    <row r="262">
      <c r="A262" t="n">
        <v>258</v>
      </c>
      <c r="B262" s="5" t="n">
        <v>46108</v>
      </c>
      <c r="C262" t="inlineStr">
        <is>
          <t>Night</t>
        </is>
      </c>
      <c r="D262" t="inlineStr">
        <is>
          <t>OPC</t>
        </is>
      </c>
      <c r="E262" s="6" t="n">
        <v>1132</v>
      </c>
      <c r="F262" s="6" t="n">
        <v>825.9</v>
      </c>
      <c r="G262" s="6" t="n">
        <v>5.31</v>
      </c>
      <c r="H262" t="inlineStr">
        <is>
          <t>Electrical Failure</t>
        </is>
      </c>
      <c r="I262" s="6" t="n">
        <v>1258.3</v>
      </c>
      <c r="J262" s="6" t="n">
        <v>67552.3</v>
      </c>
      <c r="K262" t="n">
        <v>2</v>
      </c>
      <c r="L262" t="n">
        <v>10</v>
      </c>
      <c r="M262" s="7">
        <f>F262/E262</f>
        <v/>
      </c>
      <c r="N262" s="7">
        <f>F262/(E262+G262*45)</f>
        <v/>
      </c>
      <c r="O262" s="6">
        <f>I262/F262</f>
        <v/>
      </c>
      <c r="P262" s="6">
        <f>J262/F262</f>
        <v/>
      </c>
      <c r="Q262" s="7">
        <f>IFERROR(K262/F262,0)</f>
        <v/>
      </c>
      <c r="R262">
        <f>IF(M262&gt;=1,"On Target",IF(M262&gt;=0.9,"Watch","Below Target"))</f>
        <v/>
      </c>
    </row>
    <row r="263">
      <c r="A263" t="n">
        <v>259</v>
      </c>
      <c r="B263" s="5" t="n">
        <v>46109</v>
      </c>
      <c r="C263" t="inlineStr">
        <is>
          <t>Day</t>
        </is>
      </c>
      <c r="D263" t="inlineStr">
        <is>
          <t>PPC</t>
        </is>
      </c>
      <c r="E263" s="6" t="n">
        <v>1022</v>
      </c>
      <c r="F263" s="6" t="n">
        <v>809.5</v>
      </c>
      <c r="G263" s="6" t="n">
        <v>5.77</v>
      </c>
      <c r="H263" t="inlineStr">
        <is>
          <t>Mechanical Failure</t>
        </is>
      </c>
      <c r="I263" s="6" t="n">
        <v>1226</v>
      </c>
      <c r="J263" s="6" t="n">
        <v>70613.89999999999</v>
      </c>
      <c r="K263" t="n">
        <v>4</v>
      </c>
      <c r="L263" t="n">
        <v>7</v>
      </c>
      <c r="M263" s="7">
        <f>F263/E263</f>
        <v/>
      </c>
      <c r="N263" s="7">
        <f>F263/(E263+G263*45)</f>
        <v/>
      </c>
      <c r="O263" s="6">
        <f>I263/F263</f>
        <v/>
      </c>
      <c r="P263" s="6">
        <f>J263/F263</f>
        <v/>
      </c>
      <c r="Q263" s="7">
        <f>IFERROR(K263/F263,0)</f>
        <v/>
      </c>
      <c r="R263">
        <f>IF(M263&gt;=1,"On Target",IF(M263&gt;=0.9,"Watch","Below Target"))</f>
        <v/>
      </c>
    </row>
    <row r="264">
      <c r="A264" t="n">
        <v>260</v>
      </c>
      <c r="B264" s="5" t="n">
        <v>46109</v>
      </c>
      <c r="C264" t="inlineStr">
        <is>
          <t>Evening</t>
        </is>
      </c>
      <c r="D264" t="inlineStr">
        <is>
          <t>PPC</t>
        </is>
      </c>
      <c r="E264" s="6" t="n">
        <v>1031</v>
      </c>
      <c r="F264" s="6" t="n">
        <v>736.4</v>
      </c>
      <c r="G264" s="6" t="n">
        <v>5.17</v>
      </c>
      <c r="H264" t="inlineStr">
        <is>
          <t>Mechanical Failure</t>
        </is>
      </c>
      <c r="I264" s="6" t="n">
        <v>1136.8</v>
      </c>
      <c r="J264" s="6" t="n">
        <v>59491.9</v>
      </c>
      <c r="K264" t="n">
        <v>6</v>
      </c>
      <c r="L264" t="n">
        <v>12</v>
      </c>
      <c r="M264" s="7">
        <f>F264/E264</f>
        <v/>
      </c>
      <c r="N264" s="7">
        <f>F264/(E264+G264*45)</f>
        <v/>
      </c>
      <c r="O264" s="6">
        <f>I264/F264</f>
        <v/>
      </c>
      <c r="P264" s="6">
        <f>J264/F264</f>
        <v/>
      </c>
      <c r="Q264" s="7">
        <f>IFERROR(K264/F264,0)</f>
        <v/>
      </c>
      <c r="R264">
        <f>IF(M264&gt;=1,"On Target",IF(M264&gt;=0.9,"Watch","Below Target"))</f>
        <v/>
      </c>
    </row>
    <row r="265">
      <c r="A265" t="n">
        <v>261</v>
      </c>
      <c r="B265" s="5" t="n">
        <v>46109</v>
      </c>
      <c r="C265" t="inlineStr">
        <is>
          <t>Night</t>
        </is>
      </c>
      <c r="D265" t="inlineStr">
        <is>
          <t>PPC</t>
        </is>
      </c>
      <c r="E265" s="6" t="n">
        <v>1047</v>
      </c>
      <c r="F265" s="6" t="n">
        <v>906</v>
      </c>
      <c r="G265" s="6" t="n">
        <v>0.43</v>
      </c>
      <c r="H265" t="inlineStr">
        <is>
          <t>No Downtime</t>
        </is>
      </c>
      <c r="I265" s="6" t="n">
        <v>1374</v>
      </c>
      <c r="J265" s="6" t="n">
        <v>72467.10000000001</v>
      </c>
      <c r="K265" t="n">
        <v>1</v>
      </c>
      <c r="L265" t="n">
        <v>9</v>
      </c>
      <c r="M265" s="7">
        <f>F265/E265</f>
        <v/>
      </c>
      <c r="N265" s="7">
        <f>F265/(E265+G265*45)</f>
        <v/>
      </c>
      <c r="O265" s="6">
        <f>I265/F265</f>
        <v/>
      </c>
      <c r="P265" s="6">
        <f>J265/F265</f>
        <v/>
      </c>
      <c r="Q265" s="7">
        <f>IFERROR(K265/F265,0)</f>
        <v/>
      </c>
      <c r="R265">
        <f>IF(M265&gt;=1,"On Target",IF(M265&gt;=0.9,"Watch","Below Target"))</f>
        <v/>
      </c>
    </row>
    <row r="266">
      <c r="A266" t="n">
        <v>262</v>
      </c>
      <c r="B266" s="5" t="n">
        <v>46110</v>
      </c>
      <c r="C266" t="inlineStr">
        <is>
          <t>Day</t>
        </is>
      </c>
      <c r="D266" t="inlineStr">
        <is>
          <t>SRC</t>
        </is>
      </c>
      <c r="E266" s="6" t="n">
        <v>993</v>
      </c>
      <c r="F266" s="6" t="n">
        <v>916.4</v>
      </c>
      <c r="G266" s="6" t="n">
        <v>2.81</v>
      </c>
      <c r="H266" t="inlineStr">
        <is>
          <t>Planned Maintenance</t>
        </is>
      </c>
      <c r="I266" s="6" t="n">
        <v>1435.8</v>
      </c>
      <c r="J266" s="6" t="n">
        <v>77457.10000000001</v>
      </c>
      <c r="K266" t="n">
        <v>0</v>
      </c>
      <c r="L266" t="n">
        <v>9</v>
      </c>
      <c r="M266" s="7">
        <f>F266/E266</f>
        <v/>
      </c>
      <c r="N266" s="7">
        <f>F266/(E266+G266*45)</f>
        <v/>
      </c>
      <c r="O266" s="6">
        <f>I266/F266</f>
        <v/>
      </c>
      <c r="P266" s="6">
        <f>J266/F266</f>
        <v/>
      </c>
      <c r="Q266" s="7">
        <f>IFERROR(K266/F266,0)</f>
        <v/>
      </c>
      <c r="R266">
        <f>IF(M266&gt;=1,"On Target",IF(M266&gt;=0.9,"Watch","Below Target"))</f>
        <v/>
      </c>
    </row>
    <row r="267">
      <c r="A267" t="n">
        <v>263</v>
      </c>
      <c r="B267" s="5" t="n">
        <v>46110</v>
      </c>
      <c r="C267" t="inlineStr">
        <is>
          <t>Evening</t>
        </is>
      </c>
      <c r="D267" t="inlineStr">
        <is>
          <t>OPC</t>
        </is>
      </c>
      <c r="E267" s="6" t="n">
        <v>1112</v>
      </c>
      <c r="F267" s="6" t="n">
        <v>919.5</v>
      </c>
      <c r="G267" s="6" t="n">
        <v>4.03</v>
      </c>
      <c r="H267" t="inlineStr">
        <is>
          <t>Planned Maintenance</t>
        </is>
      </c>
      <c r="I267" s="6" t="n">
        <v>1454.5</v>
      </c>
      <c r="J267" s="6" t="n">
        <v>73587.8</v>
      </c>
      <c r="K267" t="n">
        <v>2</v>
      </c>
      <c r="L267" t="n">
        <v>9</v>
      </c>
      <c r="M267" s="7">
        <f>F267/E267</f>
        <v/>
      </c>
      <c r="N267" s="7">
        <f>F267/(E267+G267*45)</f>
        <v/>
      </c>
      <c r="O267" s="6">
        <f>I267/F267</f>
        <v/>
      </c>
      <c r="P267" s="6">
        <f>J267/F267</f>
        <v/>
      </c>
      <c r="Q267" s="7">
        <f>IFERROR(K267/F267,0)</f>
        <v/>
      </c>
      <c r="R267">
        <f>IF(M267&gt;=1,"On Target",IF(M267&gt;=0.9,"Watch","Below Target"))</f>
        <v/>
      </c>
    </row>
    <row r="268">
      <c r="A268" t="n">
        <v>264</v>
      </c>
      <c r="B268" s="5" t="n">
        <v>46110</v>
      </c>
      <c r="C268" t="inlineStr">
        <is>
          <t>Night</t>
        </is>
      </c>
      <c r="D268" t="inlineStr">
        <is>
          <t>SRC</t>
        </is>
      </c>
      <c r="E268" s="6" t="n">
        <v>994</v>
      </c>
      <c r="F268" s="6" t="n">
        <v>771.4</v>
      </c>
      <c r="G268" s="6" t="n">
        <v>4.78</v>
      </c>
      <c r="H268" t="inlineStr">
        <is>
          <t>Quality Issue</t>
        </is>
      </c>
      <c r="I268" s="6" t="n">
        <v>1164.5</v>
      </c>
      <c r="J268" s="6" t="n">
        <v>54219.8</v>
      </c>
      <c r="K268" t="n">
        <v>6</v>
      </c>
      <c r="L268" t="n">
        <v>12</v>
      </c>
      <c r="M268" s="7">
        <f>F268/E268</f>
        <v/>
      </c>
      <c r="N268" s="7">
        <f>F268/(E268+G268*45)</f>
        <v/>
      </c>
      <c r="O268" s="6">
        <f>I268/F268</f>
        <v/>
      </c>
      <c r="P268" s="6">
        <f>J268/F268</f>
        <v/>
      </c>
      <c r="Q268" s="7">
        <f>IFERROR(K268/F268,0)</f>
        <v/>
      </c>
      <c r="R268">
        <f>IF(M268&gt;=1,"On Target",IF(M268&gt;=0.9,"Watch","Below Target"))</f>
        <v/>
      </c>
    </row>
    <row r="269">
      <c r="A269" t="n">
        <v>265</v>
      </c>
      <c r="B269" s="5" t="n">
        <v>46111</v>
      </c>
      <c r="C269" t="inlineStr">
        <is>
          <t>Day</t>
        </is>
      </c>
      <c r="D269" t="inlineStr">
        <is>
          <t>OPC</t>
        </is>
      </c>
      <c r="E269" s="6" t="n">
        <v>1184</v>
      </c>
      <c r="F269" s="6" t="n">
        <v>931.4</v>
      </c>
      <c r="G269" s="6" t="n">
        <v>4.44</v>
      </c>
      <c r="H269" t="inlineStr">
        <is>
          <t>Planned Maintenance</t>
        </is>
      </c>
      <c r="I269" s="6" t="n">
        <v>1372.9</v>
      </c>
      <c r="J269" s="6" t="n">
        <v>79603.10000000001</v>
      </c>
      <c r="K269" t="n">
        <v>2</v>
      </c>
      <c r="L269" t="n">
        <v>10</v>
      </c>
      <c r="M269" s="7">
        <f>F269/E269</f>
        <v/>
      </c>
      <c r="N269" s="7">
        <f>F269/(E269+G269*45)</f>
        <v/>
      </c>
      <c r="O269" s="6">
        <f>I269/F269</f>
        <v/>
      </c>
      <c r="P269" s="6">
        <f>J269/F269</f>
        <v/>
      </c>
      <c r="Q269" s="7">
        <f>IFERROR(K269/F269,0)</f>
        <v/>
      </c>
      <c r="R269">
        <f>IF(M269&gt;=1,"On Target",IF(M269&gt;=0.9,"Watch","Below Target"))</f>
        <v/>
      </c>
    </row>
    <row r="270">
      <c r="A270" t="n">
        <v>266</v>
      </c>
      <c r="B270" s="5" t="n">
        <v>46111</v>
      </c>
      <c r="C270" t="inlineStr">
        <is>
          <t>Evening</t>
        </is>
      </c>
      <c r="D270" t="inlineStr">
        <is>
          <t>OPC</t>
        </is>
      </c>
      <c r="E270" s="6" t="n">
        <v>1156</v>
      </c>
      <c r="F270" s="6" t="n">
        <v>881.4</v>
      </c>
      <c r="G270" s="6" t="n">
        <v>5.27</v>
      </c>
      <c r="H270" t="inlineStr">
        <is>
          <t>Mechanical Failure</t>
        </is>
      </c>
      <c r="I270" s="6" t="n">
        <v>1278.3</v>
      </c>
      <c r="J270" s="6" t="n">
        <v>65048.1</v>
      </c>
      <c r="K270" t="n">
        <v>8</v>
      </c>
      <c r="L270" t="n">
        <v>9</v>
      </c>
      <c r="M270" s="7">
        <f>F270/E270</f>
        <v/>
      </c>
      <c r="N270" s="7">
        <f>F270/(E270+G270*45)</f>
        <v/>
      </c>
      <c r="O270" s="6">
        <f>I270/F270</f>
        <v/>
      </c>
      <c r="P270" s="6">
        <f>J270/F270</f>
        <v/>
      </c>
      <c r="Q270" s="7">
        <f>IFERROR(K270/F270,0)</f>
        <v/>
      </c>
      <c r="R270">
        <f>IF(M270&gt;=1,"On Target",IF(M270&gt;=0.9,"Watch","Below Target"))</f>
        <v/>
      </c>
    </row>
    <row r="271">
      <c r="A271" t="n">
        <v>267</v>
      </c>
      <c r="B271" s="5" t="n">
        <v>46111</v>
      </c>
      <c r="C271" t="inlineStr">
        <is>
          <t>Night</t>
        </is>
      </c>
      <c r="D271" t="inlineStr">
        <is>
          <t>PPC</t>
        </is>
      </c>
      <c r="E271" s="6" t="n">
        <v>1049</v>
      </c>
      <c r="F271" s="6" t="n">
        <v>872.2</v>
      </c>
      <c r="G271" s="6" t="n">
        <v>2.77</v>
      </c>
      <c r="H271" t="inlineStr">
        <is>
          <t>Mechanical Failure</t>
        </is>
      </c>
      <c r="I271" s="6" t="n">
        <v>1332</v>
      </c>
      <c r="J271" s="6" t="n">
        <v>74096.3</v>
      </c>
      <c r="K271" t="n">
        <v>3</v>
      </c>
      <c r="L271" t="n">
        <v>9</v>
      </c>
      <c r="M271" s="7">
        <f>F271/E271</f>
        <v/>
      </c>
      <c r="N271" s="7">
        <f>F271/(E271+G271*45)</f>
        <v/>
      </c>
      <c r="O271" s="6">
        <f>I271/F271</f>
        <v/>
      </c>
      <c r="P271" s="6">
        <f>J271/F271</f>
        <v/>
      </c>
      <c r="Q271" s="7">
        <f>IFERROR(K271/F271,0)</f>
        <v/>
      </c>
      <c r="R271">
        <f>IF(M271&gt;=1,"On Target",IF(M271&gt;=0.9,"Watch","Below Target"))</f>
        <v/>
      </c>
    </row>
    <row r="272">
      <c r="A272" t="n">
        <v>268</v>
      </c>
      <c r="B272" s="5" t="n">
        <v>46112</v>
      </c>
      <c r="C272" t="inlineStr">
        <is>
          <t>Day</t>
        </is>
      </c>
      <c r="D272" t="inlineStr">
        <is>
          <t>SRC</t>
        </is>
      </c>
      <c r="E272" s="6" t="n">
        <v>987</v>
      </c>
      <c r="F272" s="6" t="n">
        <v>986.7</v>
      </c>
      <c r="G272" s="6" t="n">
        <v>0.06</v>
      </c>
      <c r="H272" t="inlineStr">
        <is>
          <t>No Downtime</t>
        </is>
      </c>
      <c r="I272" s="6" t="n">
        <v>1479</v>
      </c>
      <c r="J272" s="6" t="n">
        <v>78398.89999999999</v>
      </c>
      <c r="K272" t="n">
        <v>5</v>
      </c>
      <c r="L272" t="n">
        <v>10</v>
      </c>
      <c r="M272" s="7">
        <f>F272/E272</f>
        <v/>
      </c>
      <c r="N272" s="7">
        <f>F272/(E272+G272*45)</f>
        <v/>
      </c>
      <c r="O272" s="6">
        <f>I272/F272</f>
        <v/>
      </c>
      <c r="P272" s="6">
        <f>J272/F272</f>
        <v/>
      </c>
      <c r="Q272" s="7">
        <f>IFERROR(K272/F272,0)</f>
        <v/>
      </c>
      <c r="R272">
        <f>IF(M272&gt;=1,"On Target",IF(M272&gt;=0.9,"Watch","Below Target"))</f>
        <v/>
      </c>
    </row>
    <row r="273">
      <c r="A273" t="n">
        <v>269</v>
      </c>
      <c r="B273" s="5" t="n">
        <v>46112</v>
      </c>
      <c r="C273" t="inlineStr">
        <is>
          <t>Evening</t>
        </is>
      </c>
      <c r="D273" t="inlineStr">
        <is>
          <t>OPC</t>
        </is>
      </c>
      <c r="E273" s="6" t="n">
        <v>1121</v>
      </c>
      <c r="F273" s="6" t="n">
        <v>1108.7</v>
      </c>
      <c r="G273" s="6" t="n">
        <v>0.04</v>
      </c>
      <c r="H273" t="inlineStr">
        <is>
          <t>No Downtime</t>
        </is>
      </c>
      <c r="I273" s="6" t="n">
        <v>1659.4</v>
      </c>
      <c r="J273" s="6" t="n">
        <v>90128.10000000001</v>
      </c>
      <c r="K273" t="n">
        <v>2</v>
      </c>
      <c r="L273" t="n">
        <v>12</v>
      </c>
      <c r="M273" s="7">
        <f>F273/E273</f>
        <v/>
      </c>
      <c r="N273" s="7">
        <f>F273/(E273+G273*45)</f>
        <v/>
      </c>
      <c r="O273" s="6">
        <f>I273/F273</f>
        <v/>
      </c>
      <c r="P273" s="6">
        <f>J273/F273</f>
        <v/>
      </c>
      <c r="Q273" s="7">
        <f>IFERROR(K273/F273,0)</f>
        <v/>
      </c>
      <c r="R273">
        <f>IF(M273&gt;=1,"On Target",IF(M273&gt;=0.9,"Watch","Below Target"))</f>
        <v/>
      </c>
    </row>
    <row r="274">
      <c r="A274" t="n">
        <v>270</v>
      </c>
      <c r="B274" s="5" t="n">
        <v>46112</v>
      </c>
      <c r="C274" t="inlineStr">
        <is>
          <t>Night</t>
        </is>
      </c>
      <c r="D274" t="inlineStr">
        <is>
          <t>SRC</t>
        </is>
      </c>
      <c r="E274" s="6" t="n">
        <v>971</v>
      </c>
      <c r="F274" s="6" t="n">
        <v>861.4</v>
      </c>
      <c r="G274" s="6" t="n">
        <v>0.38</v>
      </c>
      <c r="H274" t="inlineStr">
        <is>
          <t>No Downtime</t>
        </is>
      </c>
      <c r="I274" s="6" t="n">
        <v>1307.5</v>
      </c>
      <c r="J274" s="6" t="n">
        <v>72288.89999999999</v>
      </c>
      <c r="K274" t="n">
        <v>2</v>
      </c>
      <c r="L274" t="n">
        <v>11</v>
      </c>
      <c r="M274" s="7">
        <f>F274/E274</f>
        <v/>
      </c>
      <c r="N274" s="7">
        <f>F274/(E274+G274*45)</f>
        <v/>
      </c>
      <c r="O274" s="6">
        <f>I274/F274</f>
        <v/>
      </c>
      <c r="P274" s="6">
        <f>J274/F274</f>
        <v/>
      </c>
      <c r="Q274" s="7">
        <f>IFERROR(K274/F274,0)</f>
        <v/>
      </c>
      <c r="R274">
        <f>IF(M274&gt;=1,"On Target",IF(M274&gt;=0.9,"Watch","Below Target"))</f>
        <v/>
      </c>
    </row>
  </sheetData>
  <conditionalFormatting sqref="M5:M27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PRODUCTION ANALYSIS — EXCEL PROJECT</t>
        </is>
      </c>
    </row>
    <row r="3">
      <c r="A3" s="4" t="inlineStr">
        <is>
          <t>Project Goal</t>
        </is>
      </c>
      <c r="B3" t="inlineStr">
        <is>
          <t>Analyze production performance, identify losses, and recommend improvement actions.</t>
        </is>
      </c>
    </row>
    <row r="4">
      <c r="A4" s="4" t="inlineStr">
        <is>
          <t>Scenario</t>
        </is>
      </c>
      <c r="B4" t="inlineStr">
        <is>
          <t>You are a Production Engineer responsible for monitoring an industrial production line.</t>
        </is>
      </c>
    </row>
    <row r="5">
      <c r="A5" s="4" t="inlineStr">
        <is>
          <t>Dataset</t>
        </is>
      </c>
      <c r="B5" t="inlineStr">
        <is>
          <t>90 days × 3 shifts = 270 production records.</t>
        </is>
      </c>
    </row>
    <row r="6">
      <c r="A6" s="4" t="inlineStr">
        <is>
          <t>Step 1</t>
        </is>
      </c>
      <c r="B6" t="inlineStr">
        <is>
          <t>Clean and understand the Raw_Data sheet. Check data types, missing values, duplicates and unusual values.</t>
        </is>
      </c>
    </row>
    <row r="7">
      <c r="A7" s="4" t="inlineStr">
        <is>
          <t>Step 2</t>
        </is>
      </c>
      <c r="B7" t="inlineStr">
        <is>
          <t>Calculate Production Achievement %, Efficiency %, Material per Ton, Energy per Ton and Defect Rate %.</t>
        </is>
      </c>
    </row>
    <row r="8">
      <c r="A8" s="4" t="inlineStr">
        <is>
          <t>Step 3</t>
        </is>
      </c>
      <c r="B8" t="inlineStr">
        <is>
          <t>Build Pivot Tables for production by date, shift, product and downtime reason.</t>
        </is>
      </c>
    </row>
    <row r="9">
      <c r="A9" s="4" t="inlineStr">
        <is>
          <t>Step 4</t>
        </is>
      </c>
      <c r="B9" t="inlineStr">
        <is>
          <t>Identify the main causes of downtime and quantify their contribution.</t>
        </is>
      </c>
    </row>
    <row r="10">
      <c r="A10" s="4" t="inlineStr">
        <is>
          <t>Step 5</t>
        </is>
      </c>
      <c r="B10" t="inlineStr">
        <is>
          <t>Compare Day, Evening and Night shifts.</t>
        </is>
      </c>
    </row>
    <row r="11">
      <c r="A11" s="4" t="inlineStr">
        <is>
          <t>Step 6</t>
        </is>
      </c>
      <c r="B11" t="inlineStr">
        <is>
          <t>Compare OPC, PPC and SRC performance.</t>
        </is>
      </c>
    </row>
    <row r="12">
      <c r="A12" s="4" t="inlineStr">
        <is>
          <t>Step 7</t>
        </is>
      </c>
      <c r="B12" t="inlineStr">
        <is>
          <t>Find periods/products/shifts with production below target.</t>
        </is>
      </c>
    </row>
    <row r="13">
      <c r="A13" s="4" t="inlineStr">
        <is>
          <t>Step 8</t>
        </is>
      </c>
      <c r="B13" t="inlineStr">
        <is>
          <t>Build a management dashboard.</t>
        </is>
      </c>
    </row>
    <row r="14">
      <c r="A14" s="4" t="inlineStr">
        <is>
          <t>Step 9</t>
        </is>
      </c>
      <c r="B14" t="inlineStr">
        <is>
          <t>Write 5 key findings based only on the data.</t>
        </is>
      </c>
    </row>
    <row r="15">
      <c r="A15" s="4" t="inlineStr">
        <is>
          <t>Step 10</t>
        </is>
      </c>
      <c r="B15" t="inlineStr">
        <is>
          <t>Write 3 practical recommendations for improving production performance.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8" t="inlineStr">
        <is>
          <t>KPI CALCULATION LAYER</t>
        </is>
      </c>
      <c r="B1" s="9" t="n"/>
    </row>
    <row r="2">
      <c r="A2" s="9" t="n"/>
      <c r="B2" s="9" t="n"/>
    </row>
    <row r="3">
      <c r="A3" s="10" t="inlineStr">
        <is>
          <t>Total Target Production (t)</t>
        </is>
      </c>
      <c r="B3" s="11">
        <f>SUM(Raw_Data!E5:E274)</f>
        <v/>
      </c>
    </row>
    <row r="4">
      <c r="A4" s="10" t="inlineStr">
        <is>
          <t>Total Actual Production (t)</t>
        </is>
      </c>
      <c r="B4" s="11">
        <f>SUM(Raw_Data!F5:F274)</f>
        <v/>
      </c>
    </row>
    <row r="5">
      <c r="A5" s="10" t="inlineStr">
        <is>
          <t>Overall Achievement %</t>
        </is>
      </c>
      <c r="B5" s="12">
        <f>B4/B3</f>
        <v/>
      </c>
    </row>
    <row r="6">
      <c r="A6" s="10" t="inlineStr">
        <is>
          <t>Total Downtime (hr)</t>
        </is>
      </c>
      <c r="B6" s="11">
        <f>SUM(Raw_Data!G5:G274)</f>
        <v/>
      </c>
    </row>
    <row r="7">
      <c r="A7" s="10" t="inlineStr">
        <is>
          <t>Average Downtime / Record (hr)</t>
        </is>
      </c>
      <c r="B7" s="11">
        <f>AVERAGE(Raw_Data!G5:G274)</f>
        <v/>
      </c>
    </row>
    <row r="8">
      <c r="A8" s="10" t="inlineStr">
        <is>
          <t>Total Raw Material (t)</t>
        </is>
      </c>
      <c r="B8" s="11">
        <f>SUM(Raw_Data!I5:I274)</f>
        <v/>
      </c>
    </row>
    <row r="9">
      <c r="A9" s="10" t="inlineStr">
        <is>
          <t>Material / Ton Produced</t>
        </is>
      </c>
      <c r="B9" s="11">
        <f>B8/B4</f>
        <v/>
      </c>
    </row>
    <row r="10">
      <c r="A10" s="10" t="inlineStr">
        <is>
          <t>Total Energy (kWh)</t>
        </is>
      </c>
      <c r="B10" s="11">
        <f>SUM(Raw_Data!J5:J274)</f>
        <v/>
      </c>
    </row>
    <row r="11">
      <c r="A11" s="10" t="inlineStr">
        <is>
          <t>Energy / Ton Produced</t>
        </is>
      </c>
      <c r="B11" s="11">
        <f>B10/B4</f>
        <v/>
      </c>
    </row>
    <row r="12">
      <c r="A12" s="10" t="inlineStr">
        <is>
          <t>Total Defects (t)</t>
        </is>
      </c>
      <c r="B12" s="11">
        <f>SUM(Raw_Data!K5:K274)</f>
        <v/>
      </c>
    </row>
    <row r="13">
      <c r="A13" s="10" t="inlineStr">
        <is>
          <t>Defect Rate %</t>
        </is>
      </c>
      <c r="B13" s="12">
        <f>B12/B4</f>
        <v/>
      </c>
    </row>
    <row r="14">
      <c r="A14" s="10" t="inlineStr">
        <is>
          <t>Average Operators / Shift</t>
        </is>
      </c>
      <c r="B14" s="11">
        <f>AVERAGE(Raw_Data!L5:L274)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Shift</t>
        </is>
      </c>
      <c r="B1" s="10" t="inlineStr">
        <is>
          <t>Target (t)</t>
        </is>
      </c>
      <c r="C1" s="10" t="inlineStr">
        <is>
          <t>Actual (t)</t>
        </is>
      </c>
      <c r="D1" s="10" t="inlineStr">
        <is>
          <t>Achievement %</t>
        </is>
      </c>
      <c r="E1" s="10" t="inlineStr">
        <is>
          <t>Downtime (hr)</t>
        </is>
      </c>
      <c r="F1" s="10" t="inlineStr">
        <is>
          <t>Energy/ton</t>
        </is>
      </c>
      <c r="G1" s="10" t="inlineStr">
        <is>
          <t>Defect Rate %</t>
        </is>
      </c>
    </row>
    <row r="2">
      <c r="A2" s="13" t="inlineStr">
        <is>
          <t>Day</t>
        </is>
      </c>
      <c r="B2" s="13">
        <f>SUMIF(Raw_Data!C:C,A2,Raw_Data!E:E)</f>
        <v/>
      </c>
      <c r="C2" s="13">
        <f>SUMIF(Raw_Data!C:C,A2,Raw_Data!F:F)</f>
        <v/>
      </c>
      <c r="D2" s="14">
        <f>C2/B2</f>
        <v/>
      </c>
      <c r="E2" s="13">
        <f>SUMIF(Raw_Data!C:C,A2,Raw_Data!G:G)</f>
        <v/>
      </c>
      <c r="F2" s="13">
        <f>SUMIF(Raw_Data!C:C,A2,Raw_Data!J:J)/C2</f>
        <v/>
      </c>
      <c r="G2" s="14">
        <f>SUMIF(Raw_Data!C:C,A2,Raw_Data!K:K)/C2</f>
        <v/>
      </c>
    </row>
    <row r="3">
      <c r="A3" s="13" t="inlineStr">
        <is>
          <t>Evening</t>
        </is>
      </c>
      <c r="B3" s="13">
        <f>SUMIF(Raw_Data!C:C,A3,Raw_Data!E:E)</f>
        <v/>
      </c>
      <c r="C3" s="13">
        <f>SUMIF(Raw_Data!C:C,A3,Raw_Data!F:F)</f>
        <v/>
      </c>
      <c r="D3" s="14">
        <f>C3/B3</f>
        <v/>
      </c>
      <c r="E3" s="13">
        <f>SUMIF(Raw_Data!C:C,A3,Raw_Data!G:G)</f>
        <v/>
      </c>
      <c r="F3" s="13">
        <f>SUMIF(Raw_Data!C:C,A3,Raw_Data!J:J)/C3</f>
        <v/>
      </c>
      <c r="G3" s="14">
        <f>SUMIF(Raw_Data!C:C,A3,Raw_Data!K:K)/C3</f>
        <v/>
      </c>
    </row>
    <row r="4">
      <c r="A4" s="13" t="inlineStr">
        <is>
          <t>Night</t>
        </is>
      </c>
      <c r="B4" s="13">
        <f>SUMIF(Raw_Data!C:C,A4,Raw_Data!E:E)</f>
        <v/>
      </c>
      <c r="C4" s="13">
        <f>SUMIF(Raw_Data!C:C,A4,Raw_Data!F:F)</f>
        <v/>
      </c>
      <c r="D4" s="14">
        <f>C4/B4</f>
        <v/>
      </c>
      <c r="E4" s="13">
        <f>SUMIF(Raw_Data!C:C,A4,Raw_Data!G:G)</f>
        <v/>
      </c>
      <c r="F4" s="13">
        <f>SUMIF(Raw_Data!C:C,A4,Raw_Data!J:J)/C4</f>
        <v/>
      </c>
      <c r="G4" s="14">
        <f>SUMIF(Raw_Data!C:C,A4,Raw_Data!K:K)/C4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Product</t>
        </is>
      </c>
      <c r="B1" s="10" t="inlineStr">
        <is>
          <t>Target (t)</t>
        </is>
      </c>
      <c r="C1" s="10" t="inlineStr">
        <is>
          <t>Actual (t)</t>
        </is>
      </c>
      <c r="D1" s="10" t="inlineStr">
        <is>
          <t>Achievement %</t>
        </is>
      </c>
      <c r="E1" s="10" t="inlineStr">
        <is>
          <t>Downtime (hr)</t>
        </is>
      </c>
      <c r="F1" s="10" t="inlineStr">
        <is>
          <t>Material/ton</t>
        </is>
      </c>
      <c r="G1" s="10" t="inlineStr">
        <is>
          <t>Energy/ton</t>
        </is>
      </c>
    </row>
    <row r="2">
      <c r="A2" s="13" t="inlineStr">
        <is>
          <t>OPC</t>
        </is>
      </c>
      <c r="B2" s="13">
        <f>SUMIF(Raw_Data!D:D,A2,Raw_Data!E:E)</f>
        <v/>
      </c>
      <c r="C2" s="13">
        <f>SUMIF(Raw_Data!D:D,A2,Raw_Data!F:F)</f>
        <v/>
      </c>
      <c r="D2" s="14">
        <f>C2/B2</f>
        <v/>
      </c>
      <c r="E2" s="13">
        <f>SUMIF(Raw_Data!D:D,A2,Raw_Data!G:G)</f>
        <v/>
      </c>
      <c r="F2" s="13">
        <f>SUMIF(Raw_Data!D:D,A2,Raw_Data!I:I)/C2</f>
        <v/>
      </c>
      <c r="G2" s="13">
        <f>SUMIF(Raw_Data!D:D,A2,Raw_Data!J:J)/C2</f>
        <v/>
      </c>
    </row>
    <row r="3">
      <c r="A3" s="13" t="inlineStr">
        <is>
          <t>PPC</t>
        </is>
      </c>
      <c r="B3" s="13">
        <f>SUMIF(Raw_Data!D:D,A3,Raw_Data!E:E)</f>
        <v/>
      </c>
      <c r="C3" s="13">
        <f>SUMIF(Raw_Data!D:D,A3,Raw_Data!F:F)</f>
        <v/>
      </c>
      <c r="D3" s="14">
        <f>C3/B3</f>
        <v/>
      </c>
      <c r="E3" s="13">
        <f>SUMIF(Raw_Data!D:D,A3,Raw_Data!G:G)</f>
        <v/>
      </c>
      <c r="F3" s="13">
        <f>SUMIF(Raw_Data!D:D,A3,Raw_Data!I:I)/C3</f>
        <v/>
      </c>
      <c r="G3" s="13">
        <f>SUMIF(Raw_Data!D:D,A3,Raw_Data!J:J)/C3</f>
        <v/>
      </c>
    </row>
    <row r="4">
      <c r="A4" s="13" t="inlineStr">
        <is>
          <t>SRC</t>
        </is>
      </c>
      <c r="B4" s="13">
        <f>SUMIF(Raw_Data!D:D,A4,Raw_Data!E:E)</f>
        <v/>
      </c>
      <c r="C4" s="13">
        <f>SUMIF(Raw_Data!D:D,A4,Raw_Data!F:F)</f>
        <v/>
      </c>
      <c r="D4" s="14">
        <f>C4/B4</f>
        <v/>
      </c>
      <c r="E4" s="13">
        <f>SUMIF(Raw_Data!D:D,A4,Raw_Data!G:G)</f>
        <v/>
      </c>
      <c r="F4" s="13">
        <f>SUMIF(Raw_Data!D:D,A4,Raw_Data!I:I)/C4</f>
        <v/>
      </c>
      <c r="G4" s="13">
        <f>SUMIF(Raw_Data!D:D,A4,Raw_Data!J:J)/C4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0" t="inlineStr">
        <is>
          <t>Downtime Reason</t>
        </is>
      </c>
      <c r="B1" s="10" t="inlineStr">
        <is>
          <t>Occurrences</t>
        </is>
      </c>
      <c r="C1" s="10" t="inlineStr">
        <is>
          <t>Total Hours</t>
        </is>
      </c>
      <c r="D1" s="10" t="inlineStr">
        <is>
          <t>% of Downtime</t>
        </is>
      </c>
    </row>
    <row r="2">
      <c r="A2" s="13" t="inlineStr">
        <is>
          <t>Mechanical Failure</t>
        </is>
      </c>
      <c r="B2" s="13">
        <f>COUNTIF(Raw_Data!H:H,A2)</f>
        <v/>
      </c>
      <c r="C2" s="13">
        <f>SUMIF(Raw_Data!H:H,A2,Raw_Data!G:G)</f>
        <v/>
      </c>
      <c r="D2" s="14">
        <f>C2/SUM(Raw_Data!G:G)</f>
        <v/>
      </c>
    </row>
    <row r="3">
      <c r="A3" s="13" t="inlineStr">
        <is>
          <t>Electrical Failure</t>
        </is>
      </c>
      <c r="B3" s="13">
        <f>COUNTIF(Raw_Data!H:H,A3)</f>
        <v/>
      </c>
      <c r="C3" s="13">
        <f>SUMIF(Raw_Data!H:H,A3,Raw_Data!G:G)</f>
        <v/>
      </c>
      <c r="D3" s="14">
        <f>C3/SUM(Raw_Data!G:G)</f>
        <v/>
      </c>
    </row>
    <row r="4">
      <c r="A4" s="13" t="inlineStr">
        <is>
          <t>Raw Material Shortage</t>
        </is>
      </c>
      <c r="B4" s="13">
        <f>COUNTIF(Raw_Data!H:H,A4)</f>
        <v/>
      </c>
      <c r="C4" s="13">
        <f>SUMIF(Raw_Data!H:H,A4,Raw_Data!G:G)</f>
        <v/>
      </c>
      <c r="D4" s="14">
        <f>C4/SUM(Raw_Data!G:G)</f>
        <v/>
      </c>
    </row>
    <row r="5">
      <c r="A5" s="13" t="inlineStr">
        <is>
          <t>Quality Issue</t>
        </is>
      </c>
      <c r="B5" s="13">
        <f>COUNTIF(Raw_Data!H:H,A5)</f>
        <v/>
      </c>
      <c r="C5" s="13">
        <f>SUMIF(Raw_Data!H:H,A5,Raw_Data!G:G)</f>
        <v/>
      </c>
      <c r="D5" s="14">
        <f>C5/SUM(Raw_Data!G:G)</f>
        <v/>
      </c>
    </row>
    <row r="6">
      <c r="A6" s="13" t="inlineStr">
        <is>
          <t>Planned Maintenance</t>
        </is>
      </c>
      <c r="B6" s="13">
        <f>COUNTIF(Raw_Data!H:H,A6)</f>
        <v/>
      </c>
      <c r="C6" s="13">
        <f>SUMIF(Raw_Data!H:H,A6,Raw_Data!G:G)</f>
        <v/>
      </c>
      <c r="D6" s="14">
        <f>C6/SUM(Raw_Data!G:G)</f>
        <v/>
      </c>
    </row>
    <row r="7">
      <c r="A7" s="13" t="inlineStr">
        <is>
          <t>No Downtime</t>
        </is>
      </c>
      <c r="B7" s="13">
        <f>COUNTIF(Raw_Data!H:H,A7)</f>
        <v/>
      </c>
      <c r="C7" s="13">
        <f>SUMIF(Raw_Data!H:H,A7,Raw_Data!G:G)</f>
        <v/>
      </c>
      <c r="D7" s="14">
        <f>C7/SUM(Raw_Data!G:G)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5" t="inlineStr">
        <is>
          <t>PRODUCTION PERFORMANCE DASHBOARD</t>
        </is>
      </c>
      <c r="B1" s="9" t="n"/>
      <c r="C1" s="9" t="n"/>
      <c r="D1" s="9" t="n"/>
      <c r="E1" s="9" t="n"/>
      <c r="F1" s="9" t="n"/>
      <c r="G1" s="9" t="n"/>
      <c r="H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  <row r="3">
      <c r="A3" s="16" t="inlineStr">
        <is>
          <t>Total Production (t)</t>
        </is>
      </c>
      <c r="B3" s="9" t="n"/>
      <c r="C3" s="16" t="inlineStr">
        <is>
          <t>Target Achievement</t>
        </is>
      </c>
      <c r="D3" s="9" t="n"/>
      <c r="E3" s="16" t="inlineStr">
        <is>
          <t>Downtime (hr)</t>
        </is>
      </c>
      <c r="F3" s="9" t="n"/>
      <c r="G3" s="16" t="inlineStr">
        <is>
          <t>Energy / Ton</t>
        </is>
      </c>
      <c r="H3" s="9" t="n"/>
    </row>
    <row r="4">
      <c r="A4" s="17">
        <f>KPI_Calculations!B4</f>
        <v/>
      </c>
      <c r="B4" s="9" t="n"/>
      <c r="C4" s="18">
        <f>KPI_Calculations!B5</f>
        <v/>
      </c>
      <c r="D4" s="9" t="n"/>
      <c r="E4" s="17">
        <f>KPI_Calculations!B6</f>
        <v/>
      </c>
      <c r="F4" s="9" t="n"/>
      <c r="G4" s="17">
        <f>KPI_Calculations!B11</f>
        <v/>
      </c>
      <c r="H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19" t="inlineStr">
        <is>
          <t>Management Focus</t>
        </is>
      </c>
      <c r="G23" s="9" t="n"/>
      <c r="H23" s="9" t="n"/>
    </row>
    <row r="24">
      <c r="A24" s="9" t="n"/>
      <c r="B24" s="9" t="n"/>
      <c r="C24" s="9" t="n"/>
      <c r="D24" s="9" t="n"/>
      <c r="E24" s="9" t="n"/>
      <c r="F24" s="13" t="inlineStr">
        <is>
          <t>1. Identify the top downtime contributor.</t>
        </is>
      </c>
      <c r="G24" s="9" t="n"/>
      <c r="H24" s="9" t="n"/>
    </row>
    <row r="25">
      <c r="A25" s="9" t="n"/>
      <c r="B25" s="9" t="n"/>
      <c r="C25" s="9" t="n"/>
      <c r="D25" s="9" t="n"/>
      <c r="E25" s="9" t="n"/>
      <c r="F25" s="13" t="inlineStr">
        <is>
          <t>2. Compare shift performance.</t>
        </is>
      </c>
      <c r="G25" s="9" t="n"/>
      <c r="H25" s="9" t="n"/>
    </row>
    <row r="26">
      <c r="A26" s="9" t="n"/>
      <c r="B26" s="9" t="n"/>
      <c r="C26" s="9" t="n"/>
      <c r="D26" s="9" t="n"/>
      <c r="E26" s="9" t="n"/>
      <c r="F26" s="13" t="inlineStr">
        <is>
          <t>3. Compare product efficiency.</t>
        </is>
      </c>
      <c r="G26" s="9" t="n"/>
      <c r="H26" s="9" t="n"/>
    </row>
    <row r="27">
      <c r="A27" s="9" t="n"/>
      <c r="B27" s="9" t="n"/>
      <c r="C27" s="9" t="n"/>
      <c r="D27" s="9" t="n"/>
      <c r="E27" s="9" t="n"/>
      <c r="F27" s="13" t="inlineStr">
        <is>
          <t>4. Investigate below-target periods.</t>
        </is>
      </c>
      <c r="G27" s="9" t="n"/>
      <c r="H27" s="9" t="n"/>
    </row>
    <row r="28">
      <c r="A28" s="9" t="n"/>
      <c r="B28" s="9" t="n"/>
      <c r="C28" s="9" t="n"/>
      <c r="D28" s="9" t="n"/>
      <c r="E28" s="9" t="n"/>
      <c r="F28" s="13" t="inlineStr">
        <is>
          <t>5. Recommend corrective actions.</t>
        </is>
      </c>
      <c r="G28" s="9" t="n"/>
      <c r="H28" s="9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2026-09-27T09:48:17Z</dcterms:created>
  <dcterms:modified xmlns:dcterms="http://purl.org/dc/terms/" xmlns:xsi="http://www.w3.org/2001/XMLSchema-instance" xsi:type="dcterms:W3CDTF">2026-09-27T09:48:17Z</dcterms:modified>
</cp:coreProperties>
</file>