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tables/table5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5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Mustafa\Desktop\Projects\Production\"/>
    </mc:Choice>
  </mc:AlternateContent>
  <xr:revisionPtr revIDLastSave="0" documentId="13_ncr:1_{5F5C044D-839E-49C0-88EC-BFFC453D32F5}" xr6:coauthVersionLast="47" xr6:coauthVersionMax="47" xr10:uidLastSave="{00000000-0000-0000-0000-000000000000}"/>
  <bookViews>
    <workbookView xWindow="-120" yWindow="-120" windowWidth="20730" windowHeight="11160" tabRatio="519" firstSheet="8" activeTab="11" xr2:uid="{00000000-000D-0000-FFFF-FFFF00000000}"/>
  </bookViews>
  <sheets>
    <sheet name="Production_Data" sheetId="1" r:id="rId1"/>
    <sheet name="Deviation_Log" sheetId="2" r:id="rId2"/>
    <sheet name="Maintenance_Log" sheetId="3" r:id="rId3"/>
    <sheet name="Project_Instructions" sheetId="4" r:id="rId4"/>
    <sheet name="KPI_Calculations" sheetId="5" r:id="rId5"/>
    <sheet name="Line_Analysis" sheetId="6" r:id="rId6"/>
    <sheet name="Shift_Analysis" sheetId="7" r:id="rId7"/>
    <sheet name="Product_Analysis" sheetId="8" r:id="rId8"/>
    <sheet name="Deviation_Analysis" sheetId="9" r:id="rId9"/>
    <sheet name="Deviation_Severity" sheetId="10" r:id="rId10"/>
    <sheet name="Maintenance_Analysis" sheetId="11" r:id="rId11"/>
    <sheet name="Dashboard" sheetId="12" r:id="rId12"/>
  </sheets>
  <calcPr calcId="191029"/>
  <pivotCaches>
    <pivotCache cacheId="8" r:id="rId1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2" l="1"/>
  <c r="C3" i="10"/>
  <c r="C4" i="10"/>
  <c r="C2" i="10"/>
  <c r="E5" i="11"/>
  <c r="D5" i="11"/>
  <c r="C5" i="11"/>
  <c r="B5" i="11"/>
  <c r="E3" i="11"/>
  <c r="E4" i="11"/>
  <c r="E2" i="11"/>
  <c r="D3" i="11"/>
  <c r="D4" i="11"/>
  <c r="D2" i="11"/>
  <c r="C3" i="11"/>
  <c r="C4" i="11"/>
  <c r="C2" i="11"/>
  <c r="B3" i="11"/>
  <c r="B4" i="11"/>
  <c r="B2" i="11"/>
  <c r="B3" i="10"/>
  <c r="B4" i="10"/>
  <c r="B2" i="10"/>
  <c r="B3" i="9"/>
  <c r="B2" i="9"/>
  <c r="B4" i="9"/>
  <c r="B5" i="9"/>
  <c r="B6" i="9"/>
  <c r="C3" i="9"/>
  <c r="C4" i="9"/>
  <c r="C5" i="9"/>
  <c r="C6" i="9"/>
  <c r="C2" i="9"/>
  <c r="B17" i="5"/>
  <c r="B14" i="5"/>
  <c r="B13" i="5"/>
  <c r="B7" i="5"/>
  <c r="B6" i="5"/>
  <c r="B5" i="5"/>
  <c r="B4" i="5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5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S2" i="1"/>
  <c r="T2" i="1" s="1"/>
  <c r="U2" i="1" s="1"/>
  <c r="B16" i="5" l="1"/>
  <c r="B15" i="5"/>
  <c r="B11" i="5"/>
  <c r="B12" i="5"/>
  <c r="T6" i="1"/>
  <c r="W6" i="1" s="1"/>
  <c r="T7" i="1"/>
  <c r="W7" i="1" s="1"/>
  <c r="T8" i="1"/>
  <c r="W8" i="1" s="1"/>
  <c r="T9" i="1"/>
  <c r="W9" i="1" s="1"/>
  <c r="T10" i="1"/>
  <c r="W10" i="1" s="1"/>
  <c r="T11" i="1"/>
  <c r="W11" i="1" s="1"/>
  <c r="T12" i="1"/>
  <c r="W12" i="1" s="1"/>
  <c r="T13" i="1"/>
  <c r="W13" i="1" s="1"/>
  <c r="T14" i="1"/>
  <c r="W14" i="1" s="1"/>
  <c r="T15" i="1"/>
  <c r="W15" i="1" s="1"/>
  <c r="T16" i="1"/>
  <c r="W16" i="1" s="1"/>
  <c r="T17" i="1"/>
  <c r="W17" i="1" s="1"/>
  <c r="T18" i="1"/>
  <c r="W18" i="1" s="1"/>
  <c r="T19" i="1"/>
  <c r="W19" i="1" s="1"/>
  <c r="T20" i="1"/>
  <c r="W20" i="1" s="1"/>
  <c r="T21" i="1"/>
  <c r="W21" i="1" s="1"/>
  <c r="T22" i="1"/>
  <c r="W22" i="1" s="1"/>
  <c r="T23" i="1"/>
  <c r="W23" i="1" s="1"/>
  <c r="T24" i="1"/>
  <c r="W24" i="1" s="1"/>
  <c r="T25" i="1"/>
  <c r="W25" i="1" s="1"/>
  <c r="T26" i="1"/>
  <c r="W26" i="1" s="1"/>
  <c r="T27" i="1"/>
  <c r="W27" i="1" s="1"/>
  <c r="T28" i="1"/>
  <c r="W28" i="1" s="1"/>
  <c r="T29" i="1"/>
  <c r="W29" i="1" s="1"/>
  <c r="T30" i="1"/>
  <c r="W30" i="1" s="1"/>
  <c r="T31" i="1"/>
  <c r="W31" i="1" s="1"/>
  <c r="T32" i="1"/>
  <c r="W32" i="1" s="1"/>
  <c r="T33" i="1"/>
  <c r="W33" i="1" s="1"/>
  <c r="T34" i="1"/>
  <c r="W34" i="1" s="1"/>
  <c r="T35" i="1"/>
  <c r="W35" i="1" s="1"/>
  <c r="T36" i="1"/>
  <c r="W36" i="1" s="1"/>
  <c r="T37" i="1"/>
  <c r="W37" i="1" s="1"/>
  <c r="T38" i="1"/>
  <c r="W38" i="1" s="1"/>
  <c r="T39" i="1"/>
  <c r="W39" i="1" s="1"/>
  <c r="T40" i="1"/>
  <c r="W40" i="1" s="1"/>
  <c r="T41" i="1"/>
  <c r="W41" i="1" s="1"/>
  <c r="T42" i="1"/>
  <c r="W42" i="1" s="1"/>
  <c r="T43" i="1"/>
  <c r="W43" i="1" s="1"/>
  <c r="T44" i="1"/>
  <c r="W44" i="1" s="1"/>
  <c r="T45" i="1"/>
  <c r="W45" i="1" s="1"/>
  <c r="T46" i="1"/>
  <c r="W46" i="1" s="1"/>
  <c r="T47" i="1"/>
  <c r="W47" i="1" s="1"/>
  <c r="T48" i="1"/>
  <c r="W48" i="1" s="1"/>
  <c r="T49" i="1"/>
  <c r="W49" i="1" s="1"/>
  <c r="T50" i="1"/>
  <c r="W50" i="1" s="1"/>
  <c r="T51" i="1"/>
  <c r="W51" i="1" s="1"/>
  <c r="T52" i="1"/>
  <c r="W52" i="1" s="1"/>
  <c r="T53" i="1"/>
  <c r="W53" i="1" s="1"/>
  <c r="T54" i="1"/>
  <c r="W54" i="1" s="1"/>
  <c r="T55" i="1"/>
  <c r="W55" i="1" s="1"/>
  <c r="T56" i="1"/>
  <c r="W56" i="1" s="1"/>
  <c r="T57" i="1"/>
  <c r="W57" i="1" s="1"/>
  <c r="T58" i="1"/>
  <c r="W58" i="1" s="1"/>
  <c r="T59" i="1"/>
  <c r="W59" i="1" s="1"/>
  <c r="T60" i="1"/>
  <c r="W60" i="1" s="1"/>
  <c r="T61" i="1"/>
  <c r="W61" i="1" s="1"/>
  <c r="T62" i="1"/>
  <c r="W62" i="1" s="1"/>
  <c r="T63" i="1"/>
  <c r="W63" i="1" s="1"/>
  <c r="T64" i="1"/>
  <c r="W64" i="1" s="1"/>
  <c r="T65" i="1"/>
  <c r="W65" i="1" s="1"/>
  <c r="T66" i="1"/>
  <c r="W66" i="1" s="1"/>
  <c r="T67" i="1"/>
  <c r="W67" i="1" s="1"/>
  <c r="T68" i="1"/>
  <c r="W68" i="1" s="1"/>
  <c r="T69" i="1"/>
  <c r="W69" i="1" s="1"/>
  <c r="T70" i="1"/>
  <c r="W70" i="1" s="1"/>
  <c r="T71" i="1"/>
  <c r="W71" i="1" s="1"/>
  <c r="T72" i="1"/>
  <c r="W72" i="1" s="1"/>
  <c r="T73" i="1"/>
  <c r="W73" i="1" s="1"/>
  <c r="T74" i="1"/>
  <c r="W74" i="1" s="1"/>
  <c r="T75" i="1"/>
  <c r="W75" i="1" s="1"/>
  <c r="T76" i="1"/>
  <c r="W76" i="1" s="1"/>
  <c r="T77" i="1"/>
  <c r="W77" i="1" s="1"/>
  <c r="T78" i="1"/>
  <c r="W78" i="1" s="1"/>
  <c r="T79" i="1"/>
  <c r="W79" i="1" s="1"/>
  <c r="T80" i="1"/>
  <c r="W80" i="1" s="1"/>
  <c r="T81" i="1"/>
  <c r="W81" i="1" s="1"/>
  <c r="T82" i="1"/>
  <c r="W82" i="1" s="1"/>
  <c r="T83" i="1"/>
  <c r="W83" i="1" s="1"/>
  <c r="T84" i="1"/>
  <c r="W84" i="1" s="1"/>
  <c r="T85" i="1"/>
  <c r="W85" i="1" s="1"/>
  <c r="T86" i="1"/>
  <c r="W86" i="1" s="1"/>
  <c r="T87" i="1"/>
  <c r="W87" i="1" s="1"/>
  <c r="T88" i="1"/>
  <c r="W88" i="1" s="1"/>
  <c r="T89" i="1"/>
  <c r="W89" i="1" s="1"/>
  <c r="T90" i="1"/>
  <c r="W90" i="1" s="1"/>
  <c r="T91" i="1"/>
  <c r="W91" i="1" s="1"/>
  <c r="T92" i="1"/>
  <c r="W92" i="1" s="1"/>
  <c r="T93" i="1"/>
  <c r="W93" i="1" s="1"/>
  <c r="T94" i="1"/>
  <c r="W94" i="1" s="1"/>
  <c r="T95" i="1"/>
  <c r="W95" i="1" s="1"/>
  <c r="T96" i="1"/>
  <c r="W96" i="1" s="1"/>
  <c r="T97" i="1"/>
  <c r="W97" i="1" s="1"/>
  <c r="T98" i="1"/>
  <c r="W98" i="1" s="1"/>
  <c r="T99" i="1"/>
  <c r="W99" i="1" s="1"/>
  <c r="T100" i="1"/>
  <c r="W100" i="1" s="1"/>
  <c r="T101" i="1"/>
  <c r="W101" i="1" s="1"/>
  <c r="T102" i="1"/>
  <c r="W102" i="1" s="1"/>
  <c r="T103" i="1"/>
  <c r="W103" i="1" s="1"/>
  <c r="T104" i="1"/>
  <c r="W104" i="1" s="1"/>
  <c r="T105" i="1"/>
  <c r="W105" i="1" s="1"/>
  <c r="T106" i="1"/>
  <c r="W106" i="1" s="1"/>
  <c r="T107" i="1"/>
  <c r="W107" i="1" s="1"/>
  <c r="T108" i="1"/>
  <c r="W108" i="1" s="1"/>
  <c r="T109" i="1"/>
  <c r="W109" i="1" s="1"/>
  <c r="T110" i="1"/>
  <c r="W110" i="1" s="1"/>
  <c r="T111" i="1"/>
  <c r="W111" i="1" s="1"/>
  <c r="T112" i="1"/>
  <c r="W112" i="1" s="1"/>
  <c r="T113" i="1"/>
  <c r="W113" i="1" s="1"/>
  <c r="T114" i="1"/>
  <c r="W114" i="1" s="1"/>
  <c r="T115" i="1"/>
  <c r="W115" i="1" s="1"/>
  <c r="T116" i="1"/>
  <c r="W116" i="1" s="1"/>
  <c r="T117" i="1"/>
  <c r="W117" i="1" s="1"/>
  <c r="T118" i="1"/>
  <c r="W118" i="1" s="1"/>
  <c r="T119" i="1"/>
  <c r="W119" i="1" s="1"/>
  <c r="T120" i="1"/>
  <c r="W120" i="1" s="1"/>
  <c r="T121" i="1"/>
  <c r="W121" i="1" s="1"/>
  <c r="T122" i="1"/>
  <c r="W122" i="1" s="1"/>
  <c r="T123" i="1"/>
  <c r="W123" i="1" s="1"/>
  <c r="T124" i="1"/>
  <c r="W124" i="1" s="1"/>
  <c r="T125" i="1"/>
  <c r="W125" i="1" s="1"/>
  <c r="T126" i="1"/>
  <c r="W126" i="1" s="1"/>
  <c r="T127" i="1"/>
  <c r="W127" i="1" s="1"/>
  <c r="T128" i="1"/>
  <c r="W128" i="1" s="1"/>
  <c r="T129" i="1"/>
  <c r="W129" i="1" s="1"/>
  <c r="T130" i="1"/>
  <c r="W130" i="1" s="1"/>
  <c r="T131" i="1"/>
  <c r="W131" i="1" s="1"/>
  <c r="T132" i="1"/>
  <c r="W132" i="1" s="1"/>
  <c r="T133" i="1"/>
  <c r="W133" i="1" s="1"/>
  <c r="T134" i="1"/>
  <c r="W134" i="1" s="1"/>
  <c r="T135" i="1"/>
  <c r="W135" i="1" s="1"/>
  <c r="T136" i="1"/>
  <c r="W136" i="1" s="1"/>
  <c r="T137" i="1"/>
  <c r="W137" i="1" s="1"/>
  <c r="T138" i="1"/>
  <c r="W138" i="1" s="1"/>
  <c r="T139" i="1"/>
  <c r="W139" i="1" s="1"/>
  <c r="T140" i="1"/>
  <c r="W140" i="1" s="1"/>
  <c r="T141" i="1"/>
  <c r="W141" i="1" s="1"/>
  <c r="T142" i="1"/>
  <c r="W142" i="1" s="1"/>
  <c r="T143" i="1"/>
  <c r="W143" i="1" s="1"/>
  <c r="T144" i="1"/>
  <c r="W144" i="1" s="1"/>
  <c r="T145" i="1"/>
  <c r="W145" i="1" s="1"/>
  <c r="T146" i="1"/>
  <c r="W146" i="1" s="1"/>
  <c r="T147" i="1"/>
  <c r="W147" i="1" s="1"/>
  <c r="T148" i="1"/>
  <c r="W148" i="1" s="1"/>
  <c r="T149" i="1"/>
  <c r="W149" i="1" s="1"/>
  <c r="T150" i="1"/>
  <c r="W150" i="1" s="1"/>
  <c r="T151" i="1"/>
  <c r="W151" i="1" s="1"/>
  <c r="T152" i="1"/>
  <c r="W152" i="1" s="1"/>
  <c r="T153" i="1"/>
  <c r="W153" i="1" s="1"/>
  <c r="T154" i="1"/>
  <c r="W154" i="1" s="1"/>
  <c r="T155" i="1"/>
  <c r="W155" i="1" s="1"/>
  <c r="T156" i="1"/>
  <c r="W156" i="1" s="1"/>
  <c r="T157" i="1"/>
  <c r="W157" i="1" s="1"/>
  <c r="T158" i="1"/>
  <c r="W158" i="1" s="1"/>
  <c r="T159" i="1"/>
  <c r="W159" i="1" s="1"/>
  <c r="T160" i="1"/>
  <c r="W160" i="1" s="1"/>
  <c r="T161" i="1"/>
  <c r="W161" i="1" s="1"/>
  <c r="T162" i="1"/>
  <c r="W162" i="1" s="1"/>
  <c r="T163" i="1"/>
  <c r="W163" i="1" s="1"/>
  <c r="T164" i="1"/>
  <c r="W164" i="1" s="1"/>
  <c r="T165" i="1"/>
  <c r="W165" i="1" s="1"/>
  <c r="T166" i="1"/>
  <c r="W166" i="1" s="1"/>
  <c r="T167" i="1"/>
  <c r="W167" i="1" s="1"/>
  <c r="T168" i="1"/>
  <c r="W168" i="1" s="1"/>
  <c r="T169" i="1"/>
  <c r="W169" i="1" s="1"/>
  <c r="T170" i="1"/>
  <c r="W170" i="1" s="1"/>
  <c r="T171" i="1"/>
  <c r="W171" i="1" s="1"/>
  <c r="T172" i="1"/>
  <c r="W172" i="1" s="1"/>
  <c r="T173" i="1"/>
  <c r="W173" i="1" s="1"/>
  <c r="T174" i="1"/>
  <c r="W174" i="1" s="1"/>
  <c r="T175" i="1"/>
  <c r="W175" i="1" s="1"/>
  <c r="T176" i="1"/>
  <c r="W176" i="1" s="1"/>
  <c r="T177" i="1"/>
  <c r="W177" i="1" s="1"/>
  <c r="T178" i="1"/>
  <c r="W178" i="1" s="1"/>
  <c r="T179" i="1"/>
  <c r="W179" i="1" s="1"/>
  <c r="T180" i="1"/>
  <c r="W180" i="1" s="1"/>
  <c r="T181" i="1"/>
  <c r="W181" i="1" s="1"/>
  <c r="T182" i="1"/>
  <c r="W182" i="1" s="1"/>
  <c r="T183" i="1"/>
  <c r="W183" i="1" s="1"/>
  <c r="T184" i="1"/>
  <c r="W184" i="1" s="1"/>
  <c r="T185" i="1"/>
  <c r="W185" i="1" s="1"/>
  <c r="T186" i="1"/>
  <c r="W186" i="1" s="1"/>
  <c r="T187" i="1"/>
  <c r="W187" i="1" s="1"/>
  <c r="T188" i="1"/>
  <c r="W188" i="1" s="1"/>
  <c r="T189" i="1"/>
  <c r="W189" i="1" s="1"/>
  <c r="T190" i="1"/>
  <c r="W190" i="1" s="1"/>
  <c r="T191" i="1"/>
  <c r="W191" i="1" s="1"/>
  <c r="T192" i="1"/>
  <c r="W192" i="1" s="1"/>
  <c r="T193" i="1"/>
  <c r="W193" i="1" s="1"/>
  <c r="T194" i="1"/>
  <c r="W194" i="1" s="1"/>
  <c r="T195" i="1"/>
  <c r="W195" i="1" s="1"/>
  <c r="T196" i="1"/>
  <c r="W196" i="1" s="1"/>
  <c r="T197" i="1"/>
  <c r="W197" i="1" s="1"/>
  <c r="T198" i="1"/>
  <c r="W198" i="1" s="1"/>
  <c r="T199" i="1"/>
  <c r="W199" i="1" s="1"/>
  <c r="T200" i="1"/>
  <c r="W200" i="1" s="1"/>
  <c r="T201" i="1"/>
  <c r="W201" i="1" s="1"/>
  <c r="T202" i="1"/>
  <c r="W202" i="1" s="1"/>
  <c r="T203" i="1"/>
  <c r="W203" i="1" s="1"/>
  <c r="T204" i="1"/>
  <c r="W204" i="1" s="1"/>
  <c r="T205" i="1"/>
  <c r="W205" i="1" s="1"/>
  <c r="T206" i="1"/>
  <c r="W206" i="1" s="1"/>
  <c r="T207" i="1"/>
  <c r="W207" i="1" s="1"/>
  <c r="T208" i="1"/>
  <c r="W208" i="1" s="1"/>
  <c r="T209" i="1"/>
  <c r="W209" i="1" s="1"/>
  <c r="T210" i="1"/>
  <c r="W210" i="1" s="1"/>
  <c r="T211" i="1"/>
  <c r="W211" i="1" s="1"/>
  <c r="T212" i="1"/>
  <c r="W212" i="1" s="1"/>
  <c r="T213" i="1"/>
  <c r="W213" i="1" s="1"/>
  <c r="T214" i="1"/>
  <c r="W214" i="1" s="1"/>
  <c r="T215" i="1"/>
  <c r="W215" i="1" s="1"/>
  <c r="T216" i="1"/>
  <c r="W216" i="1" s="1"/>
  <c r="T217" i="1"/>
  <c r="W217" i="1" s="1"/>
  <c r="T218" i="1"/>
  <c r="W218" i="1" s="1"/>
  <c r="T219" i="1"/>
  <c r="W219" i="1" s="1"/>
  <c r="T220" i="1"/>
  <c r="W220" i="1" s="1"/>
  <c r="T221" i="1"/>
  <c r="W221" i="1" s="1"/>
  <c r="T222" i="1"/>
  <c r="W222" i="1" s="1"/>
  <c r="T223" i="1"/>
  <c r="W223" i="1" s="1"/>
  <c r="T224" i="1"/>
  <c r="W224" i="1" s="1"/>
  <c r="T225" i="1"/>
  <c r="W225" i="1" s="1"/>
  <c r="T226" i="1"/>
  <c r="W226" i="1" s="1"/>
  <c r="T227" i="1"/>
  <c r="W227" i="1" s="1"/>
  <c r="T228" i="1"/>
  <c r="W228" i="1" s="1"/>
  <c r="T229" i="1"/>
  <c r="W229" i="1" s="1"/>
  <c r="T230" i="1"/>
  <c r="W230" i="1" s="1"/>
  <c r="T231" i="1"/>
  <c r="W231" i="1" s="1"/>
  <c r="T232" i="1"/>
  <c r="W232" i="1" s="1"/>
  <c r="T233" i="1"/>
  <c r="W233" i="1" s="1"/>
  <c r="T234" i="1"/>
  <c r="W234" i="1" s="1"/>
  <c r="T235" i="1"/>
  <c r="W235" i="1" s="1"/>
  <c r="T236" i="1"/>
  <c r="W236" i="1" s="1"/>
  <c r="T237" i="1"/>
  <c r="W237" i="1" s="1"/>
  <c r="T238" i="1"/>
  <c r="W238" i="1" s="1"/>
  <c r="T239" i="1"/>
  <c r="W239" i="1" s="1"/>
  <c r="T240" i="1"/>
  <c r="W240" i="1" s="1"/>
  <c r="T241" i="1"/>
  <c r="W241" i="1" s="1"/>
  <c r="T242" i="1"/>
  <c r="W242" i="1" s="1"/>
  <c r="T243" i="1"/>
  <c r="W243" i="1" s="1"/>
  <c r="T244" i="1"/>
  <c r="W244" i="1" s="1"/>
  <c r="T5" i="1"/>
  <c r="W5" i="1" l="1"/>
  <c r="B9" i="5" s="1"/>
  <c r="B10" i="5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5" i="1"/>
  <c r="E4" i="12"/>
  <c r="A4" i="12"/>
  <c r="B8" i="5" l="1"/>
  <c r="C4" i="12"/>
</calcChain>
</file>

<file path=xl/sharedStrings.xml><?xml version="1.0" encoding="utf-8"?>
<sst xmlns="http://schemas.openxmlformats.org/spreadsheetml/2006/main" count="2220" uniqueCount="142">
  <si>
    <t>PHARMACEUTICAL MANUFACTURING — PRODUCTION ANALYSIS</t>
  </si>
  <si>
    <t>Training dataset | 120 days | 240 production batches | Synthetic data</t>
  </si>
  <si>
    <t>Batch_ID</t>
  </si>
  <si>
    <t>Date</t>
  </si>
  <si>
    <t>Production_Line</t>
  </si>
  <si>
    <t>Product</t>
  </si>
  <si>
    <t>Shift</t>
  </si>
  <si>
    <t>Planned_Units</t>
  </si>
  <si>
    <t>Actual_Units</t>
  </si>
  <si>
    <t>Good_Units</t>
  </si>
  <si>
    <t>Rejected_Units</t>
  </si>
  <si>
    <t>Material_Input_kg</t>
  </si>
  <si>
    <t>Downtime_hr</t>
  </si>
  <si>
    <t>Deviation_Type</t>
  </si>
  <si>
    <t>Batch_Status</t>
  </si>
  <si>
    <t>Maintenance_Type</t>
  </si>
  <si>
    <t>Maintenance_Cost_USD</t>
  </si>
  <si>
    <t>Labor_Hours</t>
  </si>
  <si>
    <t>Energy_kWh</t>
  </si>
  <si>
    <t>Run_Hours</t>
  </si>
  <si>
    <t>Achievement_%</t>
  </si>
  <si>
    <t>Availability_%</t>
  </si>
  <si>
    <t>Performance_%</t>
  </si>
  <si>
    <t>Quality_%</t>
  </si>
  <si>
    <t>OEE_%</t>
  </si>
  <si>
    <t>Yield_%</t>
  </si>
  <si>
    <t>Reject_Rate_%</t>
  </si>
  <si>
    <t>Units_per_Labor_Hour</t>
  </si>
  <si>
    <t>Energy_per_Unit</t>
  </si>
  <si>
    <t>Batch_Cycle_hr</t>
  </si>
  <si>
    <t>Solid Dose Line 1</t>
  </si>
  <si>
    <t>Product C</t>
  </si>
  <si>
    <t>Day</t>
  </si>
  <si>
    <t>None</t>
  </si>
  <si>
    <t>Released</t>
  </si>
  <si>
    <t>Solid Dose Line 2</t>
  </si>
  <si>
    <t>Product B</t>
  </si>
  <si>
    <t>Preventive</t>
  </si>
  <si>
    <t>Product A</t>
  </si>
  <si>
    <t>Evening</t>
  </si>
  <si>
    <t>Documentation</t>
  </si>
  <si>
    <t>Rejected</t>
  </si>
  <si>
    <t>Night</t>
  </si>
  <si>
    <t>Material</t>
  </si>
  <si>
    <t>Corrective</t>
  </si>
  <si>
    <t>Process</t>
  </si>
  <si>
    <t>Environmental</t>
  </si>
  <si>
    <t>Emergency</t>
  </si>
  <si>
    <t>Equipment</t>
  </si>
  <si>
    <t>Under Review</t>
  </si>
  <si>
    <t>QUALITY / DEVIATION LOG</t>
  </si>
  <si>
    <t>Deviation_ID</t>
  </si>
  <si>
    <t>Severity</t>
  </si>
  <si>
    <t>Disposition</t>
  </si>
  <si>
    <t>Investigation_Hours</t>
  </si>
  <si>
    <t>Minor</t>
  </si>
  <si>
    <t>Closed</t>
  </si>
  <si>
    <t>Critical</t>
  </si>
  <si>
    <t>Major</t>
  </si>
  <si>
    <t>CAPA Required</t>
  </si>
  <si>
    <t>MAINTENANCE EVENT LOG</t>
  </si>
  <si>
    <t>Maintenance_ID</t>
  </si>
  <si>
    <t>Technician_Hours</t>
  </si>
  <si>
    <t>Status</t>
  </si>
  <si>
    <t>Completed</t>
  </si>
  <si>
    <t>Follow-up Required</t>
  </si>
  <si>
    <t>PHARMACEUTICAL PRODUCTION ANALYSIS — EXCEL PROJECT</t>
  </si>
  <si>
    <t>Important</t>
  </si>
  <si>
    <t>This is synthetic training data. It is for production/analytics practice, not pharmaceutical manufacturing instructions.</t>
  </si>
  <si>
    <t>Scenario</t>
  </si>
  <si>
    <t>You are a Production Analyst supporting a pharmaceutical solid-dose manufacturing facility.</t>
  </si>
  <si>
    <t>Objective</t>
  </si>
  <si>
    <t>Analyze batch performance, production efficiency, quality losses, deviations and maintenance.</t>
  </si>
  <si>
    <t>Step 1</t>
  </si>
  <si>
    <t>Understand the batch-level data grain and inspect data quality: duplicates, blanks, invalid values and outliers.</t>
  </si>
  <si>
    <t>Step 2</t>
  </si>
  <si>
    <t>Calculate Production Achievement %, Availability, Performance, Quality and OEE.</t>
  </si>
  <si>
    <t>Step 3</t>
  </si>
  <si>
    <t>Analyze production performance by production line.</t>
  </si>
  <si>
    <t>Step 4</t>
  </si>
  <si>
    <t>Compare Day, Evening and Night shifts.</t>
  </si>
  <si>
    <t>Step 5</t>
  </si>
  <si>
    <t>Compare Products A, B and C for output, yield and reject rate.</t>
  </si>
  <si>
    <t>Step 6</t>
  </si>
  <si>
    <t>Analyze rejected and under-review batches and quantify their production impact.</t>
  </si>
  <si>
    <t>Step 7</t>
  </si>
  <si>
    <t>Analyze deviations by type, severity, line and product.</t>
  </si>
  <si>
    <t>Step 8</t>
  </si>
  <si>
    <t>Compare preventive, corrective and emergency maintenance.</t>
  </si>
  <si>
    <t>Step 9</t>
  </si>
  <si>
    <t>Calculate MTTR and MTBF using clearly documented assumptions.</t>
  </si>
  <si>
    <t>Step 10</t>
  </si>
  <si>
    <t>Analyze maintenance cost and downtime by line.</t>
  </si>
  <si>
    <t>Step 11</t>
  </si>
  <si>
    <t>Identify relationships between downtime, deviations, OEE and batch performance.</t>
  </si>
  <si>
    <t>Step 12</t>
  </si>
  <si>
    <t>Build an executive Production &amp; Quality dashboard.</t>
  </si>
  <si>
    <t>Step 13</t>
  </si>
  <si>
    <t>Write 5 evidence-based findings and 5 improvement recommendations.</t>
  </si>
  <si>
    <t>PHARMACEUTICAL PRODUCTION KPI LAYER</t>
  </si>
  <si>
    <t>Planned Units</t>
  </si>
  <si>
    <t>Actual Units</t>
  </si>
  <si>
    <t>Good Units</t>
  </si>
  <si>
    <t>Rejected Units</t>
  </si>
  <si>
    <t>Achievement %</t>
  </si>
  <si>
    <t>Average OEE %</t>
  </si>
  <si>
    <t>Average Availability %</t>
  </si>
  <si>
    <t>Average Performance %</t>
  </si>
  <si>
    <t>Average Quality %</t>
  </si>
  <si>
    <t>Total Downtime hr</t>
  </si>
  <si>
    <t>Maintenance Cost</t>
  </si>
  <si>
    <t>Reject Rate %</t>
  </si>
  <si>
    <t>Average Yield %</t>
  </si>
  <si>
    <t>Deviation Count</t>
  </si>
  <si>
    <t>Production Line</t>
  </si>
  <si>
    <t>OEE %</t>
  </si>
  <si>
    <t>Downtime hr</t>
  </si>
  <si>
    <t>Deviation Type</t>
  </si>
  <si>
    <t>Events</t>
  </si>
  <si>
    <t>Investigation Hours</t>
  </si>
  <si>
    <t>Maintenance Type</t>
  </si>
  <si>
    <t>Cost</t>
  </si>
  <si>
    <t>Avg Tech Hours</t>
  </si>
  <si>
    <t>PHARMACEUTICAL PRODUCTION PERFORMANCE DASHBOARD</t>
  </si>
  <si>
    <t>OEE</t>
  </si>
  <si>
    <t>Downtime (hr)</t>
  </si>
  <si>
    <t>Management Questions</t>
  </si>
  <si>
    <t>1. Which production line has the lowest OEE?</t>
  </si>
  <si>
    <t>2. Which shift has the largest production gap?</t>
  </si>
  <si>
    <t>3. Which product has the highest rejection rate?</t>
  </si>
  <si>
    <t>4. What is the main deviation category?</t>
  </si>
  <si>
    <t>5. How much downtime is associated with corrective/emergency maintenance?</t>
  </si>
  <si>
    <t>KPI_Calculations</t>
  </si>
  <si>
    <t>Grand Total</t>
  </si>
  <si>
    <t>Sum of Actual_Units</t>
  </si>
  <si>
    <t>Average of Achievement_%</t>
  </si>
  <si>
    <t>Average of OEE_%</t>
  </si>
  <si>
    <t>Sum of Downtime_hr</t>
  </si>
  <si>
    <t>Average of Reject_Rate_%</t>
  </si>
  <si>
    <t>Average of Yield_%</t>
  </si>
  <si>
    <t>Average of Energy_per_Unit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</si>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</sst>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yyyy\-mm\-dd"/>
    <numFmt numFmtId="165" formatCode="0.0%"/>
    <numFmt numFmtId="166" formatCode="0.0"/>
    <numFmt numFmtId="178" formatCode="&quot;$&quot;#,##0.00"/>
  </numFmts>
  <fonts count="10" x14ac:knownFonts="1">
    <font>
      <sz val="11"/>
      <color theme="1"/>
      <name val="Calibri"/>
      <family val="2"/>
      <scheme val="minor"/>
    </font>
    <font>
      <b/>
      <sz val="18"/>
      <name val="Calibri"/>
    </font>
    <font>
      <b/>
      <sz val="11"/>
      <name val="Calibri"/>
    </font>
    <font>
      <b/>
      <sz val="20"/>
      <name val="Calibri"/>
    </font>
    <font>
      <b/>
      <sz val="16"/>
      <name val="Calibri"/>
    </font>
    <font>
      <b/>
      <sz val="13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</cellStyleXfs>
  <cellXfs count="53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165" fontId="0" fillId="0" borderId="0" xfId="0" applyNumberFormat="1" applyAlignment="1">
      <alignment horizontal="left" vertical="center"/>
    </xf>
    <xf numFmtId="166" fontId="0" fillId="0" borderId="0" xfId="0" applyNumberFormat="1" applyAlignment="1">
      <alignment horizontal="left" vertical="center"/>
    </xf>
    <xf numFmtId="2" fontId="0" fillId="0" borderId="0" xfId="0" applyNumberFormat="1" applyAlignment="1">
      <alignment horizontal="left" vertical="center"/>
    </xf>
    <xf numFmtId="0" fontId="0" fillId="0" borderId="0" xfId="0" applyAlignment="1">
      <alignment horizontal="center"/>
    </xf>
    <xf numFmtId="0" fontId="8" fillId="3" borderId="1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3" fontId="2" fillId="0" borderId="4" xfId="1" applyNumberFormat="1" applyFont="1" applyBorder="1" applyAlignment="1">
      <alignment horizontal="left" vertical="top" wrapText="1"/>
    </xf>
    <xf numFmtId="165" fontId="2" fillId="0" borderId="4" xfId="0" applyNumberFormat="1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178" fontId="2" fillId="0" borderId="4" xfId="2" applyNumberFormat="1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wrapText="1"/>
    </xf>
    <xf numFmtId="0" fontId="0" fillId="0" borderId="5" xfId="0" applyBorder="1"/>
    <xf numFmtId="0" fontId="0" fillId="0" borderId="6" xfId="0" applyBorder="1" applyAlignment="1">
      <alignment horizontal="center" wrapText="1"/>
    </xf>
    <xf numFmtId="10" fontId="0" fillId="0" borderId="0" xfId="0" applyNumberFormat="1"/>
    <xf numFmtId="4" fontId="0" fillId="0" borderId="0" xfId="0" applyNumberFormat="1"/>
    <xf numFmtId="0" fontId="0" fillId="0" borderId="0" xfId="0" pivotButton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4" fontId="7" fillId="0" borderId="0" xfId="0" applyNumberFormat="1" applyFont="1" applyAlignment="1">
      <alignment horizontal="center"/>
    </xf>
    <xf numFmtId="10" fontId="7" fillId="0" borderId="0" xfId="0" applyNumberFormat="1" applyFont="1" applyAlignment="1">
      <alignment horizontal="center"/>
    </xf>
    <xf numFmtId="0" fontId="7" fillId="0" borderId="0" xfId="0" applyNumberFormat="1" applyFont="1" applyAlignment="1">
      <alignment horizontal="center"/>
    </xf>
    <xf numFmtId="0" fontId="7" fillId="0" borderId="0" xfId="0" pivotButton="1" applyFont="1" applyAlignment="1">
      <alignment horizontal="left"/>
    </xf>
    <xf numFmtId="0" fontId="9" fillId="4" borderId="7" xfId="0" applyFont="1" applyFill="1" applyBorder="1" applyAlignment="1">
      <alignment horizontal="center" vertical="center"/>
    </xf>
    <xf numFmtId="165" fontId="4" fillId="5" borderId="8" xfId="0" applyNumberFormat="1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3" fillId="6" borderId="9" xfId="0" applyFont="1" applyFill="1" applyBorder="1" applyAlignment="1">
      <alignment vertical="center"/>
    </xf>
    <xf numFmtId="0" fontId="0" fillId="6" borderId="10" xfId="0" applyFill="1" applyBorder="1" applyAlignment="1">
      <alignment vertical="center"/>
    </xf>
    <xf numFmtId="0" fontId="0" fillId="6" borderId="11" xfId="0" applyFill="1" applyBorder="1" applyAlignment="1">
      <alignment vertical="center"/>
    </xf>
    <xf numFmtId="0" fontId="0" fillId="7" borderId="0" xfId="0" applyFill="1" applyAlignment="1">
      <alignment horizontal="center" vertical="center"/>
    </xf>
    <xf numFmtId="0" fontId="0" fillId="7" borderId="0" xfId="0" applyFont="1" applyFill="1" applyAlignment="1">
      <alignment horizontal="left" vertical="center"/>
    </xf>
    <xf numFmtId="0" fontId="0" fillId="7" borderId="0" xfId="0" applyFill="1" applyAlignment="1">
      <alignment horizontal="left" vertical="center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5" fillId="7" borderId="0" xfId="0" applyFont="1" applyFill="1" applyAlignment="1">
      <alignment horizontal="center" vertical="center"/>
    </xf>
    <xf numFmtId="0" fontId="0" fillId="8" borderId="0" xfId="0" applyFill="1"/>
    <xf numFmtId="0" fontId="0" fillId="8" borderId="0" xfId="0" applyFill="1" applyAlignment="1">
      <alignment vertical="center"/>
    </xf>
    <xf numFmtId="4" fontId="4" fillId="5" borderId="7" xfId="1" applyNumberFormat="1" applyFont="1" applyFill="1" applyBorder="1" applyAlignment="1">
      <alignment horizontal="center" vertical="center"/>
    </xf>
  </cellXfs>
  <cellStyles count="3">
    <cellStyle name="Comma" xfId="1" builtinId="3"/>
    <cellStyle name="Currency" xfId="2" builtinId="4"/>
    <cellStyle name="Normal" xfId="0" builtinId="0"/>
  </cellStyles>
  <dxfs count="94">
    <dxf>
      <font>
        <b/>
        <i val="0"/>
      </font>
      <fill>
        <patternFill patternType="solid">
          <fgColor auto="1"/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numFmt numFmtId="14" formatCode="0.00%"/>
    </dxf>
    <dxf>
      <numFmt numFmtId="2" formatCode="0.00"/>
    </dxf>
    <dxf>
      <numFmt numFmtId="14" formatCode="0.00%"/>
    </dxf>
    <dxf>
      <numFmt numFmtId="4" formatCode="#,##0.00"/>
    </dxf>
    <dxf>
      <numFmt numFmtId="14" formatCode="0.00%"/>
    </dxf>
    <dxf>
      <numFmt numFmtId="14" formatCode="0.00%"/>
    </dxf>
    <dxf>
      <numFmt numFmtId="4" formatCode="#,##0.00"/>
    </dxf>
    <dxf>
      <numFmt numFmtId="2" formatCode="0.00"/>
    </dxf>
    <dxf>
      <numFmt numFmtId="14" formatCode="0.00%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left"/>
    </dxf>
    <dxf>
      <alignment horizontal="left"/>
    </dxf>
    <dxf>
      <alignment horizontal="left"/>
    </dxf>
    <dxf>
      <alignment horizontal="center"/>
    </dxf>
    <dxf>
      <alignment horizontal="center"/>
    </dxf>
    <dxf>
      <numFmt numFmtId="14" formatCode="0.00%"/>
    </dxf>
    <dxf>
      <numFmt numFmtId="4" formatCode="#,##0.0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left"/>
    </dxf>
    <dxf>
      <alignment horizontal="left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general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2" formatCode="0.00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100">
                <a:solidFill>
                  <a:srgbClr val="FF0000"/>
                </a:solidFill>
              </a:defRPr>
            </a:pPr>
            <a:r>
              <a:rPr lang="en-US" sz="1100">
                <a:solidFill>
                  <a:srgbClr val="FF0000"/>
                </a:solidFill>
              </a:rPr>
              <a:t>OEE by Shift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37942574897981"/>
          <c:y val="0.12650873015873015"/>
          <c:w val="0.7844016615102315"/>
          <c:h val="0.7472388888888889"/>
        </c:manualLayout>
      </c:layout>
      <c:barChart>
        <c:barDir val="col"/>
        <c:grouping val="clustered"/>
        <c:varyColors val="1"/>
        <c:ser>
          <c:idx val="0"/>
          <c:order val="0"/>
          <c:tx>
            <c:v>OEE/Shift</c:v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1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Shift_Analysis!$A$2:$A$4</c15:sqref>
                  </c15:fullRef>
                </c:ext>
              </c:extLst>
              <c:f>Shift_Analysis!$A$2:$A$4</c:f>
              <c:strCache>
                <c:ptCount val="3"/>
                <c:pt idx="0">
                  <c:v>Day</c:v>
                </c:pt>
                <c:pt idx="1">
                  <c:v>Evening</c:v>
                </c:pt>
                <c:pt idx="2">
                  <c:v>Night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Shift_Analysis!$D$2:$D$4</c15:sqref>
                  </c15:fullRef>
                </c:ext>
              </c:extLst>
              <c:f>Shift_Analysis!$D$2:$D$4</c:f>
              <c:numCache>
                <c:formatCode>0.00%</c:formatCode>
                <c:ptCount val="3"/>
                <c:pt idx="0">
                  <c:v>0.73676094373730161</c:v>
                </c:pt>
                <c:pt idx="1">
                  <c:v>0.74361430143029406</c:v>
                </c:pt>
                <c:pt idx="2">
                  <c:v>0.74177685873224242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6B-4C12-BE24-688AE91699D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38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plotVisOnly val="0"/>
    <c:dispBlanksAs val="zero"/>
    <c:showDLblsOverMax val="1"/>
  </c:chart>
  <c:spPr>
    <a:ln>
      <a:solidFill>
        <a:schemeClr val="tx2">
          <a:lumMod val="50000"/>
        </a:schemeClr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100">
                <a:solidFill>
                  <a:srgbClr val="FF0000"/>
                </a:solidFill>
              </a:defRPr>
            </a:pPr>
            <a:r>
              <a:rPr lang="en-US" sz="1100">
                <a:solidFill>
                  <a:srgbClr val="FF0000"/>
                </a:solidFill>
              </a:rPr>
              <a:t>Maintenance Downtime by Type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3.5277777777777776E-2"/>
          <c:y val="0.12599206349206349"/>
          <c:w val="0.7113323232323232"/>
          <c:h val="0.81857142857142862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Maintenance_Analysis!$C$1</c:f>
              <c:strCache>
                <c:ptCount val="1"/>
                <c:pt idx="0">
                  <c:v>Downtime hr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Maintenance_Analysis!$A$2:$A$4</c:f>
              <c:strCache>
                <c:ptCount val="3"/>
                <c:pt idx="0">
                  <c:v>Preventive</c:v>
                </c:pt>
                <c:pt idx="1">
                  <c:v>Corrective</c:v>
                </c:pt>
                <c:pt idx="2">
                  <c:v>Emergency</c:v>
                </c:pt>
              </c:strCache>
            </c:strRef>
          </c:cat>
          <c:val>
            <c:numRef>
              <c:f>Maintenance_Analysis!$C$2:$C$4</c:f>
              <c:numCache>
                <c:formatCode>General</c:formatCode>
                <c:ptCount val="3"/>
                <c:pt idx="0">
                  <c:v>52.45</c:v>
                </c:pt>
                <c:pt idx="1">
                  <c:v>57.31</c:v>
                </c:pt>
                <c:pt idx="2">
                  <c:v>19.809999999999999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82-4EA4-83EB-5AAD7A34AF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spPr>
    <a:ln>
      <a:solidFill>
        <a:schemeClr val="tx2">
          <a:lumMod val="50000"/>
        </a:schemeClr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100">
                <a:solidFill>
                  <a:srgbClr val="FF0000"/>
                </a:solidFill>
              </a:defRPr>
            </a:pPr>
            <a:r>
              <a:rPr lang="en-US" sz="1100">
                <a:solidFill>
                  <a:srgbClr val="FF0000"/>
                </a:solidFill>
              </a:rPr>
              <a:t>Deviation Events by Type</a:t>
            </a:r>
          </a:p>
        </c:rich>
      </c:tx>
      <c:layout>
        <c:manualLayout>
          <c:xMode val="edge"/>
          <c:yMode val="edge"/>
          <c:x val="0.42856237373737371"/>
          <c:y val="3.0238095238095238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4.3914141414141412E-2"/>
          <c:y val="6.0476190476190475E-2"/>
          <c:w val="0.56580808080808076"/>
          <c:h val="0.8891269841269841"/>
        </c:manualLayout>
      </c:layout>
      <c:pieChart>
        <c:varyColors val="1"/>
        <c:ser>
          <c:idx val="0"/>
          <c:order val="0"/>
          <c:tx>
            <c:strRef>
              <c:f>Deviation_Analysis!$B$1</c:f>
              <c:strCache>
                <c:ptCount val="1"/>
                <c:pt idx="0">
                  <c:v>Events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Deviation_Analysis!$A$2:$A$6</c:f>
              <c:strCache>
                <c:ptCount val="5"/>
                <c:pt idx="0">
                  <c:v>Equipment</c:v>
                </c:pt>
                <c:pt idx="1">
                  <c:v>Documentation</c:v>
                </c:pt>
                <c:pt idx="2">
                  <c:v>Material</c:v>
                </c:pt>
                <c:pt idx="3">
                  <c:v>Process</c:v>
                </c:pt>
                <c:pt idx="4">
                  <c:v>Environmental</c:v>
                </c:pt>
              </c:strCache>
            </c:strRef>
          </c:cat>
          <c:val>
            <c:numRef>
              <c:f>Deviation_Analysis!$B$2:$B$6</c:f>
              <c:numCache>
                <c:formatCode>General</c:formatCode>
                <c:ptCount val="5"/>
                <c:pt idx="0">
                  <c:v>16</c:v>
                </c:pt>
                <c:pt idx="1">
                  <c:v>14</c:v>
                </c:pt>
                <c:pt idx="2">
                  <c:v>12</c:v>
                </c:pt>
                <c:pt idx="3">
                  <c:v>13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BA-458A-AAB4-2D763C89417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spPr>
    <a:ln>
      <a:solidFill>
        <a:schemeClr val="tx2">
          <a:lumMod val="50000"/>
        </a:schemeClr>
      </a:solidFill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100" b="1" i="0" u="none" strike="noStrike" kern="1200" spc="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rPr lang="en-US" sz="1100" b="1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rPr>
              <a:t>OEE % By Production 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100" b="1" i="0" u="none" strike="noStrike" kern="1200" spc="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Line_Analysis!$B$9</c:f>
              <c:strCache>
                <c:ptCount val="1"/>
                <c:pt idx="0">
                  <c:v>OEE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Line_Analysis!$A$10:$A$11</c:f>
              <c:strCache>
                <c:ptCount val="2"/>
                <c:pt idx="0">
                  <c:v>Solid Dose Line 1</c:v>
                </c:pt>
                <c:pt idx="1">
                  <c:v>Solid Dose Line 2</c:v>
                </c:pt>
              </c:strCache>
            </c:strRef>
          </c:cat>
          <c:val>
            <c:numRef>
              <c:f>Line_Analysis!$B$10:$B$11</c:f>
              <c:numCache>
                <c:formatCode>0.00%</c:formatCode>
                <c:ptCount val="2"/>
                <c:pt idx="0">
                  <c:v>0.75257140503013231</c:v>
                </c:pt>
                <c:pt idx="1">
                  <c:v>0.72841594902270368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D6-42A8-AEA0-79B9714BC9B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04283600"/>
        <c:axId val="1004291280"/>
      </c:barChart>
      <c:catAx>
        <c:axId val="1004283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4291280"/>
        <c:crosses val="autoZero"/>
        <c:auto val="1"/>
        <c:lblAlgn val="ctr"/>
        <c:lblOffset val="100"/>
        <c:noMultiLvlLbl val="0"/>
      </c:catAx>
      <c:valAx>
        <c:axId val="1004291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4283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25400" cap="flat" cmpd="sng" algn="ctr">
      <a:solidFill>
        <a:schemeClr val="dk1"/>
      </a:solidFill>
      <a:prstDash val="solid"/>
      <a:round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3"/>
          <c:tx>
            <c:strRef>
              <c:f>Product_Analysis!$E$9</c:f>
              <c:strCache>
                <c:ptCount val="1"/>
                <c:pt idx="0">
                  <c:v>Average of Reject_Rate_%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Product_Analysis!$A$10:$A$13</c15:sqref>
                  </c15:fullRef>
                </c:ext>
              </c:extLst>
              <c:f>Product_Analysis!$A$10:$A$12</c:f>
              <c:strCache>
                <c:ptCount val="3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Product_Analysis!$E$10:$E$13</c15:sqref>
                  </c15:fullRef>
                </c:ext>
              </c:extLst>
              <c:f>Product_Analysis!$E$10:$E$12</c:f>
              <c:numCache>
                <c:formatCode>0.00%</c:formatCode>
                <c:ptCount val="3"/>
                <c:pt idx="0">
                  <c:v>1.4682857962510423E-2</c:v>
                </c:pt>
                <c:pt idx="1">
                  <c:v>1.3032941609442246E-2</c:v>
                </c:pt>
                <c:pt idx="2">
                  <c:v>1.707950976863121E-2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F0-4610-8A15-1769BE1A2B1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12579760"/>
        <c:axId val="111257592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Product_Analysis!$B$9</c15:sqref>
                        </c15:formulaRef>
                      </c:ext>
                    </c:extLst>
                    <c:strCache>
                      <c:ptCount val="1"/>
                      <c:pt idx="0">
                        <c:v>Actual Units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100" b="0" i="0" u="none" strike="noStrike" kern="1200" baseline="0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Product_Analysis!$A$10:$A$13</c15:sqref>
                        </c15:fullRef>
                        <c15:formulaRef>
                          <c15:sqref>Product_Analysis!$A$10:$A$12</c15:sqref>
                        </c15:formulaRef>
                      </c:ext>
                    </c:extLst>
                    <c:strCache>
                      <c:ptCount val="3"/>
                      <c:pt idx="0">
                        <c:v>Product A</c:v>
                      </c:pt>
                      <c:pt idx="1">
                        <c:v>Product B</c:v>
                      </c:pt>
                      <c:pt idx="2">
                        <c:v>Product 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Product_Analysis!$B$10:$B$13</c15:sqref>
                        </c15:fullRef>
                        <c15:formulaRef>
                          <c15:sqref>Product_Analysis!$B$10:$B$12</c15:sqref>
                        </c15:formulaRef>
                      </c:ext>
                    </c:extLst>
                    <c:numCache>
                      <c:formatCode>#,##0.00</c:formatCode>
                      <c:ptCount val="3"/>
                      <c:pt idx="0">
                        <c:v>760071.29999999981</c:v>
                      </c:pt>
                      <c:pt idx="1">
                        <c:v>796172.6</c:v>
                      </c:pt>
                      <c:pt idx="2">
                        <c:v>341935.89999999991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25F0-4610-8A15-1769BE1A2B18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Product_Analysis!$C$9</c15:sqref>
                        </c15:formulaRef>
                      </c:ext>
                    </c:extLst>
                    <c:strCache>
                      <c:ptCount val="1"/>
                      <c:pt idx="0">
                        <c:v>Average of Achievement_%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100" b="0" i="0" u="none" strike="noStrike" kern="1200" baseline="0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Product_Analysis!$A$10:$A$13</c15:sqref>
                        </c15:fullRef>
                        <c15:formulaRef>
                          <c15:sqref>Product_Analysis!$A$10:$A$12</c15:sqref>
                        </c15:formulaRef>
                      </c:ext>
                    </c:extLst>
                    <c:strCache>
                      <c:ptCount val="3"/>
                      <c:pt idx="0">
                        <c:v>Product A</c:v>
                      </c:pt>
                      <c:pt idx="1">
                        <c:v>Product B</c:v>
                      </c:pt>
                      <c:pt idx="2">
                        <c:v>Product C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Product_Analysis!$C$10:$C$13</c15:sqref>
                        </c15:fullRef>
                        <c15:formulaRef>
                          <c15:sqref>Product_Analysis!$C$10:$C$12</c15:sqref>
                        </c15:formulaRef>
                      </c:ext>
                    </c:extLst>
                    <c:numCache>
                      <c:formatCode>0.00%</c:formatCode>
                      <c:ptCount val="3"/>
                      <c:pt idx="0">
                        <c:v>0.74567283507973148</c:v>
                      </c:pt>
                      <c:pt idx="1">
                        <c:v>0.76742167980607168</c:v>
                      </c:pt>
                      <c:pt idx="2">
                        <c:v>0.72854053347779779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25F0-4610-8A15-1769BE1A2B18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Product_Analysis!$D$9</c15:sqref>
                        </c15:formulaRef>
                      </c:ext>
                    </c:extLst>
                    <c:strCache>
                      <c:ptCount val="1"/>
                      <c:pt idx="0">
                        <c:v>Average of OEE_%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100" b="0" i="0" u="none" strike="noStrike" kern="1200" baseline="0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Product_Analysis!$A$10:$A$13</c15:sqref>
                        </c15:fullRef>
                        <c15:formulaRef>
                          <c15:sqref>Product_Analysis!$A$10:$A$12</c15:sqref>
                        </c15:formulaRef>
                      </c:ext>
                    </c:extLst>
                    <c:strCache>
                      <c:ptCount val="3"/>
                      <c:pt idx="0">
                        <c:v>Product A</c:v>
                      </c:pt>
                      <c:pt idx="1">
                        <c:v>Product B</c:v>
                      </c:pt>
                      <c:pt idx="2">
                        <c:v>Product C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Product_Analysis!$D$10:$D$13</c15:sqref>
                        </c15:fullRef>
                        <c15:formulaRef>
                          <c15:sqref>Product_Analysis!$D$10:$D$12</c15:sqref>
                        </c15:formulaRef>
                      </c:ext>
                    </c:extLst>
                    <c:numCache>
                      <c:formatCode>0.00%</c:formatCode>
                      <c:ptCount val="3"/>
                      <c:pt idx="0">
                        <c:v>0.73476647050633148</c:v>
                      </c:pt>
                      <c:pt idx="1">
                        <c:v>0.75727995232950907</c:v>
                      </c:pt>
                      <c:pt idx="2">
                        <c:v>0.71628221153187321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25F0-4610-8A15-1769BE1A2B18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Product_Analysis!$F$9</c15:sqref>
                        </c15:formulaRef>
                      </c:ext>
                    </c:extLst>
                    <c:strCache>
                      <c:ptCount val="1"/>
                      <c:pt idx="0">
                        <c:v>Average of Yield_%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100" b="0" i="0" u="none" strike="noStrike" kern="1200" baseline="0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Product_Analysis!$A$10:$A$13</c15:sqref>
                        </c15:fullRef>
                        <c15:formulaRef>
                          <c15:sqref>Product_Analysis!$A$10:$A$12</c15:sqref>
                        </c15:formulaRef>
                      </c:ext>
                    </c:extLst>
                    <c:strCache>
                      <c:ptCount val="3"/>
                      <c:pt idx="0">
                        <c:v>Product A</c:v>
                      </c:pt>
                      <c:pt idx="1">
                        <c:v>Product B</c:v>
                      </c:pt>
                      <c:pt idx="2">
                        <c:v>Product C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Product_Analysis!$F$10:$F$13</c15:sqref>
                        </c15:fullRef>
                        <c15:formulaRef>
                          <c15:sqref>Product_Analysis!$F$10:$F$12</c15:sqref>
                        </c15:formulaRef>
                      </c:ext>
                    </c:extLst>
                    <c:numCache>
                      <c:formatCode>0.00%</c:formatCode>
                      <c:ptCount val="3"/>
                      <c:pt idx="0">
                        <c:v>0.73476647050633148</c:v>
                      </c:pt>
                      <c:pt idx="1">
                        <c:v>0.75727995232950907</c:v>
                      </c:pt>
                      <c:pt idx="2">
                        <c:v>0.71628221153187321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25F0-4610-8A15-1769BE1A2B18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Product_Analysis!$G$9</c15:sqref>
                        </c15:formulaRef>
                      </c:ext>
                    </c:extLst>
                    <c:strCache>
                      <c:ptCount val="1"/>
                      <c:pt idx="0">
                        <c:v>Average of Energy_per_Unit</c:v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100" b="0" i="0" u="none" strike="noStrike" kern="1200" baseline="0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Product_Analysis!$A$10:$A$13</c15:sqref>
                        </c15:fullRef>
                        <c15:formulaRef>
                          <c15:sqref>Product_Analysis!$A$10:$A$12</c15:sqref>
                        </c15:formulaRef>
                      </c:ext>
                    </c:extLst>
                    <c:strCache>
                      <c:ptCount val="3"/>
                      <c:pt idx="0">
                        <c:v>Product A</c:v>
                      </c:pt>
                      <c:pt idx="1">
                        <c:v>Product B</c:v>
                      </c:pt>
                      <c:pt idx="2">
                        <c:v>Product C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Product_Analysis!$G$10:$G$13</c15:sqref>
                        </c15:fullRef>
                        <c15:formulaRef>
                          <c15:sqref>Product_Analysis!$G$10:$G$12</c15:sqref>
                        </c15:formulaRef>
                      </c:ext>
                    </c:extLst>
                    <c:numCache>
                      <c:formatCode>#,##0.00</c:formatCode>
                      <c:ptCount val="3"/>
                      <c:pt idx="0">
                        <c:v>0.52277501668415849</c:v>
                      </c:pt>
                      <c:pt idx="1">
                        <c:v>0.51818388170739205</c:v>
                      </c:pt>
                      <c:pt idx="2">
                        <c:v>0.5167124697967288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25F0-4610-8A15-1769BE1A2B18}"/>
                  </c:ext>
                </c:extLst>
              </c15:ser>
            </c15:filteredBarSeries>
          </c:ext>
        </c:extLst>
      </c:barChart>
      <c:catAx>
        <c:axId val="111257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575920"/>
        <c:crosses val="autoZero"/>
        <c:auto val="1"/>
        <c:lblAlgn val="ctr"/>
        <c:lblOffset val="100"/>
        <c:noMultiLvlLbl val="0"/>
      </c:catAx>
      <c:valAx>
        <c:axId val="1112575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57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25400" cap="flat" cmpd="sng" algn="ctr">
      <a:solidFill>
        <a:schemeClr val="tx2">
          <a:lumMod val="50000"/>
        </a:schemeClr>
      </a:solidFill>
      <a:prstDash val="solid"/>
      <a:round/>
    </a:ln>
    <a:effectLst/>
  </c:spPr>
  <c:txPr>
    <a:bodyPr/>
    <a:lstStyle/>
    <a:p>
      <a:pPr>
        <a:defRPr sz="1100"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321467</xdr:colOff>
      <xdr:row>20</xdr:row>
      <xdr:rowOff>188008</xdr:rowOff>
    </xdr:from>
    <xdr:ext cx="3905249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90542</xdr:colOff>
      <xdr:row>6</xdr:row>
      <xdr:rowOff>187174</xdr:rowOff>
    </xdr:from>
    <xdr:ext cx="3960000" cy="25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10</xdr:col>
      <xdr:colOff>206282</xdr:colOff>
      <xdr:row>6</xdr:row>
      <xdr:rowOff>183302</xdr:rowOff>
    </xdr:from>
    <xdr:ext cx="3550204" cy="252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twoCellAnchor>
    <xdr:from>
      <xdr:col>3</xdr:col>
      <xdr:colOff>35717</xdr:colOff>
      <xdr:row>7</xdr:row>
      <xdr:rowOff>0</xdr:rowOff>
    </xdr:from>
    <xdr:to>
      <xdr:col>5</xdr:col>
      <xdr:colOff>1476374</xdr:colOff>
      <xdr:row>20</xdr:row>
      <xdr:rowOff>47244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D0CCAB0-5597-4FED-8A04-C7619248B5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35718</xdr:colOff>
      <xdr:row>20</xdr:row>
      <xdr:rowOff>107157</xdr:rowOff>
    </xdr:from>
    <xdr:to>
      <xdr:col>3</xdr:col>
      <xdr:colOff>761999</xdr:colOff>
      <xdr:row>34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00DE619-DFF1-4552-9E4F-02211E5832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stafa" refreshedDate="46293.948992245372" createdVersion="8" refreshedVersion="8" minRefreshableVersion="3" recordCount="240" xr:uid="{1D25043B-F318-45F4-915A-AB00D31696B4}">
  <cacheSource type="worksheet">
    <worksheetSource name="PharmaProduction"/>
  </cacheSource>
  <cacheFields count="30">
    <cacheField name="Batch_ID" numFmtId="0">
      <sharedItems containsSemiMixedTypes="0" containsString="0" containsNumber="1" containsInteger="1" minValue="1" maxValue="240" count="24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</sharedItems>
    </cacheField>
    <cacheField name="Date" numFmtId="164">
      <sharedItems containsSemiMixedTypes="0" containsNonDate="0" containsDate="1" containsString="0" minDate="2026-01-01T00:00:00" maxDate="2026-05-01T00:00:00" count="120"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</sharedItems>
      <fieldGroup par="29"/>
    </cacheField>
    <cacheField name="Production_Line" numFmtId="0">
      <sharedItems count="2">
        <s v="Solid Dose Line 1"/>
        <s v="Solid Dose Line 2"/>
      </sharedItems>
    </cacheField>
    <cacheField name="Product" numFmtId="0">
      <sharedItems count="3">
        <s v="Product C"/>
        <s v="Product B"/>
        <s v="Product A"/>
      </sharedItems>
    </cacheField>
    <cacheField name="Shift" numFmtId="0">
      <sharedItems count="3">
        <s v="Day"/>
        <s v="Evening"/>
        <s v="Night"/>
      </sharedItems>
    </cacheField>
    <cacheField name="Planned_Units" numFmtId="0">
      <sharedItems containsSemiMixedTypes="0" containsString="0" containsNumber="1" containsInteger="1" minValue="9023" maxValue="11993"/>
    </cacheField>
    <cacheField name="Actual_Units" numFmtId="0">
      <sharedItems containsSemiMixedTypes="0" containsString="0" containsNumber="1" minValue="5742.9" maxValue="11297.6"/>
    </cacheField>
    <cacheField name="Good_Units" numFmtId="0">
      <sharedItems containsSemiMixedTypes="0" containsString="0" containsNumber="1" minValue="5672.6" maxValue="11097.4"/>
    </cacheField>
    <cacheField name="Rejected_Units" numFmtId="0">
      <sharedItems containsSemiMixedTypes="0" containsString="0" containsNumber="1" minValue="8.1" maxValue="818.9"/>
    </cacheField>
    <cacheField name="Material_Input_kg" numFmtId="0">
      <sharedItems containsSemiMixedTypes="0" containsString="0" containsNumber="1" minValue="5788.1" maxValue="11503.2"/>
    </cacheField>
    <cacheField name="Downtime_hr" numFmtId="0">
      <sharedItems containsSemiMixedTypes="0" containsString="0" containsNumber="1" minValue="0" maxValue="5.85"/>
    </cacheField>
    <cacheField name="Deviation_Type" numFmtId="0">
      <sharedItems/>
    </cacheField>
    <cacheField name="Batch_Status" numFmtId="0">
      <sharedItems/>
    </cacheField>
    <cacheField name="Maintenance_Type" numFmtId="0">
      <sharedItems/>
    </cacheField>
    <cacheField name="Maintenance_Cost_USD" numFmtId="0">
      <sharedItems containsSemiMixedTypes="0" containsString="0" containsNumber="1" minValue="0" maxValue="2137.96"/>
    </cacheField>
    <cacheField name="Labor_Hours" numFmtId="0">
      <sharedItems containsSemiMixedTypes="0" containsString="0" containsNumber="1" minValue="32.1" maxValue="52"/>
    </cacheField>
    <cacheField name="Energy_kWh" numFmtId="0">
      <sharedItems containsSemiMixedTypes="0" containsString="0" containsNumber="1" minValue="2805.6" maxValue="6254"/>
    </cacheField>
    <cacheField name="Run_Hours" numFmtId="0">
      <sharedItems containsSemiMixedTypes="0" containsString="0" containsNumber="1" minValue="6.5" maxValue="8"/>
    </cacheField>
    <cacheField name="Achievement_%" numFmtId="165">
      <sharedItems containsSemiMixedTypes="0" containsString="0" containsNumber="1" minValue="0.59790064435668255" maxValue="1.0033392539964476"/>
    </cacheField>
    <cacheField name="Availability_%" numFmtId="165">
      <sharedItems containsSemiMixedTypes="0" containsString="0" containsNumber="1" minValue="0.26875000000000004" maxValue="1"/>
    </cacheField>
    <cacheField name="Performance_%" numFmtId="165">
      <sharedItems containsSemiMixedTypes="0" containsString="0" containsNumber="1" minValue="0.82269259787073512" maxValue="2.5928170872505358"/>
    </cacheField>
    <cacheField name="Quality_%" numFmtId="165">
      <sharedItems containsSemiMixedTypes="0" containsString="0" containsNumber="1" minValue="0.90704353255008796" maxValue="0.99899818188564427"/>
    </cacheField>
    <cacheField name="OEE_%" numFmtId="165">
      <sharedItems containsSemiMixedTypes="0" containsString="0" containsNumber="1" minValue="0.5853610193487494" maxValue="0.98555950266429837"/>
    </cacheField>
    <cacheField name="Yield_%" numFmtId="165">
      <sharedItems containsSemiMixedTypes="0" containsString="0" containsNumber="1" minValue="0.5853610193487494" maxValue="0.98555950266429837"/>
    </cacheField>
    <cacheField name="Reject_Rate_%" numFmtId="165">
      <sharedItems containsSemiMixedTypes="0" containsString="0" containsNumber="1" minValue="1.0018181143556825E-3" maxValue="9.2956467449912025E-2"/>
    </cacheField>
    <cacheField name="Units_per_Labor_Hour" numFmtId="166">
      <sharedItems containsSemiMixedTypes="0" containsString="0" containsNumber="1" minValue="115.98235294117647" maxValue="305.04664723032073"/>
    </cacheField>
    <cacheField name="Energy_per_Unit" numFmtId="2">
      <sharedItems containsSemiMixedTypes="0" containsString="0" containsNumber="1" minValue="0.45300517745929314" maxValue="0.60895685417804479"/>
    </cacheField>
    <cacheField name="Batch_Cycle_hr" numFmtId="2">
      <sharedItems containsSemiMixedTypes="0" containsString="0" containsNumber="1" minValue="6.51" maxValue="13.52"/>
    </cacheField>
    <cacheField name="Days (Date)" numFmtId="0" databaseField="0">
      <fieldGroup base="1">
        <rangePr groupBy="days" startDate="2026-01-01T00:00:00" endDate="2026-05-01T00:00:00"/>
        <groupItems count="368">
          <s v="&lt;1/1/202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5/1/2026"/>
        </groupItems>
      </fieldGroup>
    </cacheField>
    <cacheField name="Months (Date)" numFmtId="0" databaseField="0">
      <fieldGroup base="1">
        <rangePr groupBy="months" startDate="2026-01-01T00:00:00" endDate="2026-05-01T00:00:00"/>
        <groupItems count="14">
          <s v="&lt;1/1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5/1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0">
  <r>
    <x v="0"/>
    <x v="0"/>
    <x v="0"/>
    <x v="0"/>
    <x v="0"/>
    <n v="9808"/>
    <n v="8219.4"/>
    <n v="8130.4"/>
    <n v="89"/>
    <n v="8379.9"/>
    <n v="1.1200000000000001"/>
    <s v="None"/>
    <s v="Released"/>
    <s v="None"/>
    <n v="0"/>
    <n v="46.7"/>
    <n v="4473.5"/>
    <n v="7.59"/>
    <n v="0.83803017944535074"/>
    <n v="0.86"/>
    <n v="0.97445369702947759"/>
    <n v="0.98917195902377297"/>
    <n v="0.82895595432300162"/>
    <n v="0.82895595432300162"/>
    <n v="1.0828040976226975E-2"/>
    <n v="176.00428265524624"/>
    <n v="0.5442611382825997"/>
    <n v="8.7100000000000009"/>
  </r>
  <r>
    <x v="1"/>
    <x v="0"/>
    <x v="1"/>
    <x v="1"/>
    <x v="0"/>
    <n v="11976"/>
    <n v="10820.7"/>
    <n v="10607.5"/>
    <n v="213.3"/>
    <n v="10966.1"/>
    <n v="0.45"/>
    <s v="None"/>
    <s v="Released"/>
    <s v="Preventive"/>
    <n v="267.41000000000003"/>
    <n v="47.5"/>
    <n v="5083.3"/>
    <n v="7.99"/>
    <n v="0.9035320641282566"/>
    <n v="0.94374999999999998"/>
    <n v="0.95738496861272215"/>
    <n v="0.98029702329793811"/>
    <n v="0.88572979291917153"/>
    <n v="0.88572979291917164"/>
    <n v="1.9712218248357314E-2"/>
    <n v="227.80421052631581"/>
    <n v="0.46977552284048163"/>
    <n v="8.44"/>
  </r>
  <r>
    <x v="2"/>
    <x v="1"/>
    <x v="0"/>
    <x v="2"/>
    <x v="1"/>
    <n v="9891"/>
    <n v="8314.2999999999993"/>
    <n v="8253.7999999999993"/>
    <n v="60.5"/>
    <n v="8475"/>
    <n v="0.95"/>
    <s v="None"/>
    <s v="Released"/>
    <s v="None"/>
    <n v="0"/>
    <n v="45.8"/>
    <n v="4358.5"/>
    <n v="6.59"/>
    <n v="0.84059245778990999"/>
    <n v="0.88124999999999998"/>
    <n v="0.95386378188925958"/>
    <n v="0.99272338020037765"/>
    <n v="0.83447578606814266"/>
    <n v="0.83447578606814266"/>
    <n v="7.2766197996223378E-3"/>
    <n v="181.53493449781658"/>
    <n v="0.5242173123413878"/>
    <n v="7.54"/>
  </r>
  <r>
    <x v="3"/>
    <x v="1"/>
    <x v="1"/>
    <x v="0"/>
    <x v="1"/>
    <n v="9523"/>
    <n v="6660.6"/>
    <n v="6048.2"/>
    <n v="612.4"/>
    <n v="6834.2"/>
    <n v="2.0499999999999998"/>
    <s v="Documentation"/>
    <s v="Rejected"/>
    <s v="None"/>
    <n v="0"/>
    <n v="46.9"/>
    <n v="3211.1"/>
    <n v="6.74"/>
    <n v="0.69942245090832722"/>
    <n v="0.74375000000000002"/>
    <n v="0.94039993399438959"/>
    <n v="0.9080563312614478"/>
    <n v="0.63511498477370576"/>
    <n v="0.63511498477370576"/>
    <n v="9.1943668738552073E-2"/>
    <n v="142.01705756929638"/>
    <n v="0.48210371438008581"/>
    <n v="8.7899999999999991"/>
  </r>
  <r>
    <x v="4"/>
    <x v="2"/>
    <x v="0"/>
    <x v="1"/>
    <x v="1"/>
    <n v="10977"/>
    <n v="7777.8"/>
    <n v="7656.7"/>
    <n v="121.1"/>
    <n v="7888.4"/>
    <n v="2.2000000000000002"/>
    <s v="None"/>
    <s v="Released"/>
    <s v="None"/>
    <n v="0"/>
    <n v="43.5"/>
    <n v="4271.8999999999996"/>
    <n v="7.34"/>
    <n v="0.70855424979502601"/>
    <n v="0.72499999999999998"/>
    <n v="0.9773162066138289"/>
    <n v="0.98443004448558713"/>
    <n v="0.69752209164616918"/>
    <n v="0.6975220916461693"/>
    <n v="1.5569955514412814E-2"/>
    <n v="178.8"/>
    <n v="0.5492427164493815"/>
    <n v="9.5399999999999991"/>
  </r>
  <r>
    <x v="5"/>
    <x v="2"/>
    <x v="1"/>
    <x v="0"/>
    <x v="2"/>
    <n v="10595"/>
    <n v="6699"/>
    <n v="6201.9"/>
    <n v="497.1"/>
    <n v="6799.1"/>
    <n v="2.6"/>
    <s v="None"/>
    <s v="Rejected"/>
    <s v="None"/>
    <n v="0"/>
    <n v="39.299999999999997"/>
    <n v="3682"/>
    <n v="7.31"/>
    <n v="0.63227937706465309"/>
    <n v="0.67500000000000004"/>
    <n v="0.93671018824393049"/>
    <n v="0.92579489476041199"/>
    <n v="0.5853610193487494"/>
    <n v="0.5853610193487494"/>
    <n v="7.4205105239587996E-2"/>
    <n v="170.4580152671756"/>
    <n v="0.54963427377220486"/>
    <n v="9.91"/>
  </r>
  <r>
    <x v="6"/>
    <x v="3"/>
    <x v="0"/>
    <x v="0"/>
    <x v="1"/>
    <n v="10507"/>
    <n v="7714.1"/>
    <n v="7563.9"/>
    <n v="150.30000000000001"/>
    <n v="7821.4"/>
    <n v="1.62"/>
    <s v="None"/>
    <s v="Released"/>
    <s v="None"/>
    <n v="0"/>
    <n v="41.7"/>
    <n v="3644"/>
    <n v="7.76"/>
    <n v="0.73418673265442091"/>
    <n v="0.79749999999999999"/>
    <n v="0.92061032307764379"/>
    <n v="0.98052916088720643"/>
    <n v="0.7198915009041591"/>
    <n v="0.7198915009041591"/>
    <n v="1.9483802387835262E-2"/>
    <n v="184.99040767386091"/>
    <n v="0.47238174252343107"/>
    <n v="9.379999999999999"/>
  </r>
  <r>
    <x v="7"/>
    <x v="3"/>
    <x v="1"/>
    <x v="1"/>
    <x v="0"/>
    <n v="11813"/>
    <n v="10964.6"/>
    <n v="10762.7"/>
    <n v="201.9"/>
    <n v="11150.5"/>
    <n v="0"/>
    <s v="None"/>
    <s v="Released"/>
    <s v="None"/>
    <n v="0"/>
    <n v="45.1"/>
    <n v="5921.5"/>
    <n v="7.07"/>
    <n v="0.9281808177431643"/>
    <n v="1"/>
    <n v="0.9281808177431643"/>
    <n v="0.98158619557485005"/>
    <n v="0.9110894776940659"/>
    <n v="0.9110894776940659"/>
    <n v="1.8413804425150029E-2"/>
    <n v="243.11751662971176"/>
    <n v="0.54005618080002915"/>
    <n v="7.07"/>
  </r>
  <r>
    <x v="8"/>
    <x v="4"/>
    <x v="0"/>
    <x v="1"/>
    <x v="0"/>
    <n v="10017"/>
    <n v="8309.2999999999993"/>
    <n v="8279.4"/>
    <n v="29.9"/>
    <n v="8373.4"/>
    <n v="0.84"/>
    <s v="None"/>
    <s v="Released"/>
    <s v="None"/>
    <n v="0"/>
    <n v="43.5"/>
    <n v="4453.2"/>
    <n v="7.6"/>
    <n v="0.82951981631226912"/>
    <n v="0.89500000000000002"/>
    <n v="0.9268377835891275"/>
    <n v="0.9964016222786517"/>
    <n v="0.82653489068583408"/>
    <n v="0.82653489068583408"/>
    <n v="3.5983777213483689E-3"/>
    <n v="191.01839080459769"/>
    <n v="0.535929621027042"/>
    <n v="8.44"/>
  </r>
  <r>
    <x v="9"/>
    <x v="4"/>
    <x v="1"/>
    <x v="2"/>
    <x v="1"/>
    <n v="10586"/>
    <n v="8446.4"/>
    <n v="8348.5"/>
    <n v="97.9"/>
    <n v="8680.1"/>
    <n v="1.0900000000000001"/>
    <s v="None"/>
    <s v="Released"/>
    <s v="None"/>
    <n v="0"/>
    <n v="44.2"/>
    <n v="4188.3"/>
    <n v="7.65"/>
    <n v="0.79788399773285468"/>
    <n v="0.86375000000000002"/>
    <n v="0.92374413630431806"/>
    <n v="0.9884092631180148"/>
    <n v="0.78863593425278677"/>
    <n v="0.78863593425278666"/>
    <n v="1.1590736881985225E-2"/>
    <n v="191.09502262443436"/>
    <n v="0.49586806213297979"/>
    <n v="8.74"/>
  </r>
  <r>
    <x v="10"/>
    <x v="5"/>
    <x v="0"/>
    <x v="2"/>
    <x v="2"/>
    <n v="11476"/>
    <n v="8447.5"/>
    <n v="8330.1"/>
    <n v="117.5"/>
    <n v="8546.2000000000007"/>
    <n v="1.63"/>
    <s v="None"/>
    <s v="Released"/>
    <s v="None"/>
    <n v="0"/>
    <n v="32.6"/>
    <n v="4209.3"/>
    <n v="6.59"/>
    <n v="0.73610142906936216"/>
    <n v="0.79625000000000001"/>
    <n v="0.92446019349370445"/>
    <n v="0.98610239715892278"/>
    <n v="0.72587138375740679"/>
    <n v="0.72587138375740679"/>
    <n v="1.3909440662918023E-2"/>
    <n v="259.12576687116564"/>
    <n v="0.49828943474400711"/>
    <n v="8.2199999999999989"/>
  </r>
  <r>
    <x v="11"/>
    <x v="5"/>
    <x v="1"/>
    <x v="0"/>
    <x v="0"/>
    <n v="11919"/>
    <n v="8582.9"/>
    <n v="8561"/>
    <n v="21.9"/>
    <n v="8688.2000000000007"/>
    <n v="1.63"/>
    <s v="None"/>
    <s v="Released"/>
    <s v="Preventive"/>
    <n v="415.95"/>
    <n v="48"/>
    <n v="4749.3999999999996"/>
    <n v="7.74"/>
    <n v="0.72010235758033392"/>
    <n v="0.79625000000000001"/>
    <n v="0.90436716807577255"/>
    <n v="0.99744841487143043"/>
    <n v="0.71826495511368404"/>
    <n v="0.71826495511368404"/>
    <n v="2.5515851285695976E-3"/>
    <n v="178.81041666666667"/>
    <n v="0.55335609176385603"/>
    <n v="9.370000000000001"/>
  </r>
  <r>
    <x v="12"/>
    <x v="6"/>
    <x v="0"/>
    <x v="1"/>
    <x v="2"/>
    <n v="10361"/>
    <n v="8844.4"/>
    <n v="8721.9"/>
    <n v="122.4"/>
    <n v="8946.2000000000007"/>
    <n v="0.84"/>
    <s v="None"/>
    <s v="Released"/>
    <s v="None"/>
    <n v="0"/>
    <n v="33.5"/>
    <n v="4446.7"/>
    <n v="7.07"/>
    <n v="0.85362416755139459"/>
    <n v="0.89500000000000002"/>
    <n v="0.95377001961049679"/>
    <n v="0.98614942788657234"/>
    <n v="0.84180098446095941"/>
    <n v="0.8418009844609593"/>
    <n v="1.3839265523947358E-2"/>
    <n v="264.01194029850745"/>
    <n v="0.50277011442268549"/>
    <n v="7.91"/>
  </r>
  <r>
    <x v="13"/>
    <x v="6"/>
    <x v="1"/>
    <x v="2"/>
    <x v="2"/>
    <n v="11207"/>
    <n v="9897.7000000000007"/>
    <n v="9762.7999999999993"/>
    <n v="134.9"/>
    <n v="10069.299999999999"/>
    <n v="0.61"/>
    <s v="None"/>
    <s v="Released"/>
    <s v="Preventive"/>
    <n v="341.27"/>
    <n v="32.700000000000003"/>
    <n v="5309"/>
    <n v="7.49"/>
    <n v="0.88317123226554839"/>
    <n v="0.92374999999999996"/>
    <n v="0.95607169934024183"/>
    <n v="0.98637057094072345"/>
    <n v="0.87113411260819129"/>
    <n v="0.87113411260819129"/>
    <n v="1.3629429059276396E-2"/>
    <n v="302.68195718654437"/>
    <n v="0.53638724148034389"/>
    <n v="8.1"/>
  </r>
  <r>
    <x v="14"/>
    <x v="7"/>
    <x v="0"/>
    <x v="0"/>
    <x v="0"/>
    <n v="9249"/>
    <n v="5916"/>
    <n v="5825"/>
    <n v="91.1"/>
    <n v="6009.6"/>
    <n v="2.4300000000000002"/>
    <s v="None"/>
    <s v="Released"/>
    <s v="Preventive"/>
    <n v="193.89"/>
    <n v="47.2"/>
    <n v="3089"/>
    <n v="7.64"/>
    <n v="0.63963671748297113"/>
    <n v="0.69625000000000004"/>
    <n v="0.91868828363801958"/>
    <n v="0.98461798512508447"/>
    <n v="0.62979781598010598"/>
    <n v="0.62979781598010598"/>
    <n v="1.5398918187964841E-2"/>
    <n v="125.33898305084745"/>
    <n v="0.52214334009465857"/>
    <n v="10.07"/>
  </r>
  <r>
    <x v="15"/>
    <x v="7"/>
    <x v="1"/>
    <x v="1"/>
    <x v="0"/>
    <n v="11924"/>
    <n v="7626.2"/>
    <n v="7553.4"/>
    <n v="72.8"/>
    <n v="7760.7"/>
    <n v="3.13"/>
    <s v="Material"/>
    <s v="Released"/>
    <s v="None"/>
    <n v="0"/>
    <n v="40.4"/>
    <n v="3969.3"/>
    <n v="7.27"/>
    <n v="0.63956725930895675"/>
    <n v="0.60875000000000001"/>
    <n v="1.0506238345937686"/>
    <n v="0.99045396134378849"/>
    <n v="0.63346192552834613"/>
    <n v="0.63346192552834613"/>
    <n v="9.5460386562114807E-3"/>
    <n v="188.76732673267327"/>
    <n v="0.52048202250137687"/>
    <n v="10.399999999999999"/>
  </r>
  <r>
    <x v="16"/>
    <x v="8"/>
    <x v="0"/>
    <x v="1"/>
    <x v="1"/>
    <n v="9470"/>
    <n v="7024.4"/>
    <n v="6942.6"/>
    <n v="81.7"/>
    <n v="7185.1"/>
    <n v="2"/>
    <s v="None"/>
    <s v="Released"/>
    <s v="None"/>
    <n v="0"/>
    <n v="44.2"/>
    <n v="3619.5"/>
    <n v="7.91"/>
    <n v="0.74175290390707493"/>
    <n v="0.75"/>
    <n v="0.98900387187609995"/>
    <n v="0.9883548772848928"/>
    <n v="0.73311510031678995"/>
    <n v="0.73311510031678995"/>
    <n v="1.1630886623768578E-2"/>
    <n v="158.92307692307691"/>
    <n v="0.51527532600649173"/>
    <n v="9.91"/>
  </r>
  <r>
    <x v="17"/>
    <x v="8"/>
    <x v="1"/>
    <x v="2"/>
    <x v="1"/>
    <n v="9633"/>
    <n v="6310.7"/>
    <n v="6232.3"/>
    <n v="78.400000000000006"/>
    <n v="6462.3"/>
    <n v="4.03"/>
    <s v="Documentation"/>
    <s v="Released"/>
    <s v="None"/>
    <n v="0"/>
    <n v="48.2"/>
    <n v="2985"/>
    <n v="7.61"/>
    <n v="0.65511263365514372"/>
    <n v="0.49624999999999997"/>
    <n v="1.3201262139146475"/>
    <n v="0.98757665552157448"/>
    <n v="0.64697394373507733"/>
    <n v="0.64697394373507733"/>
    <n v="1.2423344478425533E-2"/>
    <n v="130.92738589211618"/>
    <n v="0.47300616413393126"/>
    <n v="11.64"/>
  </r>
  <r>
    <x v="18"/>
    <x v="9"/>
    <x v="0"/>
    <x v="2"/>
    <x v="1"/>
    <n v="11020"/>
    <n v="10068.4"/>
    <n v="9913.2000000000007"/>
    <n v="155.19999999999999"/>
    <n v="10271.6"/>
    <n v="0"/>
    <s v="None"/>
    <s v="Released"/>
    <s v="None"/>
    <n v="0"/>
    <n v="44.6"/>
    <n v="5211.7"/>
    <n v="6.51"/>
    <n v="0.91364791288566238"/>
    <n v="1"/>
    <n v="0.91364791288566238"/>
    <n v="0.98458543562035683"/>
    <n v="0.89956442831215977"/>
    <n v="0.89956442831215977"/>
    <n v="1.5414564379643239E-2"/>
    <n v="225.7488789237668"/>
    <n v="0.51762941480274915"/>
    <n v="6.51"/>
  </r>
  <r>
    <x v="19"/>
    <x v="9"/>
    <x v="1"/>
    <x v="0"/>
    <x v="1"/>
    <n v="9510"/>
    <n v="7408.7"/>
    <n v="7321.3"/>
    <n v="87.3"/>
    <n v="7464.2"/>
    <n v="1.52"/>
    <s v="None"/>
    <s v="Released"/>
    <s v="None"/>
    <n v="0"/>
    <n v="38.299999999999997"/>
    <n v="3950.9"/>
    <n v="7.48"/>
    <n v="0.77904311251314406"/>
    <n v="0.81"/>
    <n v="0.96178162038659765"/>
    <n v="0.98820305856628021"/>
    <n v="0.76985278654048384"/>
    <n v="0.76985278654048372"/>
    <n v="1.1783443789058809E-2"/>
    <n v="193.43864229765015"/>
    <n v="0.53327844291171189"/>
    <n v="9"/>
  </r>
  <r>
    <x v="20"/>
    <x v="10"/>
    <x v="0"/>
    <x v="2"/>
    <x v="0"/>
    <n v="9096"/>
    <n v="5808.7"/>
    <n v="5775.8"/>
    <n v="32.9"/>
    <n v="5810.1"/>
    <n v="2.4"/>
    <s v="None"/>
    <s v="Released"/>
    <s v="Preventive"/>
    <n v="428.9"/>
    <n v="43.6"/>
    <n v="3043.8"/>
    <n v="6.72"/>
    <n v="0.63859938434476693"/>
    <n v="0.7"/>
    <n v="0.91228483477823841"/>
    <n v="0.994336082083771"/>
    <n v="0.63498240985048371"/>
    <n v="0.63498240985048371"/>
    <n v="5.6639179162291048E-3"/>
    <n v="133.22706422018348"/>
    <n v="0.52400709280906232"/>
    <n v="9.1199999999999992"/>
  </r>
  <r>
    <x v="21"/>
    <x v="10"/>
    <x v="1"/>
    <x v="2"/>
    <x v="0"/>
    <n v="10640"/>
    <n v="8999.9"/>
    <n v="8834.9"/>
    <n v="165"/>
    <n v="9007.7999999999993"/>
    <n v="0"/>
    <s v="None"/>
    <s v="Released"/>
    <s v="None"/>
    <n v="0"/>
    <n v="39.299999999999997"/>
    <n v="4685.6000000000004"/>
    <n v="6.73"/>
    <n v="0.84585526315789472"/>
    <n v="1"/>
    <n v="0.84585526315789472"/>
    <n v="0.98166646296069959"/>
    <n v="0.83034774436090231"/>
    <n v="0.8303477443609022"/>
    <n v="1.8333537039300438E-2"/>
    <n v="229.00508905852419"/>
    <n v="0.52062800697785538"/>
    <n v="6.73"/>
  </r>
  <r>
    <x v="22"/>
    <x v="11"/>
    <x v="0"/>
    <x v="1"/>
    <x v="2"/>
    <n v="10652"/>
    <n v="9304"/>
    <n v="9140.5"/>
    <n v="163.5"/>
    <n v="9373"/>
    <n v="0.31"/>
    <s v="None"/>
    <s v="Released"/>
    <s v="None"/>
    <n v="0"/>
    <n v="41.3"/>
    <n v="4648.8999999999996"/>
    <n v="7.45"/>
    <n v="0.87345099511828761"/>
    <n v="0.96125000000000005"/>
    <n v="0.90866163341304307"/>
    <n v="0.98242691315563202"/>
    <n v="0.85810176492677437"/>
    <n v="0.85810176492677437"/>
    <n v="1.7573086844368015E-2"/>
    <n v="225.27845036319613"/>
    <n v="0.4996668099742046"/>
    <n v="7.76"/>
  </r>
  <r>
    <x v="23"/>
    <x v="11"/>
    <x v="1"/>
    <x v="1"/>
    <x v="2"/>
    <n v="11471"/>
    <n v="10365.299999999999"/>
    <n v="10195.799999999999"/>
    <n v="169.5"/>
    <n v="10649"/>
    <n v="0"/>
    <s v="None"/>
    <s v="Released"/>
    <s v="None"/>
    <n v="0"/>
    <n v="35.4"/>
    <n v="5692.8"/>
    <n v="7.15"/>
    <n v="0.90360910121175131"/>
    <n v="1"/>
    <n v="0.90360910121175131"/>
    <n v="0.98364736187085755"/>
    <n v="0.88883270856943586"/>
    <n v="0.88883270856943586"/>
    <n v="1.6352638129142429E-2"/>
    <n v="292.80508474576271"/>
    <n v="0.54921709936036589"/>
    <n v="7.15"/>
  </r>
  <r>
    <x v="24"/>
    <x v="12"/>
    <x v="0"/>
    <x v="1"/>
    <x v="0"/>
    <n v="9911"/>
    <n v="8283.9"/>
    <n v="8141.1"/>
    <n v="142.69999999999999"/>
    <n v="8419.9"/>
    <n v="0.96"/>
    <s v="None"/>
    <s v="Released"/>
    <s v="Preventive"/>
    <n v="444.21"/>
    <n v="47.2"/>
    <n v="4462"/>
    <n v="7.52"/>
    <n v="0.83582887700534758"/>
    <n v="0.88"/>
    <n v="0.94980554205153123"/>
    <n v="0.98276174265744409"/>
    <n v="0.82142064372918977"/>
    <n v="0.82142064372918988"/>
    <n v="1.7226185733772739E-2"/>
    <n v="175.50635593220338"/>
    <n v="0.53863518391095988"/>
    <n v="8.48"/>
  </r>
  <r>
    <x v="25"/>
    <x v="12"/>
    <x v="1"/>
    <x v="1"/>
    <x v="2"/>
    <n v="10676"/>
    <n v="6726.3"/>
    <n v="6625.8"/>
    <n v="100.5"/>
    <n v="6698.2"/>
    <n v="2.87"/>
    <s v="None"/>
    <s v="Released"/>
    <s v="None"/>
    <n v="0"/>
    <n v="37.5"/>
    <n v="3453.1"/>
    <n v="6.82"/>
    <n v="0.63003934057699518"/>
    <n v="0.64124999999999999"/>
    <n v="0.98251749017854995"/>
    <n v="0.98505865037241869"/>
    <n v="0.62062570251030347"/>
    <n v="0.62062570251030347"/>
    <n v="1.4941349627581285E-2"/>
    <n v="179.36799999999999"/>
    <n v="0.51337287959204914"/>
    <n v="9.6900000000000013"/>
  </r>
  <r>
    <x v="26"/>
    <x v="13"/>
    <x v="0"/>
    <x v="0"/>
    <x v="2"/>
    <n v="11342"/>
    <n v="8080"/>
    <n v="7980.1"/>
    <n v="99.9"/>
    <n v="8185.3"/>
    <n v="1.58"/>
    <s v="None"/>
    <s v="Released"/>
    <s v="None"/>
    <n v="0"/>
    <n v="49.7"/>
    <n v="4364.6000000000004"/>
    <n v="6.71"/>
    <n v="0.7123964027508376"/>
    <n v="0.80249999999999999"/>
    <n v="0.88772137414434593"/>
    <n v="0.98763613861386146"/>
    <n v="0.70358843237524249"/>
    <n v="0.70358843237524249"/>
    <n v="1.2363861386138614E-2"/>
    <n v="162.57545271629778"/>
    <n v="0.54017326732673276"/>
    <n v="8.2899999999999991"/>
  </r>
  <r>
    <x v="27"/>
    <x v="13"/>
    <x v="1"/>
    <x v="0"/>
    <x v="1"/>
    <n v="10502"/>
    <n v="7829.5"/>
    <n v="7785.3"/>
    <n v="44.3"/>
    <n v="8018.7"/>
    <n v="1.34"/>
    <s v="None"/>
    <s v="Released"/>
    <s v="None"/>
    <n v="0"/>
    <n v="47.7"/>
    <n v="3969.5"/>
    <n v="6.83"/>
    <n v="0.74552466196914868"/>
    <n v="0.83250000000000002"/>
    <n v="0.89552511948246083"/>
    <n v="0.99435468420716522"/>
    <n v="0.74131593982098642"/>
    <n v="0.74131593982098654"/>
    <n v="5.6580880005108877E-3"/>
    <n v="164.1404612159329"/>
    <n v="0.50699278370266299"/>
    <n v="8.17"/>
  </r>
  <r>
    <x v="28"/>
    <x v="14"/>
    <x v="0"/>
    <x v="0"/>
    <x v="0"/>
    <n v="9792"/>
    <n v="8159.3"/>
    <n v="8051.1"/>
    <n v="108.2"/>
    <n v="8278.5"/>
    <n v="0.78"/>
    <s v="None"/>
    <s v="Released"/>
    <s v="Corrective"/>
    <n v="547.34"/>
    <n v="44.4"/>
    <n v="4294.5"/>
    <n v="7.31"/>
    <n v="0.83326184640522882"/>
    <n v="0.90249999999999997"/>
    <n v="0.92328182427172167"/>
    <n v="0.9867390584976653"/>
    <n v="0.82221200980392173"/>
    <n v="0.82221200980392162"/>
    <n v="1.3260941502334759E-2"/>
    <n v="183.76801801801804"/>
    <n v="0.52633191572806493"/>
    <n v="8.09"/>
  </r>
  <r>
    <x v="29"/>
    <x v="14"/>
    <x v="1"/>
    <x v="2"/>
    <x v="1"/>
    <n v="10761"/>
    <n v="6895.3"/>
    <n v="6785.2"/>
    <n v="110.1"/>
    <n v="7008.9"/>
    <n v="2.15"/>
    <s v="Process"/>
    <s v="Released"/>
    <s v="None"/>
    <n v="0"/>
    <n v="50.1"/>
    <n v="3557"/>
    <n v="7.64"/>
    <n v="0.64076758665551525"/>
    <n v="0.73124999999999996"/>
    <n v="0.87626336636651669"/>
    <n v="0.98403260191724795"/>
    <n v="0.63053619552086237"/>
    <n v="0.63053619552086237"/>
    <n v="1.5967398082752018E-2"/>
    <n v="137.63073852295409"/>
    <n v="0.5158586283410439"/>
    <n v="9.7899999999999991"/>
  </r>
  <r>
    <x v="30"/>
    <x v="15"/>
    <x v="0"/>
    <x v="1"/>
    <x v="1"/>
    <n v="10353"/>
    <n v="7070.6"/>
    <n v="6974.5"/>
    <n v="96.1"/>
    <n v="7186.9"/>
    <n v="1.71"/>
    <s v="None"/>
    <s v="Released"/>
    <s v="None"/>
    <n v="0"/>
    <n v="44.7"/>
    <n v="3901.4"/>
    <n v="7.81"/>
    <n v="0.68295180141021927"/>
    <n v="0.78625"/>
    <n v="0.86861914328803713"/>
    <n v="0.9864085084716997"/>
    <n v="0.67366946778711478"/>
    <n v="0.6736694677871149"/>
    <n v="1.3591491528300284E-2"/>
    <n v="158.17897091722594"/>
    <n v="0.55177778406358724"/>
    <n v="9.52"/>
  </r>
  <r>
    <x v="31"/>
    <x v="15"/>
    <x v="1"/>
    <x v="1"/>
    <x v="0"/>
    <n v="11737"/>
    <n v="7688"/>
    <n v="7580.4"/>
    <n v="107.7"/>
    <n v="7722.1"/>
    <n v="3.87"/>
    <s v="Material"/>
    <s v="Released"/>
    <s v="Corrective"/>
    <n v="1040.28"/>
    <n v="49.3"/>
    <n v="4211.3999999999996"/>
    <n v="7.01"/>
    <n v="0.65502257817159415"/>
    <n v="0.51624999999999999"/>
    <n v="1.268808868128996"/>
    <n v="0.98600416233090526"/>
    <n v="0.64585498849791256"/>
    <n v="0.64585498849791256"/>
    <n v="1.4008844953173777E-2"/>
    <n v="155.94320486815417"/>
    <n v="0.54778876170655566"/>
    <n v="10.879999999999999"/>
  </r>
  <r>
    <x v="32"/>
    <x v="16"/>
    <x v="0"/>
    <x v="0"/>
    <x v="0"/>
    <n v="9891"/>
    <n v="6301.4"/>
    <n v="6212"/>
    <n v="89.5"/>
    <n v="6332.9"/>
    <n v="2.42"/>
    <s v="None"/>
    <s v="Released"/>
    <s v="None"/>
    <n v="0"/>
    <n v="45.5"/>
    <n v="3170.2"/>
    <n v="6.94"/>
    <n v="0.63708421797593773"/>
    <n v="0.69750000000000001"/>
    <n v="0.91338239136335142"/>
    <n v="0.9858126765480687"/>
    <n v="0.62804569810939226"/>
    <n v="0.62804569810939237"/>
    <n v="1.4203192941251152E-2"/>
    <n v="138.49230769230769"/>
    <n v="0.50309455041736761"/>
    <n v="9.36"/>
  </r>
  <r>
    <x v="33"/>
    <x v="16"/>
    <x v="1"/>
    <x v="2"/>
    <x v="0"/>
    <n v="10232"/>
    <n v="6523.9"/>
    <n v="6456.5"/>
    <n v="67.3"/>
    <n v="6664.6"/>
    <n v="4.24"/>
    <s v="Documentation"/>
    <s v="Released"/>
    <s v="None"/>
    <n v="0"/>
    <n v="41.4"/>
    <n v="3361.2"/>
    <n v="6.95"/>
    <n v="0.63759773260359653"/>
    <n v="0.47"/>
    <n v="1.3565909204331841"/>
    <n v="0.98966875641870666"/>
    <n v="0.63101055512118842"/>
    <n v="0.63101055512118842"/>
    <n v="1.0315915326721747E-2"/>
    <n v="157.58212560386474"/>
    <n v="0.51521329266236449"/>
    <n v="11.190000000000001"/>
  </r>
  <r>
    <x v="34"/>
    <x v="17"/>
    <x v="0"/>
    <x v="1"/>
    <x v="1"/>
    <n v="11840"/>
    <n v="9286.7000000000007"/>
    <n v="9167.4"/>
    <n v="119.4"/>
    <n v="9304.9"/>
    <n v="0.75"/>
    <s v="None"/>
    <s v="Released"/>
    <s v="None"/>
    <n v="0"/>
    <n v="49.2"/>
    <n v="4773.6000000000004"/>
    <n v="7.17"/>
    <n v="0.78434966216216218"/>
    <n v="0.90625"/>
    <n v="0.86548928238583422"/>
    <n v="0.98715367137949961"/>
    <n v="0.77427364864864867"/>
    <n v="0.77427364864864867"/>
    <n v="1.2857096708195591E-2"/>
    <n v="188.7540650406504"/>
    <n v="0.51402543422313629"/>
    <n v="7.92"/>
  </r>
  <r>
    <x v="35"/>
    <x v="17"/>
    <x v="1"/>
    <x v="2"/>
    <x v="2"/>
    <n v="11413"/>
    <n v="7963.7"/>
    <n v="7826.4"/>
    <n v="137.30000000000001"/>
    <n v="8060.9"/>
    <n v="1.79"/>
    <s v="Material"/>
    <s v="Released"/>
    <s v="None"/>
    <n v="0"/>
    <n v="43.2"/>
    <n v="3957.8"/>
    <n v="6.64"/>
    <n v="0.69777446771225793"/>
    <n v="0.77625"/>
    <n v="0.89890430623157225"/>
    <n v="0.98275927018848019"/>
    <n v="0.6857443266450538"/>
    <n v="0.6857443266450538"/>
    <n v="1.7240729811519771E-2"/>
    <n v="184.34490740740739"/>
    <n v="0.49698004696309506"/>
    <n v="8.43"/>
  </r>
  <r>
    <x v="36"/>
    <x v="18"/>
    <x v="0"/>
    <x v="1"/>
    <x v="2"/>
    <n v="11033"/>
    <n v="9140.2000000000007"/>
    <n v="9035.6"/>
    <n v="104.5"/>
    <n v="9289.7000000000007"/>
    <n v="0.99"/>
    <s v="None"/>
    <s v="Released"/>
    <s v="Corrective"/>
    <n v="833.76"/>
    <n v="50.1"/>
    <n v="4206.1000000000004"/>
    <n v="7.68"/>
    <n v="0.82844194688661299"/>
    <n v="0.87624999999999997"/>
    <n v="0.94544016763094196"/>
    <n v="0.9885560491017702"/>
    <n v="0.81896129792440853"/>
    <n v="0.81896129792440864"/>
    <n v="1.1433010218594778E-2"/>
    <n v="182.43912175648703"/>
    <n v="0.46017592612853109"/>
    <n v="8.67"/>
  </r>
  <r>
    <x v="37"/>
    <x v="18"/>
    <x v="1"/>
    <x v="1"/>
    <x v="1"/>
    <n v="10526"/>
    <n v="6990.2"/>
    <n v="6918.3"/>
    <n v="71.900000000000006"/>
    <n v="7004"/>
    <n v="3.86"/>
    <s v="None"/>
    <s v="Released"/>
    <s v="None"/>
    <n v="0"/>
    <n v="36.200000000000003"/>
    <n v="3326.6"/>
    <n v="7.26"/>
    <n v="0.66408892266768005"/>
    <n v="0.51750000000000007"/>
    <n v="1.2832636186815072"/>
    <n v="0.98971417126834715"/>
    <n v="0.65725821774653248"/>
    <n v="0.65725821774653237"/>
    <n v="1.0285828731652886E-2"/>
    <n v="193.09944751381212"/>
    <n v="0.47589482418242685"/>
    <n v="11.12"/>
  </r>
  <r>
    <x v="38"/>
    <x v="19"/>
    <x v="0"/>
    <x v="2"/>
    <x v="0"/>
    <n v="11553"/>
    <n v="7543.9"/>
    <n v="7461.7"/>
    <n v="82.2"/>
    <n v="7564.8"/>
    <n v="2.37"/>
    <s v="None"/>
    <s v="Released"/>
    <s v="None"/>
    <n v="0"/>
    <n v="45.3"/>
    <n v="3915.7"/>
    <n v="7.01"/>
    <n v="0.65298190946074608"/>
    <n v="0.70374999999999999"/>
    <n v="0.92786061735097147"/>
    <n v="0.98910377921234383"/>
    <n v="0.64586687440491664"/>
    <n v="0.64586687440491641"/>
    <n v="1.0896220787656253E-2"/>
    <n v="166.53200883002208"/>
    <n v="0.51905513063534781"/>
    <n v="9.379999999999999"/>
  </r>
  <r>
    <x v="39"/>
    <x v="19"/>
    <x v="1"/>
    <x v="2"/>
    <x v="0"/>
    <n v="11561"/>
    <n v="7908.6"/>
    <n v="7811.7"/>
    <n v="96.9"/>
    <n v="8152.9"/>
    <n v="1.93"/>
    <s v="Material"/>
    <s v="Released"/>
    <s v="Preventive"/>
    <n v="199.51"/>
    <n v="42.6"/>
    <n v="4373.3"/>
    <n v="7.12"/>
    <n v="0.68407577199204228"/>
    <n v="0.75875000000000004"/>
    <n v="0.90158256605211506"/>
    <n v="0.98774751536302241"/>
    <n v="0.67569414410518136"/>
    <n v="0.67569414410518125"/>
    <n v="1.2252484636977468E-2"/>
    <n v="185.64788732394368"/>
    <n v="0.55298029992666209"/>
    <n v="9.0500000000000007"/>
  </r>
  <r>
    <x v="40"/>
    <x v="20"/>
    <x v="0"/>
    <x v="0"/>
    <x v="2"/>
    <n v="11889"/>
    <n v="8458.9"/>
    <n v="8392.7999999999993"/>
    <n v="66.099999999999994"/>
    <n v="8559.7999999999993"/>
    <n v="2.19"/>
    <s v="None"/>
    <s v="Released"/>
    <s v="None"/>
    <n v="0"/>
    <n v="36.6"/>
    <n v="4086.9"/>
    <n v="7.85"/>
    <n v="0.71148961224661444"/>
    <n v="0.72625000000000006"/>
    <n v="0.97967588605385802"/>
    <n v="0.99218574519145508"/>
    <n v="0.70592985112288653"/>
    <n v="0.70592985112288664"/>
    <n v="7.8142548085448453E-3"/>
    <n v="231.11748633879779"/>
    <n v="0.48314792703543019"/>
    <n v="10.039999999999999"/>
  </r>
  <r>
    <x v="41"/>
    <x v="20"/>
    <x v="1"/>
    <x v="1"/>
    <x v="2"/>
    <n v="10520"/>
    <n v="8333.5"/>
    <n v="8176.9"/>
    <n v="156.6"/>
    <n v="8407"/>
    <n v="1.23"/>
    <s v="None"/>
    <s v="Released"/>
    <s v="None"/>
    <n v="0"/>
    <n v="49"/>
    <n v="4408.7"/>
    <n v="6.75"/>
    <n v="0.79215779467680614"/>
    <n v="0.84624999999999995"/>
    <n v="0.9360801118780574"/>
    <n v="0.98120837583248333"/>
    <n v="0.77727186311787066"/>
    <n v="0.77727186311787066"/>
    <n v="1.879162416751665E-2"/>
    <n v="170.07142857142858"/>
    <n v="0.5290334193316133"/>
    <n v="7.98"/>
  </r>
  <r>
    <x v="42"/>
    <x v="21"/>
    <x v="0"/>
    <x v="0"/>
    <x v="2"/>
    <n v="11310"/>
    <n v="8569.2999999999993"/>
    <n v="8441.7999999999993"/>
    <n v="127.5"/>
    <n v="8632.1"/>
    <n v="1.48"/>
    <s v="None"/>
    <s v="Released"/>
    <s v="None"/>
    <n v="0"/>
    <n v="35.9"/>
    <n v="4417.6000000000004"/>
    <n v="6.64"/>
    <n v="0.75767462422634835"/>
    <n v="0.81499999999999995"/>
    <n v="0.92966211561515133"/>
    <n v="0.98512130512410578"/>
    <n v="0.74640141467727661"/>
    <n v="0.74640141467727672"/>
    <n v="1.4878694875894181E-2"/>
    <n v="238.69916434540389"/>
    <n v="0.51551468614705998"/>
    <n v="8.1199999999999992"/>
  </r>
  <r>
    <x v="43"/>
    <x v="21"/>
    <x v="1"/>
    <x v="2"/>
    <x v="0"/>
    <n v="11053"/>
    <n v="7657.3"/>
    <n v="7504.3"/>
    <n v="153"/>
    <n v="7659.4"/>
    <n v="2.1"/>
    <s v="None"/>
    <s v="Released"/>
    <s v="None"/>
    <n v="0"/>
    <n v="37.1"/>
    <n v="3645.1"/>
    <n v="6.8"/>
    <n v="0.69278024065864474"/>
    <n v="0.73750000000000004"/>
    <n v="0.93936303818121303"/>
    <n v="0.98001906677288342"/>
    <n v="0.67893784492897846"/>
    <n v="0.67893784492897857"/>
    <n v="1.9980933227116606E-2"/>
    <n v="206.39622641509433"/>
    <n v="0.47602940984420095"/>
    <n v="8.9"/>
  </r>
  <r>
    <x v="44"/>
    <x v="22"/>
    <x v="0"/>
    <x v="2"/>
    <x v="0"/>
    <n v="9172"/>
    <n v="5777.7"/>
    <n v="5734.5"/>
    <n v="43.3"/>
    <n v="5819.2"/>
    <n v="3.82"/>
    <s v="Environmental"/>
    <s v="Released"/>
    <s v="Emergency"/>
    <n v="1420.77"/>
    <n v="42.7"/>
    <n v="2886.9"/>
    <n v="7.99"/>
    <n v="0.62992804186655038"/>
    <n v="0.52249999999999996"/>
    <n v="1.2056039078785654"/>
    <n v="0.99252297627083441"/>
    <n v="0.62521805494984739"/>
    <n v="0.62521805494984739"/>
    <n v="7.4943316544645788E-3"/>
    <n v="135.30913348946135"/>
    <n v="0.49966249545666963"/>
    <n v="11.81"/>
  </r>
  <r>
    <x v="45"/>
    <x v="22"/>
    <x v="1"/>
    <x v="1"/>
    <x v="1"/>
    <n v="11256"/>
    <n v="7617.4"/>
    <n v="7584.6"/>
    <n v="32.700000000000003"/>
    <n v="7680.9"/>
    <n v="2.36"/>
    <s v="Material"/>
    <s v="Released"/>
    <s v="None"/>
    <n v="0"/>
    <n v="49.9"/>
    <n v="3958.4"/>
    <n v="6.87"/>
    <n v="0.67674129353233825"/>
    <n v="0.70500000000000007"/>
    <n v="0.95991672841466424"/>
    <n v="0.99569406884238731"/>
    <n v="0.67382729211087433"/>
    <n v="0.67382729211087422"/>
    <n v="4.2928033187176733E-3"/>
    <n v="152.65330661322645"/>
    <n v="0.5196523748260562"/>
    <n v="9.23"/>
  </r>
  <r>
    <x v="46"/>
    <x v="23"/>
    <x v="0"/>
    <x v="2"/>
    <x v="2"/>
    <n v="9043"/>
    <n v="7483.2"/>
    <n v="7412.7"/>
    <n v="70.5"/>
    <n v="7633.5"/>
    <n v="1.07"/>
    <s v="None"/>
    <s v="Released"/>
    <s v="Emergency"/>
    <n v="1405.36"/>
    <n v="41.9"/>
    <n v="3839"/>
    <n v="7.82"/>
    <n v="0.82751299347561647"/>
    <n v="0.86624999999999996"/>
    <n v="0.95528195495020674"/>
    <n v="0.99057889672867228"/>
    <n v="0.81971690810571729"/>
    <n v="0.81971690810571707"/>
    <n v="9.4211032713277746E-3"/>
    <n v="178.59665871121717"/>
    <n v="0.51301582210818897"/>
    <n v="8.89"/>
  </r>
  <r>
    <x v="47"/>
    <x v="23"/>
    <x v="1"/>
    <x v="1"/>
    <x v="1"/>
    <n v="10185"/>
    <n v="8809.5"/>
    <n v="7990.6"/>
    <n v="818.9"/>
    <n v="8998.5"/>
    <n v="0.27"/>
    <s v="None"/>
    <s v="Rejected"/>
    <s v="None"/>
    <n v="0"/>
    <n v="39.4"/>
    <n v="4274.8999999999996"/>
    <n v="7.76"/>
    <n v="0.86494845360824746"/>
    <n v="0.96625000000000005"/>
    <n v="0.89516010722716421"/>
    <n v="0.90704353255008796"/>
    <n v="0.78454590083456066"/>
    <n v="0.78454590083456066"/>
    <n v="9.2956467449912025E-2"/>
    <n v="223.59137055837564"/>
    <n v="0.48526023043305516"/>
    <n v="8.0299999999999994"/>
  </r>
  <r>
    <x v="48"/>
    <x v="24"/>
    <x v="0"/>
    <x v="2"/>
    <x v="2"/>
    <n v="11065"/>
    <n v="8549"/>
    <n v="8453.2999999999993"/>
    <n v="95.7"/>
    <n v="8668.1"/>
    <n v="1.1499999999999999"/>
    <s v="None"/>
    <s v="Released"/>
    <s v="None"/>
    <n v="0"/>
    <n v="48.4"/>
    <n v="4520"/>
    <n v="6.68"/>
    <n v="0.77261635788522365"/>
    <n v="0.85624999999999996"/>
    <n v="0.90232567344259706"/>
    <n v="0.98880570826997305"/>
    <n v="0.7639674649796655"/>
    <n v="0.7639674649796655"/>
    <n v="1.1194291730026904E-2"/>
    <n v="176.63223140495867"/>
    <n v="0.52871680898350681"/>
    <n v="7.83"/>
  </r>
  <r>
    <x v="49"/>
    <x v="24"/>
    <x v="1"/>
    <x v="1"/>
    <x v="1"/>
    <n v="10318"/>
    <n v="6920.4"/>
    <n v="6841.9"/>
    <n v="78.599999999999994"/>
    <n v="7023.2"/>
    <n v="2.83"/>
    <s v="None"/>
    <s v="Released"/>
    <s v="Corrective"/>
    <n v="613.61"/>
    <n v="38.299999999999997"/>
    <n v="3458.8"/>
    <n v="7.07"/>
    <n v="0.67071137817406468"/>
    <n v="0.64624999999999999"/>
    <n v="1.037851262164897"/>
    <n v="0.98865672504479507"/>
    <n v="0.66310331459585181"/>
    <n v="0.66310331459585192"/>
    <n v="1.1357724986994971E-2"/>
    <n v="180.68929503916451"/>
    <n v="0.49979769955493908"/>
    <n v="9.9"/>
  </r>
  <r>
    <x v="50"/>
    <x v="25"/>
    <x v="0"/>
    <x v="1"/>
    <x v="2"/>
    <n v="10310"/>
    <n v="7710.6"/>
    <n v="7523.7"/>
    <n v="186.9"/>
    <n v="7834"/>
    <n v="1.22"/>
    <s v="None"/>
    <s v="Released"/>
    <s v="Preventive"/>
    <n v="288.57"/>
    <n v="46"/>
    <n v="3903.7"/>
    <n v="6.78"/>
    <n v="0.74787584869059165"/>
    <n v="0.84750000000000003"/>
    <n v="0.88244937898594888"/>
    <n v="0.97576064119523764"/>
    <n v="0.72974781765276431"/>
    <n v="0.72974781765276431"/>
    <n v="2.4239358804762273E-2"/>
    <n v="167.6217391304348"/>
    <n v="0.50627707312012027"/>
    <n v="8"/>
  </r>
  <r>
    <x v="51"/>
    <x v="25"/>
    <x v="1"/>
    <x v="0"/>
    <x v="1"/>
    <n v="9364"/>
    <n v="6854.5"/>
    <n v="6768.3"/>
    <n v="86.2"/>
    <n v="7043.4"/>
    <n v="2.2200000000000002"/>
    <s v="None"/>
    <s v="Released"/>
    <s v="None"/>
    <n v="0"/>
    <n v="47.2"/>
    <n v="3607.8"/>
    <n v="7.06"/>
    <n v="0.73200555318240068"/>
    <n v="0.72249999999999992"/>
    <n v="1.0131564749929423"/>
    <n v="0.98742431978991907"/>
    <n v="0.72280008543357543"/>
    <n v="0.72280008543357543"/>
    <n v="1.2575680210080969E-2"/>
    <n v="145.22245762711864"/>
    <n v="0.52634036034721721"/>
    <n v="9.2799999999999994"/>
  </r>
  <r>
    <x v="52"/>
    <x v="26"/>
    <x v="0"/>
    <x v="2"/>
    <x v="0"/>
    <n v="9768"/>
    <n v="6460.1"/>
    <n v="6348.3"/>
    <n v="111.8"/>
    <n v="6617.9"/>
    <n v="2.83"/>
    <s v="None"/>
    <s v="Released"/>
    <s v="None"/>
    <n v="0"/>
    <n v="44.6"/>
    <n v="3117.3"/>
    <n v="6.93"/>
    <n v="0.66135339885339894"/>
    <n v="0.64624999999999999"/>
    <n v="1.0233708299472324"/>
    <n v="0.98269376635036609"/>
    <n v="0.64990786240786247"/>
    <n v="0.64990786240786247"/>
    <n v="1.7306233649633906E-2"/>
    <n v="144.84529147982065"/>
    <n v="0.48254670980325381"/>
    <n v="9.76"/>
  </r>
  <r>
    <x v="53"/>
    <x v="26"/>
    <x v="1"/>
    <x v="2"/>
    <x v="0"/>
    <n v="9058"/>
    <n v="5964.8"/>
    <n v="5820.8"/>
    <n v="144"/>
    <n v="6131"/>
    <n v="2.94"/>
    <s v="Environmental"/>
    <s v="Released"/>
    <s v="None"/>
    <n v="0"/>
    <n v="34"/>
    <n v="3002.6"/>
    <n v="7.31"/>
    <n v="0.65851181276219917"/>
    <n v="0.63250000000000006"/>
    <n v="1.041125395671461"/>
    <n v="0.97585836909871249"/>
    <n v="0.64261426363435636"/>
    <n v="0.64261426363435636"/>
    <n v="2.4141630901287552E-2"/>
    <n v="175.43529411764706"/>
    <n v="0.50338653433476388"/>
    <n v="10.25"/>
  </r>
  <r>
    <x v="54"/>
    <x v="27"/>
    <x v="0"/>
    <x v="1"/>
    <x v="0"/>
    <n v="11472"/>
    <n v="7722.3"/>
    <n v="7676.6"/>
    <n v="45.7"/>
    <n v="7784.6"/>
    <n v="2.17"/>
    <s v="Material"/>
    <s v="Released"/>
    <s v="None"/>
    <n v="0"/>
    <n v="39.700000000000003"/>
    <n v="4249.3999999999996"/>
    <n v="7.33"/>
    <n v="0.67314330543933054"/>
    <n v="0.72875000000000001"/>
    <n v="0.92369578790988749"/>
    <n v="0.99408207399349935"/>
    <n v="0.66915969316596935"/>
    <n v="0.66915969316596935"/>
    <n v="5.9179260065006538E-3"/>
    <n v="194.51637279596977"/>
    <n v="0.55027647203553343"/>
    <n v="9.5"/>
  </r>
  <r>
    <x v="55"/>
    <x v="27"/>
    <x v="1"/>
    <x v="1"/>
    <x v="0"/>
    <n v="9619"/>
    <n v="7186.1"/>
    <n v="7127.7"/>
    <n v="58.5"/>
    <n v="7319.1"/>
    <n v="1.51"/>
    <s v="None"/>
    <s v="Released"/>
    <s v="None"/>
    <n v="0"/>
    <n v="48.3"/>
    <n v="3698.6"/>
    <n v="7.87"/>
    <n v="0.74707350036386322"/>
    <n v="0.81125000000000003"/>
    <n v="0.92089183403866037"/>
    <n v="0.99187319964932297"/>
    <n v="0.7410021831791247"/>
    <n v="0.74100218317912458"/>
    <n v="8.1407161047021333E-3"/>
    <n v="148.78053830227745"/>
    <n v="0.51468807837352659"/>
    <n v="9.3800000000000008"/>
  </r>
  <r>
    <x v="56"/>
    <x v="28"/>
    <x v="0"/>
    <x v="2"/>
    <x v="0"/>
    <n v="11714"/>
    <n v="8248.5"/>
    <n v="8131.7"/>
    <n v="116.8"/>
    <n v="8407.9"/>
    <n v="1.78"/>
    <s v="None"/>
    <s v="Released"/>
    <s v="None"/>
    <n v="0"/>
    <n v="33.1"/>
    <n v="4515.8"/>
    <n v="7.94"/>
    <n v="0.70415741847362134"/>
    <n v="0.77749999999999997"/>
    <n v="0.90566870543231037"/>
    <n v="0.98583984966963689"/>
    <n v="0.69418644357179438"/>
    <n v="0.69418644357179438"/>
    <n v="1.4160150330363096E-2"/>
    <n v="249.19939577039273"/>
    <n v="0.54746923683093895"/>
    <n v="9.7200000000000006"/>
  </r>
  <r>
    <x v="57"/>
    <x v="28"/>
    <x v="1"/>
    <x v="0"/>
    <x v="2"/>
    <n v="11569"/>
    <n v="7904.2"/>
    <n v="7769.9"/>
    <n v="134.30000000000001"/>
    <n v="8056.4"/>
    <n v="2.6"/>
    <s v="None"/>
    <s v="Released"/>
    <s v="None"/>
    <n v="0"/>
    <n v="40.700000000000003"/>
    <n v="4081"/>
    <n v="6.68"/>
    <n v="0.6832224047022214"/>
    <n v="0.67500000000000004"/>
    <n v="1.0121813402995872"/>
    <n v="0.98300903317223753"/>
    <n v="0.67161379548794187"/>
    <n v="0.67161379548794187"/>
    <n v="1.6990966827762456E-2"/>
    <n v="194.2063882063882"/>
    <n v="0.51630778573416669"/>
    <n v="9.2799999999999994"/>
  </r>
  <r>
    <x v="58"/>
    <x v="29"/>
    <x v="0"/>
    <x v="2"/>
    <x v="2"/>
    <n v="11427"/>
    <n v="7376.1"/>
    <n v="7250.5"/>
    <n v="125.6"/>
    <n v="7457.5"/>
    <n v="3.78"/>
    <s v="Equipment"/>
    <s v="Released"/>
    <s v="None"/>
    <n v="0"/>
    <n v="43.2"/>
    <n v="4369.8999999999996"/>
    <n v="6.57"/>
    <n v="0.64549750590706223"/>
    <n v="0.52750000000000008"/>
    <n v="1.2236919543261842"/>
    <n v="0.98297203129024824"/>
    <n v="0.63450599457425394"/>
    <n v="0.63450599457425394"/>
    <n v="1.7027968709751765E-2"/>
    <n v="170.74305555555554"/>
    <n v="0.59244044956006559"/>
    <n v="10.35"/>
  </r>
  <r>
    <x v="59"/>
    <x v="29"/>
    <x v="1"/>
    <x v="0"/>
    <x v="0"/>
    <n v="11012"/>
    <n v="6745.2"/>
    <n v="6649.4"/>
    <n v="95.9"/>
    <n v="6697.1"/>
    <n v="3.18"/>
    <s v="None"/>
    <s v="Released"/>
    <s v="None"/>
    <n v="0"/>
    <n v="37.700000000000003"/>
    <n v="3636.2"/>
    <n v="7.77"/>
    <n v="0.61253178350889936"/>
    <n v="0.60250000000000004"/>
    <n v="1.0166502630853103"/>
    <n v="0.98579730771511587"/>
    <n v="0.60383218307301134"/>
    <n v="0.60383218307301123"/>
    <n v="1.4217517642175178E-2"/>
    <n v="178.91777188328911"/>
    <n v="0.53907964181936785"/>
    <n v="10.95"/>
  </r>
  <r>
    <x v="60"/>
    <x v="30"/>
    <x v="0"/>
    <x v="2"/>
    <x v="1"/>
    <n v="10964"/>
    <n v="7137"/>
    <n v="7037.7"/>
    <n v="99.3"/>
    <n v="7283.2"/>
    <n v="2.19"/>
    <s v="None"/>
    <s v="Released"/>
    <s v="None"/>
    <n v="0"/>
    <n v="45.6"/>
    <n v="3867.4"/>
    <n v="6.97"/>
    <n v="0.65094855892010217"/>
    <n v="0.72625000000000006"/>
    <n v="0.8963147110775932"/>
    <n v="0.98608659100462381"/>
    <n v="0.64189164538489596"/>
    <n v="0.64189164538489596"/>
    <n v="1.3913408995376209E-2"/>
    <n v="156.51315789473685"/>
    <n v="0.54188034188034184"/>
    <n v="9.16"/>
  </r>
  <r>
    <x v="61"/>
    <x v="30"/>
    <x v="1"/>
    <x v="1"/>
    <x v="0"/>
    <n v="9260"/>
    <n v="5915.1"/>
    <n v="5888.4"/>
    <n v="26.7"/>
    <n v="6037.3"/>
    <n v="3.69"/>
    <s v="Documentation"/>
    <s v="Released"/>
    <s v="Preventive"/>
    <n v="286.97000000000003"/>
    <n v="51"/>
    <n v="3093.2"/>
    <n v="6.58"/>
    <n v="0.63877969762419007"/>
    <n v="0.53875000000000006"/>
    <n v="1.1856699723882878"/>
    <n v="0.99548612872140785"/>
    <n v="0.63589632829373643"/>
    <n v="0.63589632829373643"/>
    <n v="4.5138712785920774E-3"/>
    <n v="115.98235294117647"/>
    <n v="0.52293283291913906"/>
    <n v="10.27"/>
  </r>
  <r>
    <x v="62"/>
    <x v="31"/>
    <x v="0"/>
    <x v="2"/>
    <x v="1"/>
    <n v="10954"/>
    <n v="9067.5"/>
    <n v="9017.2999999999993"/>
    <n v="50.2"/>
    <n v="9290.2000000000007"/>
    <n v="0.76"/>
    <s v="None"/>
    <s v="Released"/>
    <s v="None"/>
    <n v="0"/>
    <n v="45.2"/>
    <n v="4671.1000000000004"/>
    <n v="6.86"/>
    <n v="0.82777980646339233"/>
    <n v="0.90500000000000003"/>
    <n v="0.9146738192965661"/>
    <n v="0.99446374414116345"/>
    <n v="0.82319700566003284"/>
    <n v="0.82319700566003284"/>
    <n v="5.536255858836504E-3"/>
    <n v="200.60840707964601"/>
    <n v="0.51514750482492422"/>
    <n v="7.62"/>
  </r>
  <r>
    <x v="63"/>
    <x v="31"/>
    <x v="1"/>
    <x v="1"/>
    <x v="0"/>
    <n v="9798"/>
    <n v="8304"/>
    <n v="8248.2000000000007"/>
    <n v="55.8"/>
    <n v="8370.2000000000007"/>
    <n v="1.03"/>
    <s v="Process"/>
    <s v="Released"/>
    <s v="None"/>
    <n v="0"/>
    <n v="36.700000000000003"/>
    <n v="4595.1000000000004"/>
    <n v="6.86"/>
    <n v="0.84751990202082061"/>
    <n v="0.87124999999999997"/>
    <n v="0.9727631587039548"/>
    <n v="0.99328034682080935"/>
    <n v="0.8418248622167791"/>
    <n v="0.84182486221677899"/>
    <n v="6.7196531791907507E-3"/>
    <n v="226.26702997275203"/>
    <n v="0.55335982658959537"/>
    <n v="7.8900000000000006"/>
  </r>
  <r>
    <x v="64"/>
    <x v="32"/>
    <x v="0"/>
    <x v="1"/>
    <x v="0"/>
    <n v="9437"/>
    <n v="6613.8"/>
    <n v="6550.2"/>
    <n v="63.6"/>
    <n v="6661.1"/>
    <n v="1.73"/>
    <s v="None"/>
    <s v="Released"/>
    <s v="None"/>
    <n v="0"/>
    <n v="32.299999999999997"/>
    <n v="3396.5"/>
    <n v="6.88"/>
    <n v="0.70083713044399709"/>
    <n v="0.78374999999999995"/>
    <n v="0.89421005479297877"/>
    <n v="0.99038374308264532"/>
    <n v="0.69409770054042597"/>
    <n v="0.69409770054042597"/>
    <n v="9.6162569173546229E-3"/>
    <n v="204.76160990712077"/>
    <n v="0.51354743112885182"/>
    <n v="8.61"/>
  </r>
  <r>
    <x v="65"/>
    <x v="32"/>
    <x v="1"/>
    <x v="2"/>
    <x v="2"/>
    <n v="9451"/>
    <n v="6774.8"/>
    <n v="6660.3"/>
    <n v="114.5"/>
    <n v="6815.5"/>
    <n v="1.68"/>
    <s v="None"/>
    <s v="Released"/>
    <s v="None"/>
    <n v="0"/>
    <n v="51.5"/>
    <n v="3833.8"/>
    <n v="7.41"/>
    <n v="0.71683419743942445"/>
    <n v="0.79"/>
    <n v="0.90738506004990438"/>
    <n v="0.98309913207769972"/>
    <n v="0.70471907734631256"/>
    <n v="0.70471907734631256"/>
    <n v="1.6900867922300288E-2"/>
    <n v="131.54951456310681"/>
    <n v="0.56589124402196378"/>
    <n v="9.09"/>
  </r>
  <r>
    <x v="66"/>
    <x v="33"/>
    <x v="0"/>
    <x v="1"/>
    <x v="1"/>
    <n v="9587"/>
    <n v="7392.8"/>
    <n v="7306.6"/>
    <n v="86.2"/>
    <n v="7423.6"/>
    <n v="1.49"/>
    <s v="Equipment"/>
    <s v="Released"/>
    <s v="Emergency"/>
    <n v="1916.28"/>
    <n v="33"/>
    <n v="3550.6"/>
    <n v="7.79"/>
    <n v="0.77112756858245546"/>
    <n v="0.81374999999999997"/>
    <n v="0.94762220409518338"/>
    <n v="0.98834000649280385"/>
    <n v="0.76213622613956411"/>
    <n v="0.762136226139564"/>
    <n v="1.1659993507196192E-2"/>
    <n v="224.02424242424243"/>
    <n v="0.4802781084298236"/>
    <n v="9.2799999999999994"/>
  </r>
  <r>
    <x v="67"/>
    <x v="33"/>
    <x v="1"/>
    <x v="2"/>
    <x v="1"/>
    <n v="10505"/>
    <n v="7031.7"/>
    <n v="6911.1"/>
    <n v="120.6"/>
    <n v="7218.7"/>
    <n v="2.86"/>
    <s v="None"/>
    <s v="Released"/>
    <s v="None"/>
    <n v="0"/>
    <n v="37.9"/>
    <n v="3542.1"/>
    <n v="6.58"/>
    <n v="0.66936696811042362"/>
    <n v="0.64250000000000007"/>
    <n v="1.0418162927788692"/>
    <n v="0.98284909765774997"/>
    <n v="0.6578867206092337"/>
    <n v="0.6578867206092337"/>
    <n v="1.7150902342250095E-2"/>
    <n v="185.53298153034302"/>
    <n v="0.50373309441529079"/>
    <n v="9.44"/>
  </r>
  <r>
    <x v="68"/>
    <x v="34"/>
    <x v="0"/>
    <x v="1"/>
    <x v="1"/>
    <n v="9548"/>
    <n v="8850.7999999999993"/>
    <n v="8763.2999999999993"/>
    <n v="87.5"/>
    <n v="9227.2000000000007"/>
    <n v="0"/>
    <s v="None"/>
    <s v="Released"/>
    <s v="Corrective"/>
    <n v="1083.97"/>
    <n v="43.8"/>
    <n v="4478.8999999999996"/>
    <n v="7.26"/>
    <n v="0.92697947214076237"/>
    <n v="1"/>
    <n v="0.92697947214076237"/>
    <n v="0.99011388801012334"/>
    <n v="0.91781524926686209"/>
    <n v="0.91781524926686209"/>
    <n v="9.8861119898766229E-3"/>
    <n v="202.07305936073058"/>
    <n v="0.50604465133095311"/>
    <n v="7.26"/>
  </r>
  <r>
    <x v="69"/>
    <x v="34"/>
    <x v="1"/>
    <x v="1"/>
    <x v="2"/>
    <n v="11481"/>
    <n v="7403.4"/>
    <n v="7317.9"/>
    <n v="85.4"/>
    <n v="7526.7"/>
    <n v="3.42"/>
    <s v="None"/>
    <s v="Released"/>
    <s v="Emergency"/>
    <n v="2137.96"/>
    <n v="38.700000000000003"/>
    <n v="3587"/>
    <n v="6.7"/>
    <n v="0.64483929971256859"/>
    <n v="0.57250000000000001"/>
    <n v="1.1263568553931329"/>
    <n v="0.98845125212740093"/>
    <n v="0.63739221322184481"/>
    <n v="0.63739221322184481"/>
    <n v="1.1535240565145745E-2"/>
    <n v="191.30232558139534"/>
    <n v="0.48450711835102794"/>
    <n v="10.120000000000001"/>
  </r>
  <r>
    <x v="70"/>
    <x v="35"/>
    <x v="0"/>
    <x v="0"/>
    <x v="2"/>
    <n v="10722"/>
    <n v="8185.1"/>
    <n v="8121.6"/>
    <n v="63.5"/>
    <n v="8252.2000000000007"/>
    <n v="1.6"/>
    <s v="None"/>
    <s v="Released"/>
    <s v="None"/>
    <n v="0"/>
    <n v="52"/>
    <n v="4004.7"/>
    <n v="7.12"/>
    <n v="0.76339302368961015"/>
    <n v="0.8"/>
    <n v="0.95424127961201266"/>
    <n v="0.99224200070860469"/>
    <n v="0.75747062115277008"/>
    <n v="0.75747062115277008"/>
    <n v="7.7579992913953399E-3"/>
    <n v="157.40576923076924"/>
    <n v="0.48926708287009318"/>
    <n v="8.7200000000000006"/>
  </r>
  <r>
    <x v="71"/>
    <x v="35"/>
    <x v="1"/>
    <x v="2"/>
    <x v="2"/>
    <n v="9062"/>
    <n v="6183.5"/>
    <n v="6135.6"/>
    <n v="47.9"/>
    <n v="6284.3"/>
    <n v="4.1500000000000004"/>
    <s v="Process"/>
    <s v="Released"/>
    <s v="Preventive"/>
    <n v="171.58"/>
    <n v="40.700000000000003"/>
    <n v="2963.9"/>
    <n v="7.36"/>
    <n v="0.68235488854557491"/>
    <n v="0.48124999999999996"/>
    <n v="1.417880287886909"/>
    <n v="0.99225357807067205"/>
    <n v="0.67706907967336138"/>
    <n v="0.67706907967336127"/>
    <n v="7.7464219293280501E-3"/>
    <n v="151.92874692874693"/>
    <n v="0.4793240074391526"/>
    <n v="11.510000000000002"/>
  </r>
  <r>
    <x v="72"/>
    <x v="36"/>
    <x v="0"/>
    <x v="1"/>
    <x v="1"/>
    <n v="9280"/>
    <n v="7040.7"/>
    <n v="6918"/>
    <n v="122.7"/>
    <n v="7043.1"/>
    <n v="1.55"/>
    <s v="None"/>
    <s v="Released"/>
    <s v="None"/>
    <n v="0"/>
    <n v="43.6"/>
    <n v="3924.6"/>
    <n v="7.93"/>
    <n v="0.7586961206896552"/>
    <n v="0.80625000000000002"/>
    <n v="0.94101844426623882"/>
    <n v="0.98257275554987433"/>
    <n v="0.74547413793103445"/>
    <n v="0.74547413793103445"/>
    <n v="1.7427244450125699E-2"/>
    <n v="161.48394495412842"/>
    <n v="0.55741616600622101"/>
    <n v="9.48"/>
  </r>
  <r>
    <x v="73"/>
    <x v="36"/>
    <x v="1"/>
    <x v="1"/>
    <x v="1"/>
    <n v="11257"/>
    <n v="7168.6"/>
    <n v="7127.9"/>
    <n v="40.700000000000003"/>
    <n v="7272.7"/>
    <n v="3.46"/>
    <s v="None"/>
    <s v="Released"/>
    <s v="Corrective"/>
    <n v="938.11"/>
    <n v="42"/>
    <n v="3436.3"/>
    <n v="7.3"/>
    <n v="0.6368126499067247"/>
    <n v="0.5675"/>
    <n v="1.1221368280294708"/>
    <n v="0.9943224618475015"/>
    <n v="0.63319712179088561"/>
    <n v="0.63319712179088561"/>
    <n v="5.6775381524983961E-3"/>
    <n v="170.68095238095239"/>
    <n v="0.47935440671818763"/>
    <n v="10.76"/>
  </r>
  <r>
    <x v="74"/>
    <x v="37"/>
    <x v="0"/>
    <x v="0"/>
    <x v="1"/>
    <n v="10754"/>
    <n v="6739.4"/>
    <n v="6620.7"/>
    <n v="118.6"/>
    <n v="6852.6"/>
    <n v="2.76"/>
    <s v="None"/>
    <s v="Released"/>
    <s v="Preventive"/>
    <n v="415.22"/>
    <n v="34.299999999999997"/>
    <n v="3412.6"/>
    <n v="7.38"/>
    <n v="0.62668774409522032"/>
    <n v="0.65500000000000003"/>
    <n v="0.95677518182476384"/>
    <n v="0.98238715612665817"/>
    <n v="0.61564999070113435"/>
    <n v="0.61564999070113446"/>
    <n v="1.7598005757189068E-2"/>
    <n v="196.48396501457728"/>
    <n v="0.50636555182953968"/>
    <n v="10.14"/>
  </r>
  <r>
    <x v="75"/>
    <x v="37"/>
    <x v="1"/>
    <x v="1"/>
    <x v="2"/>
    <n v="11302"/>
    <n v="9165.2999999999993"/>
    <n v="9102.2999999999993"/>
    <n v="62.9"/>
    <n v="9402.9"/>
    <n v="1.1299999999999999"/>
    <s v="None"/>
    <s v="Released"/>
    <s v="Preventive"/>
    <n v="183.76"/>
    <n v="50.8"/>
    <n v="5109.8999999999996"/>
    <n v="6.58"/>
    <n v="0.81094496549283301"/>
    <n v="0.85875000000000001"/>
    <n v="0.94433183754623939"/>
    <n v="0.99312624791332527"/>
    <n v="0.80537073084409838"/>
    <n v="0.80537073084409827"/>
    <n v="6.8628413690768443E-3"/>
    <n v="180.41929133858267"/>
    <n v="0.55752675853490885"/>
    <n v="7.71"/>
  </r>
  <r>
    <x v="76"/>
    <x v="38"/>
    <x v="0"/>
    <x v="2"/>
    <x v="0"/>
    <n v="9423"/>
    <n v="6521.2"/>
    <n v="6412.1"/>
    <n v="109.1"/>
    <n v="6691.5"/>
    <n v="1.71"/>
    <s v="None"/>
    <s v="Released"/>
    <s v="Emergency"/>
    <n v="1943.88"/>
    <n v="41.5"/>
    <n v="3147.4"/>
    <n v="7.98"/>
    <n v="0.69205136368460152"/>
    <n v="0.78625"/>
    <n v="0.88019251343033567"/>
    <n v="0.98326995031589282"/>
    <n v="0.68047330998620392"/>
    <n v="0.68047330998620403"/>
    <n v="1.6730049684107219E-2"/>
    <n v="157.13734939759036"/>
    <n v="0.48264123167515183"/>
    <n v="9.6900000000000013"/>
  </r>
  <r>
    <x v="77"/>
    <x v="38"/>
    <x v="1"/>
    <x v="0"/>
    <x v="1"/>
    <n v="9695"/>
    <n v="6649.2"/>
    <n v="6544.7"/>
    <n v="104.4"/>
    <n v="6744"/>
    <n v="2.19"/>
    <s v="None"/>
    <s v="Released"/>
    <s v="None"/>
    <n v="0"/>
    <n v="43"/>
    <n v="3291.2"/>
    <n v="6.75"/>
    <n v="0.68583806085611143"/>
    <n v="0.72625000000000006"/>
    <n v="0.94435533336469724"/>
    <n v="0.98428382361787881"/>
    <n v="0.67505930892212485"/>
    <n v="0.67505930892212473"/>
    <n v="1.5701136978884679E-2"/>
    <n v="154.63255813953489"/>
    <n v="0.49497683931901582"/>
    <n v="8.94"/>
  </r>
  <r>
    <x v="78"/>
    <x v="39"/>
    <x v="0"/>
    <x v="1"/>
    <x v="2"/>
    <n v="11747"/>
    <n v="11241.7"/>
    <n v="11055.6"/>
    <n v="186.2"/>
    <n v="11392.8"/>
    <n v="0"/>
    <s v="None"/>
    <s v="Released"/>
    <s v="Preventive"/>
    <n v="368.08"/>
    <n v="45.9"/>
    <n v="6254"/>
    <n v="6.68"/>
    <n v="0.95698476206691074"/>
    <n v="1"/>
    <n v="0.95698476206691074"/>
    <n v="0.98344556428298213"/>
    <n v="0.94114241934110843"/>
    <n v="0.94114241934110843"/>
    <n v="1.6563331168773406E-2"/>
    <n v="244.91721132897607"/>
    <n v="0.55632155279005846"/>
    <n v="6.68"/>
  </r>
  <r>
    <x v="79"/>
    <x v="39"/>
    <x v="1"/>
    <x v="2"/>
    <x v="0"/>
    <n v="9232"/>
    <n v="6596.1"/>
    <n v="6521.3"/>
    <n v="74.8"/>
    <n v="6775.5"/>
    <n v="1.53"/>
    <s v="None"/>
    <s v="Released"/>
    <s v="None"/>
    <n v="0"/>
    <n v="34.4"/>
    <n v="3703.3"/>
    <n v="6.95"/>
    <n v="0.7144822357019065"/>
    <n v="0.80874999999999997"/>
    <n v="0.88344016779215639"/>
    <n v="0.98865996573732962"/>
    <n v="0.7063799826689775"/>
    <n v="0.7063799826689775"/>
    <n v="1.1340034262670365E-2"/>
    <n v="191.74709302325584"/>
    <n v="0.56143781931747549"/>
    <n v="8.48"/>
  </r>
  <r>
    <x v="80"/>
    <x v="40"/>
    <x v="0"/>
    <x v="1"/>
    <x v="1"/>
    <n v="11733"/>
    <n v="7748.6"/>
    <n v="7698.8"/>
    <n v="49.8"/>
    <n v="7871.5"/>
    <n v="2.78"/>
    <s v="None"/>
    <s v="Released"/>
    <s v="Preventive"/>
    <n v="324.83"/>
    <n v="39"/>
    <n v="3896.8"/>
    <n v="6.61"/>
    <n v="0.6604108071252025"/>
    <n v="0.65250000000000008"/>
    <n v="1.012123842337475"/>
    <n v="0.99357303254781504"/>
    <n v="0.65616636836273767"/>
    <n v="0.65616636836273756"/>
    <n v="6.4269674521849098E-3"/>
    <n v="198.6820512820513"/>
    <n v="0.50290375035490287"/>
    <n v="9.39"/>
  </r>
  <r>
    <x v="81"/>
    <x v="40"/>
    <x v="1"/>
    <x v="0"/>
    <x v="2"/>
    <n v="10443"/>
    <n v="9358.7000000000007"/>
    <n v="9229.4"/>
    <n v="129.30000000000001"/>
    <n v="9432.2999999999993"/>
    <n v="0.75"/>
    <s v="None"/>
    <s v="Released"/>
    <s v="None"/>
    <n v="0"/>
    <n v="35.700000000000003"/>
    <n v="4490.7"/>
    <n v="7.11"/>
    <n v="0.89616968304127176"/>
    <n v="0.90625"/>
    <n v="0.98887689163174819"/>
    <n v="0.98618397854402839"/>
    <n v="0.88378818347218224"/>
    <n v="0.88378818347218224"/>
    <n v="1.3816021455971449E-2"/>
    <n v="262.1484593837535"/>
    <n v="0.47984228578755589"/>
    <n v="7.86"/>
  </r>
  <r>
    <x v="82"/>
    <x v="41"/>
    <x v="0"/>
    <x v="1"/>
    <x v="1"/>
    <n v="9056"/>
    <n v="5742.9"/>
    <n v="5672.6"/>
    <n v="70.400000000000006"/>
    <n v="5788.1"/>
    <n v="2.5499999999999998"/>
    <s v="None"/>
    <s v="Released"/>
    <s v="None"/>
    <n v="0"/>
    <n v="38.4"/>
    <n v="2999.9"/>
    <n v="7.92"/>
    <n v="0.63415415194346281"/>
    <n v="0.68125000000000002"/>
    <n v="0.93086847991700961"/>
    <n v="0.98775879781991693"/>
    <n v="0.6263913427561838"/>
    <n v="0.6263913427561838"/>
    <n v="1.225861498546031E-2"/>
    <n v="149.5546875"/>
    <n v="0.52236674850685194"/>
    <n v="10.469999999999999"/>
  </r>
  <r>
    <x v="83"/>
    <x v="41"/>
    <x v="1"/>
    <x v="1"/>
    <x v="1"/>
    <n v="11508"/>
    <n v="9584.7999999999993"/>
    <n v="9505.7999999999993"/>
    <n v="79"/>
    <n v="9731.1"/>
    <n v="0.57999999999999996"/>
    <s v="None"/>
    <s v="Released"/>
    <s v="None"/>
    <n v="0"/>
    <n v="32.200000000000003"/>
    <n v="5002.2"/>
    <n v="7.93"/>
    <n v="0.83288147375738608"/>
    <n v="0.92749999999999999"/>
    <n v="0.89798541645001195"/>
    <n v="0.99175778315666474"/>
    <n v="0.82601668404588102"/>
    <n v="0.82601668404588102"/>
    <n v="8.2422168433352819E-3"/>
    <n v="297.66459627329186"/>
    <n v="0.52188882397128789"/>
    <n v="8.51"/>
  </r>
  <r>
    <x v="84"/>
    <x v="42"/>
    <x v="0"/>
    <x v="2"/>
    <x v="2"/>
    <n v="11585"/>
    <n v="8921"/>
    <n v="8753.5"/>
    <n v="167.5"/>
    <n v="9091.2000000000007"/>
    <n v="1.93"/>
    <s v="None"/>
    <s v="Released"/>
    <s v="Corrective"/>
    <n v="760.26"/>
    <n v="51.3"/>
    <n v="4777.6000000000004"/>
    <n v="7.44"/>
    <n v="0.77004747518342687"/>
    <n v="0.75875000000000004"/>
    <n v="1.0148895883801341"/>
    <n v="0.98122407801815936"/>
    <n v="0.75558912386706933"/>
    <n v="0.75558912386706945"/>
    <n v="1.8775921981840599E-2"/>
    <n v="173.89863547758284"/>
    <n v="0.53554534245039798"/>
    <n v="9.370000000000001"/>
  </r>
  <r>
    <x v="85"/>
    <x v="42"/>
    <x v="1"/>
    <x v="0"/>
    <x v="1"/>
    <n v="9186"/>
    <n v="6335.8"/>
    <n v="6269.4"/>
    <n v="66.400000000000006"/>
    <n v="6403.9"/>
    <n v="2.5"/>
    <s v="None"/>
    <s v="Released"/>
    <s v="Corrective"/>
    <n v="774.11"/>
    <n v="44.1"/>
    <n v="3228.4"/>
    <n v="7.79"/>
    <n v="0.68972349227084695"/>
    <n v="0.6875"/>
    <n v="1.0032341705757775"/>
    <n v="0.98951987120805573"/>
    <n v="0.68249510124101898"/>
    <n v="0.68249510124101886"/>
    <n v="1.0480128791944191E-2"/>
    <n v="143.6689342403628"/>
    <n v="0.50954891252880452"/>
    <n v="10.29"/>
  </r>
  <r>
    <x v="86"/>
    <x v="43"/>
    <x v="0"/>
    <x v="2"/>
    <x v="1"/>
    <n v="11380"/>
    <n v="9586.6"/>
    <n v="9534"/>
    <n v="52.6"/>
    <n v="9736.5"/>
    <n v="1.01"/>
    <s v="None"/>
    <s v="Released"/>
    <s v="Corrective"/>
    <n v="1094.77"/>
    <n v="50.6"/>
    <n v="5059.2"/>
    <n v="6.57"/>
    <n v="0.84240773286467485"/>
    <n v="0.87375000000000003"/>
    <n v="0.9641290218765951"/>
    <n v="0.99451317463960109"/>
    <n v="0.83778558875219689"/>
    <n v="0.83778558875219689"/>
    <n v="5.4868253603988903E-3"/>
    <n v="189.45849802371541"/>
    <n v="0.52773663238270085"/>
    <n v="7.58"/>
  </r>
  <r>
    <x v="87"/>
    <x v="43"/>
    <x v="1"/>
    <x v="2"/>
    <x v="2"/>
    <n v="9097"/>
    <n v="7109.1"/>
    <n v="7052.7"/>
    <n v="56.4"/>
    <n v="7208.9"/>
    <n v="1.33"/>
    <s v="None"/>
    <s v="Released"/>
    <s v="None"/>
    <n v="0"/>
    <n v="35.4"/>
    <n v="4031.2"/>
    <n v="7.66"/>
    <n v="0.78147741013520944"/>
    <n v="0.83374999999999999"/>
    <n v="0.93730424004223023"/>
    <n v="0.99206650630881543"/>
    <n v="0.77527756403209847"/>
    <n v="0.77527756403209847"/>
    <n v="7.9334936911845382E-3"/>
    <n v="200.82203389830511"/>
    <n v="0.56704786822523234"/>
    <n v="8.99"/>
  </r>
  <r>
    <x v="88"/>
    <x v="44"/>
    <x v="0"/>
    <x v="1"/>
    <x v="0"/>
    <n v="9164"/>
    <n v="8408.5"/>
    <n v="8296.5"/>
    <n v="112.1"/>
    <n v="8545.7000000000007"/>
    <n v="0"/>
    <s v="None"/>
    <s v="Released"/>
    <s v="None"/>
    <n v="0"/>
    <n v="35.700000000000003"/>
    <n v="4251"/>
    <n v="7.38"/>
    <n v="0.91755783500654731"/>
    <n v="1"/>
    <n v="0.91755783500654731"/>
    <n v="0.98668014509127666"/>
    <n v="0.90533609777389779"/>
    <n v="0.9053360977738979"/>
    <n v="1.333174763632039E-2"/>
    <n v="235.53221288515405"/>
    <n v="0.5055598501516323"/>
    <n v="7.38"/>
  </r>
  <r>
    <x v="89"/>
    <x v="44"/>
    <x v="1"/>
    <x v="2"/>
    <x v="0"/>
    <n v="10999"/>
    <n v="9966.2999999999993"/>
    <n v="9878.2000000000007"/>
    <n v="88.2"/>
    <n v="10260.1"/>
    <n v="0.32"/>
    <s v="None"/>
    <s v="Released"/>
    <s v="Corrective"/>
    <n v="956.85"/>
    <n v="46.9"/>
    <n v="5260"/>
    <n v="6.83"/>
    <n v="0.90610964633148461"/>
    <n v="0.96"/>
    <n v="0.94386421492862993"/>
    <n v="0.99116020990738807"/>
    <n v="0.89809982725702353"/>
    <n v="0.89809982725702342"/>
    <n v="8.8498239065651248E-3"/>
    <n v="212.50106609808103"/>
    <n v="0.52777861392894054"/>
    <n v="7.15"/>
  </r>
  <r>
    <x v="90"/>
    <x v="45"/>
    <x v="0"/>
    <x v="1"/>
    <x v="0"/>
    <n v="9588"/>
    <n v="6356.1"/>
    <n v="6285.9"/>
    <n v="70.2"/>
    <n v="6471.6"/>
    <n v="4.09"/>
    <s v="Equipment"/>
    <s v="Released"/>
    <s v="Preventive"/>
    <n v="282.39"/>
    <n v="39.200000000000003"/>
    <n v="2973.3"/>
    <n v="7.77"/>
    <n v="0.66292240300375471"/>
    <n v="0.48875000000000002"/>
    <n v="1.3563629728977078"/>
    <n v="0.98895549157502227"/>
    <n v="0.65560075093867332"/>
    <n v="0.65560075093867332"/>
    <n v="1.1044508424977581E-2"/>
    <n v="162.1454081632653"/>
    <n v="0.46778685042714874"/>
    <n v="11.86"/>
  </r>
  <r>
    <x v="91"/>
    <x v="45"/>
    <x v="1"/>
    <x v="2"/>
    <x v="0"/>
    <n v="10048"/>
    <n v="6435"/>
    <n v="6338.4"/>
    <n v="96.6"/>
    <n v="6580.8"/>
    <n v="2.3199999999999998"/>
    <s v="None"/>
    <s v="Released"/>
    <s v="None"/>
    <n v="0"/>
    <n v="43.6"/>
    <n v="3382"/>
    <n v="7.59"/>
    <n v="0.6404259554140127"/>
    <n v="0.71"/>
    <n v="0.90200838790706017"/>
    <n v="0.98498834498834498"/>
    <n v="0.63081210191082804"/>
    <n v="0.63081210191082804"/>
    <n v="1.5011655011655011E-2"/>
    <n v="147.59174311926606"/>
    <n v="0.52556332556332552"/>
    <n v="9.91"/>
  </r>
  <r>
    <x v="92"/>
    <x v="46"/>
    <x v="0"/>
    <x v="1"/>
    <x v="0"/>
    <n v="11443"/>
    <n v="9535.2999999999993"/>
    <n v="9423"/>
    <n v="112.4"/>
    <n v="9619.7999999999993"/>
    <n v="1.1399999999999999"/>
    <s v="None"/>
    <s v="Released"/>
    <s v="None"/>
    <n v="0"/>
    <n v="36.6"/>
    <n v="4547.1000000000004"/>
    <n v="7.21"/>
    <n v="0.83328672550904481"/>
    <n v="0.85750000000000004"/>
    <n v="0.97176294520005224"/>
    <n v="0.98822270930122813"/>
    <n v="0.82347286550729704"/>
    <n v="0.82347286550729704"/>
    <n v="1.1787778045787758E-2"/>
    <n v="260.52732240437155"/>
    <n v="0.47687015615659711"/>
    <n v="8.35"/>
  </r>
  <r>
    <x v="93"/>
    <x v="46"/>
    <x v="1"/>
    <x v="1"/>
    <x v="1"/>
    <n v="9986"/>
    <n v="8005.4"/>
    <n v="7952.1"/>
    <n v="53.2"/>
    <n v="8104.7"/>
    <n v="1.2"/>
    <s v="None"/>
    <s v="Released"/>
    <s v="None"/>
    <n v="0"/>
    <n v="48.2"/>
    <n v="4297.3"/>
    <n v="6.61"/>
    <n v="0.80166232725816144"/>
    <n v="0.85"/>
    <n v="0.94313214971548398"/>
    <n v="0.9933419941539462"/>
    <n v="0.79632485479671544"/>
    <n v="0.79632485479671544"/>
    <n v="6.6455142778624439E-3"/>
    <n v="166.08713692946057"/>
    <n v="0.53680015989207286"/>
    <n v="7.8100000000000005"/>
  </r>
  <r>
    <x v="94"/>
    <x v="47"/>
    <x v="0"/>
    <x v="2"/>
    <x v="1"/>
    <n v="9924"/>
    <n v="9452.1"/>
    <n v="9297.5"/>
    <n v="154.69999999999999"/>
    <n v="9705.7000000000007"/>
    <n v="0.25"/>
    <s v="None"/>
    <s v="Released"/>
    <s v="Emergency"/>
    <n v="1941.85"/>
    <n v="51.7"/>
    <n v="4949.8999999999996"/>
    <n v="7.47"/>
    <n v="0.95244860943168086"/>
    <n v="0.96875"/>
    <n v="0.9831727581230254"/>
    <n v="0.98364384634102475"/>
    <n v="0.93687021362353895"/>
    <n v="0.93687021362353895"/>
    <n v="1.6366733318521808E-2"/>
    <n v="182.82591876208897"/>
    <n v="0.52368256789496503"/>
    <n v="7.72"/>
  </r>
  <r>
    <x v="95"/>
    <x v="47"/>
    <x v="1"/>
    <x v="2"/>
    <x v="2"/>
    <n v="10341"/>
    <n v="8997.2999999999993"/>
    <n v="8856.7999999999993"/>
    <n v="140.5"/>
    <n v="9198.2000000000007"/>
    <n v="0.67"/>
    <s v="None"/>
    <s v="Released"/>
    <s v="Preventive"/>
    <n v="443.94"/>
    <n v="47.8"/>
    <n v="4715.2"/>
    <n v="6.69"/>
    <n v="0.87006092254134026"/>
    <n v="0.91625000000000001"/>
    <n v="0.94958900140937541"/>
    <n v="0.98438420415013395"/>
    <n v="0.85647422879798862"/>
    <n v="0.85647422879798851"/>
    <n v="1.5615795849866072E-2"/>
    <n v="188.22803347280333"/>
    <n v="0.5240683316105943"/>
    <n v="7.36"/>
  </r>
  <r>
    <x v="96"/>
    <x v="48"/>
    <x v="0"/>
    <x v="0"/>
    <x v="0"/>
    <n v="9714"/>
    <n v="6380.3"/>
    <n v="6245.8"/>
    <n v="134.5"/>
    <n v="6498"/>
    <n v="2.36"/>
    <s v="None"/>
    <s v="Released"/>
    <s v="Corrective"/>
    <n v="644.29999999999995"/>
    <n v="45.1"/>
    <n v="3367.1"/>
    <n v="7.31"/>
    <n v="0.65681490632077411"/>
    <n v="0.70500000000000007"/>
    <n v="0.93165234939116892"/>
    <n v="0.97891948654451988"/>
    <n v="0.64296891085031915"/>
    <n v="0.64296891085031915"/>
    <n v="2.1080513455480149E-2"/>
    <n v="141.47006651884701"/>
    <n v="0.52773380562042538"/>
    <n v="9.67"/>
  </r>
  <r>
    <x v="97"/>
    <x v="48"/>
    <x v="1"/>
    <x v="2"/>
    <x v="0"/>
    <n v="9496"/>
    <n v="6982.3"/>
    <n v="6867.9"/>
    <n v="114.4"/>
    <n v="7095.6"/>
    <n v="1.49"/>
    <s v="None"/>
    <s v="Released"/>
    <s v="None"/>
    <n v="0"/>
    <n v="45.6"/>
    <n v="3358.2"/>
    <n v="6.59"/>
    <n v="0.73528854254422915"/>
    <n v="0.81374999999999997"/>
    <n v="0.90358039022332315"/>
    <n v="0.98361571401973558"/>
    <n v="0.72324136478517265"/>
    <n v="0.72324136478517265"/>
    <n v="1.6384285980264382E-2"/>
    <n v="153.12061403508773"/>
    <n v="0.48095899631926436"/>
    <n v="8.08"/>
  </r>
  <r>
    <x v="98"/>
    <x v="49"/>
    <x v="0"/>
    <x v="2"/>
    <x v="0"/>
    <n v="9564"/>
    <n v="7431.2"/>
    <n v="7324.8"/>
    <n v="106.4"/>
    <n v="7463"/>
    <n v="0.56999999999999995"/>
    <s v="None"/>
    <s v="Released"/>
    <s v="None"/>
    <n v="0"/>
    <n v="32.5"/>
    <n v="3662.2"/>
    <n v="7.85"/>
    <n v="0.77699707235466331"/>
    <n v="0.92874999999999996"/>
    <n v="0.83660519230650165"/>
    <n v="0.98568198944988705"/>
    <n v="0.76587202007528243"/>
    <n v="0.76587202007528232"/>
    <n v="1.4318010550113038E-2"/>
    <n v="228.65230769230769"/>
    <n v="0.49281408117127784"/>
    <n v="8.42"/>
  </r>
  <r>
    <x v="99"/>
    <x v="49"/>
    <x v="1"/>
    <x v="1"/>
    <x v="1"/>
    <n v="10681"/>
    <n v="6908.8"/>
    <n v="6834.4"/>
    <n v="74.400000000000006"/>
    <n v="7024.9"/>
    <n v="2.64"/>
    <s v="None"/>
    <s v="Released"/>
    <s v="Preventive"/>
    <n v="168.42"/>
    <n v="42.7"/>
    <n v="3305"/>
    <n v="7.33"/>
    <n v="0.64683082108416812"/>
    <n v="0.66999999999999993"/>
    <n v="0.96541913594651985"/>
    <n v="0.98923112552107451"/>
    <n v="0.63986518116281255"/>
    <n v="0.63986518116281244"/>
    <n v="1.0768874478925428E-2"/>
    <n v="161.79859484777518"/>
    <n v="0.47837540528022232"/>
    <n v="9.9700000000000006"/>
  </r>
  <r>
    <x v="100"/>
    <x v="50"/>
    <x v="0"/>
    <x v="1"/>
    <x v="1"/>
    <n v="9667"/>
    <n v="6119.8"/>
    <n v="6069.4"/>
    <n v="50.3"/>
    <n v="6241.5"/>
    <n v="3.05"/>
    <s v="Documentation"/>
    <s v="Released"/>
    <s v="Corrective"/>
    <n v="654.33000000000004"/>
    <n v="47.9"/>
    <n v="3204.5"/>
    <n v="6.85"/>
    <n v="0.63306092893348509"/>
    <n v="0.61875000000000002"/>
    <n v="1.0231287740339152"/>
    <n v="0.99176443674629877"/>
    <n v="0.62784731560980656"/>
    <n v="0.62784731560980656"/>
    <n v="8.219222850419948E-3"/>
    <n v="127.76200417536535"/>
    <n v="0.52362822314454716"/>
    <n v="9.8999999999999986"/>
  </r>
  <r>
    <x v="101"/>
    <x v="50"/>
    <x v="1"/>
    <x v="2"/>
    <x v="0"/>
    <n v="10619"/>
    <n v="8713.7999999999993"/>
    <n v="8518.6"/>
    <n v="195.2"/>
    <n v="8786.9"/>
    <n v="0.62"/>
    <s v="None"/>
    <s v="Released"/>
    <s v="Corrective"/>
    <n v="498.93"/>
    <n v="35"/>
    <n v="4545.8999999999996"/>
    <n v="7.25"/>
    <n v="0.82058574253696193"/>
    <n v="0.92249999999999999"/>
    <n v="0.8895238401484683"/>
    <n v="0.9775987514058162"/>
    <n v="0.80220359732554869"/>
    <n v="0.80220359732554858"/>
    <n v="2.240124859418394E-2"/>
    <n v="248.96571428571426"/>
    <n v="0.52168973352613102"/>
    <n v="7.87"/>
  </r>
  <r>
    <x v="102"/>
    <x v="51"/>
    <x v="0"/>
    <x v="2"/>
    <x v="1"/>
    <n v="9585"/>
    <n v="6101.3"/>
    <n v="6001.8"/>
    <n v="99.5"/>
    <n v="6234.6"/>
    <n v="3.53"/>
    <s v="Documentation"/>
    <s v="Released"/>
    <s v="None"/>
    <n v="0"/>
    <n v="48"/>
    <n v="3394.3"/>
    <n v="7.09"/>
    <n v="0.63654668753260302"/>
    <n v="0.55875000000000008"/>
    <n v="1.1392334452485064"/>
    <n v="0.98369200006555979"/>
    <n v="0.62616588419405317"/>
    <n v="0.62616588419405328"/>
    <n v="1.6307999934440202E-2"/>
    <n v="127.11041666666667"/>
    <n v="0.55632406208512941"/>
    <n v="10.62"/>
  </r>
  <r>
    <x v="103"/>
    <x v="51"/>
    <x v="1"/>
    <x v="0"/>
    <x v="2"/>
    <n v="9884"/>
    <n v="6257.3"/>
    <n v="6198.1"/>
    <n v="59.2"/>
    <n v="6382"/>
    <n v="2.37"/>
    <s v="Environmental"/>
    <s v="Released"/>
    <s v="Corrective"/>
    <n v="491.77"/>
    <n v="39.1"/>
    <n v="3000.2"/>
    <n v="7.52"/>
    <n v="0.63307365439093488"/>
    <n v="0.70374999999999999"/>
    <n v="0.89957180020026273"/>
    <n v="0.99053905038914547"/>
    <n v="0.62708417644678272"/>
    <n v="0.62708417644678272"/>
    <n v="9.460949610854523E-3"/>
    <n v="160.03324808184144"/>
    <n v="0.47947197673117792"/>
    <n v="9.89"/>
  </r>
  <r>
    <x v="104"/>
    <x v="52"/>
    <x v="0"/>
    <x v="2"/>
    <x v="0"/>
    <n v="9628"/>
    <n v="6306.7"/>
    <n v="6232.3"/>
    <n v="74.400000000000006"/>
    <n v="6361"/>
    <n v="3.46"/>
    <s v="None"/>
    <s v="Released"/>
    <s v="None"/>
    <n v="0"/>
    <n v="34.4"/>
    <n v="3111.8"/>
    <n v="7.65"/>
    <n v="0.65503739094308266"/>
    <n v="0.5675"/>
    <n v="1.1542509091508064"/>
    <n v="0.98820302218275813"/>
    <n v="0.64730992937266307"/>
    <n v="0.64730992937266307"/>
    <n v="1.1796977817241983E-2"/>
    <n v="183.3343023255814"/>
    <n v="0.49341176843674189"/>
    <n v="11.11"/>
  </r>
  <r>
    <x v="105"/>
    <x v="52"/>
    <x v="1"/>
    <x v="1"/>
    <x v="0"/>
    <n v="10337"/>
    <n v="6663.5"/>
    <n v="6571.8"/>
    <n v="91.7"/>
    <n v="6842.5"/>
    <n v="2.57"/>
    <s v="Process"/>
    <s v="Released"/>
    <s v="None"/>
    <n v="0"/>
    <n v="50.3"/>
    <n v="3018.6"/>
    <n v="7.67"/>
    <n v="0.64462610041598145"/>
    <n v="0.67874999999999996"/>
    <n v="0.9497253781450925"/>
    <n v="0.98623846327005327"/>
    <n v="0.63575505465802462"/>
    <n v="0.63575505465802462"/>
    <n v="1.3761536729946726E-2"/>
    <n v="132.47514910536779"/>
    <n v="0.45300517745929314"/>
    <n v="10.24"/>
  </r>
  <r>
    <x v="106"/>
    <x v="53"/>
    <x v="0"/>
    <x v="2"/>
    <x v="1"/>
    <n v="10690"/>
    <n v="9142.9"/>
    <n v="8957.4"/>
    <n v="185.4"/>
    <n v="9336"/>
    <n v="0.28999999999999998"/>
    <s v="None"/>
    <s v="Released"/>
    <s v="None"/>
    <n v="0"/>
    <n v="39.799999999999997"/>
    <n v="5131.3"/>
    <n v="7.03"/>
    <n v="0.85527595884003738"/>
    <n v="0.96375"/>
    <n v="0.88744587168875477"/>
    <n v="0.97971103260453463"/>
    <n v="0.8379232927970065"/>
    <n v="0.8379232927970065"/>
    <n v="2.0278029946734628E-2"/>
    <n v="229.7211055276382"/>
    <n v="0.56123330671887484"/>
    <n v="7.32"/>
  </r>
  <r>
    <x v="107"/>
    <x v="53"/>
    <x v="1"/>
    <x v="2"/>
    <x v="1"/>
    <n v="11655"/>
    <n v="9145"/>
    <n v="9025.6"/>
    <n v="119.5"/>
    <n v="9268.7999999999993"/>
    <n v="0.86"/>
    <s v="None"/>
    <s v="Released"/>
    <s v="Preventive"/>
    <n v="393.75"/>
    <n v="42"/>
    <n v="4715.2"/>
    <n v="6.8"/>
    <n v="0.78464178464178469"/>
    <n v="0.89249999999999996"/>
    <n v="0.87915045898239175"/>
    <n v="0.98694368507381092"/>
    <n v="0.77439725439725438"/>
    <n v="0.77439725439725438"/>
    <n v="1.3067249863313287E-2"/>
    <n v="217.73809523809524"/>
    <n v="0.51560415527610715"/>
    <n v="7.66"/>
  </r>
  <r>
    <x v="108"/>
    <x v="54"/>
    <x v="0"/>
    <x v="1"/>
    <x v="1"/>
    <n v="10194"/>
    <n v="9075.9"/>
    <n v="9039.7000000000007"/>
    <n v="36.200000000000003"/>
    <n v="9277.1"/>
    <n v="0.61"/>
    <s v="None"/>
    <s v="Released"/>
    <s v="Preventive"/>
    <n v="158.54"/>
    <n v="37"/>
    <n v="4696.3"/>
    <n v="7.88"/>
    <n v="0.89031783402001174"/>
    <n v="0.92374999999999996"/>
    <n v="0.96380821003519535"/>
    <n v="0.99601141484591071"/>
    <n v="0.8867667255248185"/>
    <n v="0.88676672552481861"/>
    <n v="3.988585154089402E-3"/>
    <n v="245.29459459459457"/>
    <n v="0.51744730550138285"/>
    <n v="8.49"/>
  </r>
  <r>
    <x v="109"/>
    <x v="54"/>
    <x v="1"/>
    <x v="1"/>
    <x v="0"/>
    <n v="11883"/>
    <n v="10925"/>
    <n v="10857.5"/>
    <n v="67.400000000000006"/>
    <n v="11067.8"/>
    <n v="0"/>
    <s v="None"/>
    <s v="Released"/>
    <s v="Preventive"/>
    <n v="213.04"/>
    <n v="42.3"/>
    <n v="5203.3999999999996"/>
    <n v="7.6"/>
    <n v="0.91938062778759577"/>
    <n v="1"/>
    <n v="0.91938062778759577"/>
    <n v="0.99382151029748289"/>
    <n v="0.91370024404611638"/>
    <n v="0.91370024404611627"/>
    <n v="6.1693363844393598E-3"/>
    <n v="258.27423167848701"/>
    <n v="0.47628375286041186"/>
    <n v="7.6"/>
  </r>
  <r>
    <x v="110"/>
    <x v="55"/>
    <x v="0"/>
    <x v="0"/>
    <x v="2"/>
    <n v="9909"/>
    <n v="8168.5"/>
    <n v="8080.4"/>
    <n v="88.1"/>
    <n v="8191.1"/>
    <n v="0.8"/>
    <s v="None"/>
    <s v="Released"/>
    <s v="None"/>
    <n v="0"/>
    <n v="33.1"/>
    <n v="3991"/>
    <n v="7.49"/>
    <n v="0.82435159955595927"/>
    <n v="0.9"/>
    <n v="0.91594622172884366"/>
    <n v="0.98921466609536635"/>
    <n v="0.81546069229992935"/>
    <n v="0.81546069229992935"/>
    <n v="1.0785333904633654E-2"/>
    <n v="246.78247734138972"/>
    <n v="0.48858419538470954"/>
    <n v="8.2900000000000009"/>
  </r>
  <r>
    <x v="111"/>
    <x v="55"/>
    <x v="1"/>
    <x v="1"/>
    <x v="1"/>
    <n v="11645"/>
    <n v="9896.4"/>
    <n v="9812.2000000000007"/>
    <n v="84.2"/>
    <n v="10189.9"/>
    <n v="0.94"/>
    <s v="None"/>
    <s v="Released"/>
    <s v="None"/>
    <n v="0"/>
    <n v="40.200000000000003"/>
    <n v="5221.5"/>
    <n v="7.88"/>
    <n v="0.84984113353370538"/>
    <n v="0.88250000000000006"/>
    <n v="0.96299278587388715"/>
    <n v="0.99149185562426756"/>
    <n v="0.84261056247316457"/>
    <n v="0.84261056247316446"/>
    <n v="8.5081443757325896E-3"/>
    <n v="246.1791044776119"/>
    <n v="0.52761610282526983"/>
    <n v="8.82"/>
  </r>
  <r>
    <x v="112"/>
    <x v="56"/>
    <x v="0"/>
    <x v="2"/>
    <x v="0"/>
    <n v="11071"/>
    <n v="8111.7"/>
    <n v="8032.7"/>
    <n v="79.099999999999994"/>
    <n v="8202.6"/>
    <n v="1.57"/>
    <s v="Documentation"/>
    <s v="Released"/>
    <s v="None"/>
    <n v="0"/>
    <n v="51.8"/>
    <n v="3981.5"/>
    <n v="7.12"/>
    <n v="0.73269803992412608"/>
    <n v="0.80374999999999996"/>
    <n v="0.91159942758833723"/>
    <n v="0.99026098105206062"/>
    <n v="0.72556227983018684"/>
    <n v="0.72556227983018695"/>
    <n v="9.7513468200253941E-3"/>
    <n v="156.59652509652511"/>
    <n v="0.49083422710405961"/>
    <n v="8.69"/>
  </r>
  <r>
    <x v="113"/>
    <x v="56"/>
    <x v="1"/>
    <x v="2"/>
    <x v="0"/>
    <n v="11191"/>
    <n v="8107.8"/>
    <n v="8000.8"/>
    <n v="107"/>
    <n v="8217.9"/>
    <n v="1.73"/>
    <s v="Material"/>
    <s v="Released"/>
    <s v="Corrective"/>
    <n v="414.14"/>
    <n v="38.200000000000003"/>
    <n v="4379.8999999999996"/>
    <n v="6.79"/>
    <n v="0.72449289607720491"/>
    <n v="0.78374999999999995"/>
    <n v="0.92439284985927261"/>
    <n v="0.98680283184094331"/>
    <n v="0.714931641497632"/>
    <n v="0.714931641497632"/>
    <n v="1.3197168159056711E-2"/>
    <n v="212.24607329842931"/>
    <n v="0.54020819457806057"/>
    <n v="8.52"/>
  </r>
  <r>
    <x v="114"/>
    <x v="57"/>
    <x v="0"/>
    <x v="0"/>
    <x v="0"/>
    <n v="9622"/>
    <n v="5753"/>
    <n v="5716"/>
    <n v="37"/>
    <n v="5891.3"/>
    <n v="2.48"/>
    <s v="None"/>
    <s v="Released"/>
    <s v="None"/>
    <n v="0"/>
    <n v="46.3"/>
    <n v="3038.3"/>
    <n v="6.78"/>
    <n v="0.59790064435668255"/>
    <n v="0.69"/>
    <n v="0.8665226729806994"/>
    <n v="0.99356857291847733"/>
    <n v="0.59405528996050716"/>
    <n v="0.59405528996050716"/>
    <n v="6.4314270815226835E-3"/>
    <n v="124.25485961123111"/>
    <n v="0.52812445680514519"/>
    <n v="9.26"/>
  </r>
  <r>
    <x v="115"/>
    <x v="57"/>
    <x v="1"/>
    <x v="0"/>
    <x v="1"/>
    <n v="11600"/>
    <n v="7289.5"/>
    <n v="7196.1"/>
    <n v="93.4"/>
    <n v="7423.4"/>
    <n v="4.5599999999999996"/>
    <s v="Equipment"/>
    <s v="Released"/>
    <s v="Preventive"/>
    <n v="153.91999999999999"/>
    <n v="44.4"/>
    <n v="4151.3"/>
    <n v="7.3"/>
    <n v="0.62840517241379312"/>
    <n v="0.43000000000000005"/>
    <n v="1.4614073777064955"/>
    <n v="0.98718704986624606"/>
    <n v="0.62035344827586214"/>
    <n v="0.62035344827586214"/>
    <n v="1.281295013375403E-2"/>
    <n v="164.17792792792793"/>
    <n v="0.56949036285067567"/>
    <n v="11.86"/>
  </r>
  <r>
    <x v="116"/>
    <x v="58"/>
    <x v="0"/>
    <x v="1"/>
    <x v="0"/>
    <n v="9852"/>
    <n v="9065.7000000000007"/>
    <n v="8915.2999999999993"/>
    <n v="150.4"/>
    <n v="9086.4"/>
    <n v="0"/>
    <s v="None"/>
    <s v="Released"/>
    <s v="None"/>
    <n v="0"/>
    <n v="36.4"/>
    <n v="4857.1000000000004"/>
    <n v="7.15"/>
    <n v="0.92018879415347143"/>
    <n v="1"/>
    <n v="0.92018879415347143"/>
    <n v="0.98340999591868239"/>
    <n v="0.90492285830288266"/>
    <n v="0.90492285830288255"/>
    <n v="1.6590004081317493E-2"/>
    <n v="249.05769230769235"/>
    <n v="0.53576668100643088"/>
    <n v="7.15"/>
  </r>
  <r>
    <x v="117"/>
    <x v="58"/>
    <x v="1"/>
    <x v="1"/>
    <x v="0"/>
    <n v="10276"/>
    <n v="8038.6"/>
    <n v="8003.6"/>
    <n v="35"/>
    <n v="8207.5"/>
    <n v="1.34"/>
    <s v="None"/>
    <s v="Released"/>
    <s v="None"/>
    <n v="0"/>
    <n v="44.6"/>
    <n v="4260"/>
    <n v="7.32"/>
    <n v="0.78226936551187232"/>
    <n v="0.83250000000000002"/>
    <n v="0.93966290151576259"/>
    <n v="0.99564600801134528"/>
    <n v="0.77886337096146374"/>
    <n v="0.77886337096146363"/>
    <n v="4.3539919886547403E-3"/>
    <n v="180.23766816143498"/>
    <n v="0.52994302490483414"/>
    <n v="8.66"/>
  </r>
  <r>
    <x v="118"/>
    <x v="59"/>
    <x v="0"/>
    <x v="1"/>
    <x v="0"/>
    <n v="11948"/>
    <n v="10825.8"/>
    <n v="10671.5"/>
    <n v="154.30000000000001"/>
    <n v="10955.3"/>
    <n v="0.15"/>
    <s v="None"/>
    <s v="Released"/>
    <s v="Corrective"/>
    <n v="428.71"/>
    <n v="37.9"/>
    <n v="5876.2"/>
    <n v="7.46"/>
    <n v="0.90607633076665539"/>
    <n v="0.98124999999999996"/>
    <n v="0.92338989122716475"/>
    <n v="0.98574701176818347"/>
    <n v="0.89316203548711071"/>
    <n v="0.89316203548711082"/>
    <n v="1.4252988231816588E-2"/>
    <n v="285.64116094986804"/>
    <n v="0.54279591346597944"/>
    <n v="7.61"/>
  </r>
  <r>
    <x v="119"/>
    <x v="59"/>
    <x v="1"/>
    <x v="2"/>
    <x v="2"/>
    <n v="11148"/>
    <n v="8022.6"/>
    <n v="7954.9"/>
    <n v="67.7"/>
    <n v="8066.9"/>
    <n v="1.59"/>
    <s v="None"/>
    <s v="Released"/>
    <s v="None"/>
    <n v="0"/>
    <n v="47.4"/>
    <n v="4038.9"/>
    <n v="7.78"/>
    <n v="0.71964477933261572"/>
    <n v="0.80125000000000002"/>
    <n v="0.89815261071153296"/>
    <n v="0.99156133921671274"/>
    <n v="0.71357194115536426"/>
    <n v="0.71357194115536415"/>
    <n v="8.4386607832872135E-3"/>
    <n v="169.25316455696205"/>
    <n v="0.50344028120559414"/>
    <n v="9.370000000000001"/>
  </r>
  <r>
    <x v="120"/>
    <x v="60"/>
    <x v="0"/>
    <x v="1"/>
    <x v="1"/>
    <n v="11201"/>
    <n v="9335.2000000000007"/>
    <n v="9237.7000000000007"/>
    <n v="97.5"/>
    <n v="9517.7999999999993"/>
    <n v="0.19"/>
    <s v="None"/>
    <s v="Released"/>
    <s v="None"/>
    <n v="0"/>
    <n v="51.4"/>
    <n v="4676.2"/>
    <n v="7.34"/>
    <n v="0.83342558700116065"/>
    <n v="0.97624999999999995"/>
    <n v="0.853700985404518"/>
    <n v="0.9895556602965121"/>
    <n v="0.82472100705294171"/>
    <n v="0.82472100705294171"/>
    <n v="1.0444339703487873E-2"/>
    <n v="181.61867704280158"/>
    <n v="0.50092124432256402"/>
    <n v="7.53"/>
  </r>
  <r>
    <x v="121"/>
    <x v="60"/>
    <x v="1"/>
    <x v="2"/>
    <x v="1"/>
    <n v="10974"/>
    <n v="7082.6"/>
    <n v="7007.5"/>
    <n v="75.099999999999994"/>
    <n v="7137.3"/>
    <n v="2.78"/>
    <s v="None"/>
    <s v="Released"/>
    <s v="None"/>
    <n v="0"/>
    <n v="33.9"/>
    <n v="3362.3"/>
    <n v="7.74"/>
    <n v="0.64539821396026975"/>
    <n v="0.65250000000000008"/>
    <n v="0.9891160367207199"/>
    <n v="0.9893965492898088"/>
    <n v="0.63855476581009674"/>
    <n v="0.63855476581009663"/>
    <n v="1.0603450710191172E-2"/>
    <n v="208.92625368731566"/>
    <n v="0.47472679524468414"/>
    <n v="10.52"/>
  </r>
  <r>
    <x v="122"/>
    <x v="61"/>
    <x v="0"/>
    <x v="0"/>
    <x v="1"/>
    <n v="11867"/>
    <n v="7474.3"/>
    <n v="7327.8"/>
    <n v="146.5"/>
    <n v="7554.1"/>
    <n v="2.67"/>
    <s v="None"/>
    <s v="Released"/>
    <s v="None"/>
    <n v="0"/>
    <n v="39.1"/>
    <n v="4234.8"/>
    <n v="7.38"/>
    <n v="0.62983904946490266"/>
    <n v="0.66625000000000001"/>
    <n v="0.94534941758334368"/>
    <n v="0.98039950229452921"/>
    <n v="0.61749389062105009"/>
    <n v="0.61749389062104998"/>
    <n v="1.9600497705470746E-2"/>
    <n v="191.15856777493605"/>
    <n v="0.56658148589165547"/>
    <n v="10.050000000000001"/>
  </r>
  <r>
    <x v="123"/>
    <x v="61"/>
    <x v="1"/>
    <x v="2"/>
    <x v="2"/>
    <n v="10489"/>
    <n v="8255.7999999999993"/>
    <n v="8150.7"/>
    <n v="105"/>
    <n v="8405.2000000000007"/>
    <n v="1.63"/>
    <s v="None"/>
    <s v="Released"/>
    <s v="None"/>
    <n v="0"/>
    <n v="51.2"/>
    <n v="4523.8999999999996"/>
    <n v="6.59"/>
    <n v="0.78709123844027074"/>
    <n v="0.79625000000000001"/>
    <n v="0.98849763069421748"/>
    <n v="0.98726955594854537"/>
    <n v="0.77707121746591667"/>
    <n v="0.77707121746591667"/>
    <n v="1.2718331354926235E-2"/>
    <n v="161.24609374999997"/>
    <n v="0.5479662782528647"/>
    <n v="8.2199999999999989"/>
  </r>
  <r>
    <x v="124"/>
    <x v="62"/>
    <x v="0"/>
    <x v="2"/>
    <x v="2"/>
    <n v="9446"/>
    <n v="8626.1"/>
    <n v="8523.7999999999993"/>
    <n v="102.3"/>
    <n v="8794.9"/>
    <n v="0"/>
    <s v="None"/>
    <s v="Released"/>
    <s v="None"/>
    <n v="0"/>
    <n v="49.7"/>
    <n v="5046"/>
    <n v="6.65"/>
    <n v="0.91320135507092959"/>
    <n v="1"/>
    <n v="0.91320135507092959"/>
    <n v="0.98814064293249548"/>
    <n v="0.9023713741266145"/>
    <n v="0.90237137412661439"/>
    <n v="1.1859357067504434E-2"/>
    <n v="173.56338028169014"/>
    <n v="0.5849688735349694"/>
    <n v="6.65"/>
  </r>
  <r>
    <x v="125"/>
    <x v="62"/>
    <x v="1"/>
    <x v="2"/>
    <x v="2"/>
    <n v="10796"/>
    <n v="6500.1"/>
    <n v="6365.6"/>
    <n v="134.5"/>
    <n v="6606.4"/>
    <n v="2.88"/>
    <s v="None"/>
    <s v="Released"/>
    <s v="None"/>
    <n v="0"/>
    <n v="48.8"/>
    <n v="3482.4"/>
    <n v="6.83"/>
    <n v="0.60208410522415712"/>
    <n v="0.64"/>
    <n v="0.94075641441274549"/>
    <n v="0.97930801064599005"/>
    <n v="0.58962578732864024"/>
    <n v="0.58962578732864024"/>
    <n v="2.0691989354009937E-2"/>
    <n v="133.19877049180329"/>
    <n v="0.53574560391378589"/>
    <n v="9.7100000000000009"/>
  </r>
  <r>
    <x v="126"/>
    <x v="63"/>
    <x v="0"/>
    <x v="1"/>
    <x v="1"/>
    <n v="9037"/>
    <n v="6715.8"/>
    <n v="6597.9"/>
    <n v="117.8"/>
    <n v="6861.3"/>
    <n v="1.1299999999999999"/>
    <s v="None"/>
    <s v="Released"/>
    <s v="Preventive"/>
    <n v="368.93"/>
    <n v="50.8"/>
    <n v="3408.2"/>
    <n v="7.95"/>
    <n v="0.743144848954299"/>
    <n v="0.85875000000000001"/>
    <n v="0.86537973677356506"/>
    <n v="0.98244438488340924"/>
    <n v="0.73009848401018029"/>
    <n v="0.73009848401018029"/>
    <n v="1.7540724857798028E-2"/>
    <n v="132.20078740157481"/>
    <n v="0.50748980017272693"/>
    <n v="9.08"/>
  </r>
  <r>
    <x v="127"/>
    <x v="63"/>
    <x v="1"/>
    <x v="1"/>
    <x v="0"/>
    <n v="9499"/>
    <n v="8095.5"/>
    <n v="8052.8"/>
    <n v="42.7"/>
    <n v="8216"/>
    <n v="0.54"/>
    <s v="None"/>
    <s v="Released"/>
    <s v="None"/>
    <n v="0"/>
    <n v="36.1"/>
    <n v="4343.3"/>
    <n v="7.49"/>
    <n v="0.85224760501105379"/>
    <n v="0.9325"/>
    <n v="0.91393845041399868"/>
    <n v="0.99472546476437529"/>
    <n v="0.84775239498894617"/>
    <n v="0.84775239498894628"/>
    <n v="5.2745352356247301E-3"/>
    <n v="224.25207756232686"/>
    <n v="0.53650793650793649"/>
    <n v="8.0300000000000011"/>
  </r>
  <r>
    <x v="128"/>
    <x v="64"/>
    <x v="0"/>
    <x v="0"/>
    <x v="1"/>
    <n v="9603"/>
    <n v="5897.7"/>
    <n v="5807.4"/>
    <n v="90.3"/>
    <n v="5962.9"/>
    <n v="5.82"/>
    <s v="Process"/>
    <s v="Released"/>
    <s v="None"/>
    <n v="0"/>
    <n v="46.6"/>
    <n v="2805.6"/>
    <n v="7.7"/>
    <n v="0.61415182755388942"/>
    <n v="0.27249999999999996"/>
    <n v="2.2537681745096858"/>
    <n v="0.98468894653848105"/>
    <n v="0.60474851608872215"/>
    <n v="0.60474851608872227"/>
    <n v="1.5311053461518898E-2"/>
    <n v="126.56008583690986"/>
    <n v="0.47571087033928483"/>
    <n v="13.52"/>
  </r>
  <r>
    <x v="129"/>
    <x v="64"/>
    <x v="1"/>
    <x v="1"/>
    <x v="0"/>
    <n v="9023"/>
    <n v="7761.6"/>
    <n v="7705.3"/>
    <n v="56.3"/>
    <n v="7804.6"/>
    <n v="0.53"/>
    <s v="None"/>
    <s v="Released"/>
    <s v="None"/>
    <n v="0"/>
    <n v="34.6"/>
    <n v="4311.1000000000004"/>
    <n v="7.82"/>
    <n v="0.8602017067494182"/>
    <n v="0.93374999999999997"/>
    <n v="0.92123342088291105"/>
    <n v="0.99274634096062664"/>
    <n v="0.85396209686357094"/>
    <n v="0.85396209686357094"/>
    <n v="7.253659039373324E-3"/>
    <n v="224.32369942196533"/>
    <n v="0.5554396000824573"/>
    <n v="8.35"/>
  </r>
  <r>
    <x v="130"/>
    <x v="65"/>
    <x v="0"/>
    <x v="2"/>
    <x v="0"/>
    <n v="11260"/>
    <n v="11297.6"/>
    <n v="11097.4"/>
    <n v="200.2"/>
    <n v="11503.2"/>
    <n v="0"/>
    <s v="None"/>
    <s v="Released"/>
    <s v="Preventive"/>
    <n v="355.13"/>
    <n v="37.5"/>
    <n v="6201.9"/>
    <n v="7.32"/>
    <n v="1.0033392539964476"/>
    <n v="1"/>
    <n v="1.0033392539964476"/>
    <n v="0.98227942217816167"/>
    <n v="0.98555950266429837"/>
    <n v="0.98555950266429837"/>
    <n v="1.7720577821838265E-2"/>
    <n v="301.26933333333335"/>
    <n v="0.54895730066562809"/>
    <n v="7.32"/>
  </r>
  <r>
    <x v="131"/>
    <x v="65"/>
    <x v="1"/>
    <x v="2"/>
    <x v="0"/>
    <n v="10390"/>
    <n v="6460.2"/>
    <n v="6350"/>
    <n v="110.2"/>
    <n v="6624.6"/>
    <n v="2.4500000000000002"/>
    <s v="None"/>
    <s v="Released"/>
    <s v="None"/>
    <n v="0"/>
    <n v="51"/>
    <n v="3630.1"/>
    <n v="7.65"/>
    <n v="0.62177093358999036"/>
    <n v="0.69374999999999998"/>
    <n v="0.89624639076034651"/>
    <n v="0.98294170459118912"/>
    <n v="0.61116458132820017"/>
    <n v="0.61116458132820017"/>
    <n v="1.7058295408810875E-2"/>
    <n v="126.67058823529412"/>
    <n v="0.56191758769078359"/>
    <n v="10.100000000000001"/>
  </r>
  <r>
    <x v="132"/>
    <x v="66"/>
    <x v="0"/>
    <x v="1"/>
    <x v="1"/>
    <n v="11400"/>
    <n v="9314.2000000000007"/>
    <n v="9185.4"/>
    <n v="128.80000000000001"/>
    <n v="9388"/>
    <n v="1.08"/>
    <s v="None"/>
    <s v="Released"/>
    <s v="None"/>
    <n v="0"/>
    <n v="48.3"/>
    <n v="4593.1000000000004"/>
    <n v="7.57"/>
    <n v="0.81703508771929834"/>
    <n v="0.86499999999999999"/>
    <n v="0.94454923435757032"/>
    <n v="0.98617165188636691"/>
    <n v="0.80573684210526308"/>
    <n v="0.80573684210526308"/>
    <n v="1.3828348113632948E-2"/>
    <n v="192.84057971014497"/>
    <n v="0.49312877112366066"/>
    <n v="8.65"/>
  </r>
  <r>
    <x v="133"/>
    <x v="66"/>
    <x v="1"/>
    <x v="0"/>
    <x v="0"/>
    <n v="9432"/>
    <n v="7156.8"/>
    <n v="7123.6"/>
    <n v="33.1"/>
    <n v="7298.6"/>
    <n v="1.42"/>
    <s v="None"/>
    <s v="Released"/>
    <s v="None"/>
    <n v="0"/>
    <n v="40"/>
    <n v="3845.6"/>
    <n v="6.8"/>
    <n v="0.75877862595419854"/>
    <n v="0.82250000000000001"/>
    <n v="0.92252720480753614"/>
    <n v="0.99536105522021012"/>
    <n v="0.75525869380831201"/>
    <n v="0.75525869380831212"/>
    <n v="4.6249720545495192E-3"/>
    <n v="178.92000000000002"/>
    <n v="0.53733512184216403"/>
    <n v="8.2199999999999989"/>
  </r>
  <r>
    <x v="134"/>
    <x v="67"/>
    <x v="0"/>
    <x v="0"/>
    <x v="1"/>
    <n v="11925"/>
    <n v="9074.7000000000007"/>
    <n v="8927.7999999999993"/>
    <n v="147"/>
    <n v="9303.2999999999993"/>
    <n v="1.8"/>
    <s v="None"/>
    <s v="Released"/>
    <s v="None"/>
    <n v="0"/>
    <n v="35.4"/>
    <n v="4712.6000000000004"/>
    <n v="6.65"/>
    <n v="0.7609811320754718"/>
    <n v="0.77500000000000002"/>
    <n v="0.98191113816189901"/>
    <n v="0.98381213704034276"/>
    <n v="0.7486624737945492"/>
    <n v="0.7486624737945492"/>
    <n v="1.6198882607689508E-2"/>
    <n v="256.34745762711867"/>
    <n v="0.51931193317685431"/>
    <n v="8.4500000000000011"/>
  </r>
  <r>
    <x v="135"/>
    <x v="67"/>
    <x v="1"/>
    <x v="0"/>
    <x v="1"/>
    <n v="11517"/>
    <n v="7540"/>
    <n v="7503.5"/>
    <n v="36.4"/>
    <n v="7615.1"/>
    <n v="2.48"/>
    <s v="Environmental"/>
    <s v="Released"/>
    <s v="Corrective"/>
    <n v="778.25"/>
    <n v="47.3"/>
    <n v="3943.9"/>
    <n v="7.19"/>
    <n v="0.65468437961274639"/>
    <n v="0.69"/>
    <n v="0.94881794146774834"/>
    <n v="0.99515915119363396"/>
    <n v="0.65151515151515138"/>
    <n v="0.65151515151515149"/>
    <n v="4.8275862068965511E-3"/>
    <n v="159.4080338266385"/>
    <n v="0.52306366047745356"/>
    <n v="9.67"/>
  </r>
  <r>
    <x v="136"/>
    <x v="68"/>
    <x v="0"/>
    <x v="1"/>
    <x v="2"/>
    <n v="11701"/>
    <n v="8055.3"/>
    <n v="7930.3"/>
    <n v="125"/>
    <n v="8038.2"/>
    <n v="3.36"/>
    <s v="None"/>
    <s v="Released"/>
    <s v="Corrective"/>
    <n v="1004.08"/>
    <n v="44.8"/>
    <n v="4467.8999999999996"/>
    <n v="7.93"/>
    <n v="0.68842833945816595"/>
    <n v="0.58000000000000007"/>
    <n v="1.1869454128589068"/>
    <n v="0.9844822663339664"/>
    <n v="0.67774549183830435"/>
    <n v="0.67774549183830446"/>
    <n v="1.5517733666033543E-2"/>
    <n v="179.80580357142858"/>
    <n v="0.55465345797177013"/>
    <n v="11.29"/>
  </r>
  <r>
    <x v="137"/>
    <x v="68"/>
    <x v="1"/>
    <x v="2"/>
    <x v="2"/>
    <n v="9374"/>
    <n v="8528.2000000000007"/>
    <n v="8401.5"/>
    <n v="126.7"/>
    <n v="8595.9"/>
    <n v="0.39"/>
    <s v="None"/>
    <s v="Released"/>
    <s v="None"/>
    <n v="0"/>
    <n v="34.200000000000003"/>
    <n v="4246.7"/>
    <n v="6.73"/>
    <n v="0.90977170898229154"/>
    <n v="0.95125000000000004"/>
    <n v="0.95639601469886104"/>
    <n v="0.98514340658052102"/>
    <n v="0.89625560059739717"/>
    <n v="0.89625560059739706"/>
    <n v="1.4856593419478904E-2"/>
    <n v="249.36257309941521"/>
    <n v="0.4979597101381299"/>
    <n v="7.12"/>
  </r>
  <r>
    <x v="138"/>
    <x v="69"/>
    <x v="0"/>
    <x v="2"/>
    <x v="0"/>
    <n v="11993"/>
    <n v="9635.2000000000007"/>
    <n v="9565.4"/>
    <n v="69.7"/>
    <n v="9852.6"/>
    <n v="1.3"/>
    <s v="None"/>
    <s v="Released"/>
    <s v="None"/>
    <n v="0"/>
    <n v="49.3"/>
    <n v="5007.8"/>
    <n v="7.97"/>
    <n v="0.80340198449095312"/>
    <n v="0.83750000000000002"/>
    <n v="0.95928595163098873"/>
    <n v="0.99275572899368969"/>
    <n v="0.7975819227882931"/>
    <n v="0.7975819227882931"/>
    <n v="7.2338923945533045E-3"/>
    <n v="195.44016227180529"/>
    <n v="0.51974011956160737"/>
    <n v="9.27"/>
  </r>
  <r>
    <x v="139"/>
    <x v="69"/>
    <x v="1"/>
    <x v="1"/>
    <x v="2"/>
    <n v="9368"/>
    <n v="6631.1"/>
    <n v="6581.2"/>
    <n v="49.9"/>
    <n v="6734.9"/>
    <n v="1.78"/>
    <s v="None"/>
    <s v="Released"/>
    <s v="Corrective"/>
    <n v="843.36"/>
    <n v="48.6"/>
    <n v="3520.2"/>
    <n v="7.87"/>
    <n v="0.7078458582408198"/>
    <n v="0.77749999999999997"/>
    <n v="0.9104126794094145"/>
    <n v="0.99247485334258256"/>
    <n v="0.70251921434671216"/>
    <n v="0.70251921434671216"/>
    <n v="7.525146657417321E-3"/>
    <n v="136.44238683127571"/>
    <n v="0.53086214956794497"/>
    <n v="9.65"/>
  </r>
  <r>
    <x v="140"/>
    <x v="70"/>
    <x v="0"/>
    <x v="1"/>
    <x v="1"/>
    <n v="11680"/>
    <n v="8301.7000000000007"/>
    <n v="8175.8"/>
    <n v="125.9"/>
    <n v="8445.6"/>
    <n v="1.41"/>
    <s v="None"/>
    <s v="Released"/>
    <s v="None"/>
    <n v="0"/>
    <n v="46"/>
    <n v="3911.2"/>
    <n v="7.46"/>
    <n v="0.71076198630136989"/>
    <n v="0.82374999999999998"/>
    <n v="0.86283700916706518"/>
    <n v="0.98483443150198147"/>
    <n v="0.69998287671232873"/>
    <n v="0.69998287671232873"/>
    <n v="1.5165568498018478E-2"/>
    <n v="180.4717391304348"/>
    <n v="0.47113241866123801"/>
    <n v="8.8699999999999992"/>
  </r>
  <r>
    <x v="141"/>
    <x v="70"/>
    <x v="1"/>
    <x v="0"/>
    <x v="2"/>
    <n v="11218"/>
    <n v="9974.4"/>
    <n v="9826.6"/>
    <n v="147.9"/>
    <n v="10241.200000000001"/>
    <n v="0.02"/>
    <s v="None"/>
    <s v="Released"/>
    <s v="None"/>
    <n v="0"/>
    <n v="50.4"/>
    <n v="5104.3999999999996"/>
    <n v="6.85"/>
    <n v="0.88914244963451594"/>
    <n v="0.99750000000000005"/>
    <n v="0.89137087682658234"/>
    <n v="0.98518206608918835"/>
    <n v="0.87596719557853453"/>
    <n v="0.87596719557853453"/>
    <n v="1.4827959576515882E-2"/>
    <n v="197.9047619047619"/>
    <n v="0.51175008020532564"/>
    <n v="6.8699999999999992"/>
  </r>
  <r>
    <x v="142"/>
    <x v="71"/>
    <x v="0"/>
    <x v="2"/>
    <x v="2"/>
    <n v="9567"/>
    <n v="8986.6"/>
    <n v="8851.9"/>
    <n v="134.69999999999999"/>
    <n v="9096.2000000000007"/>
    <n v="0"/>
    <s v="None"/>
    <s v="Released"/>
    <s v="None"/>
    <n v="0"/>
    <n v="36.200000000000003"/>
    <n v="4593.1000000000004"/>
    <n v="7.29"/>
    <n v="0.93933312428138394"/>
    <n v="1"/>
    <n v="0.93933312428138394"/>
    <n v="0.98501101640219879"/>
    <n v="0.92525347548865888"/>
    <n v="0.92525347548865888"/>
    <n v="1.4988983597801169E-2"/>
    <n v="248.24861878453038"/>
    <n v="0.51110542363073908"/>
    <n v="7.29"/>
  </r>
  <r>
    <x v="143"/>
    <x v="71"/>
    <x v="1"/>
    <x v="2"/>
    <x v="1"/>
    <n v="10572"/>
    <n v="6942.4"/>
    <n v="6900.8"/>
    <n v="41.6"/>
    <n v="7039.1"/>
    <n v="1.99"/>
    <s v="Equipment"/>
    <s v="Released"/>
    <s v="Corrective"/>
    <n v="431.38"/>
    <n v="44.6"/>
    <n v="3530.2"/>
    <n v="6.5"/>
    <n v="0.65667801740446463"/>
    <n v="0.75124999999999997"/>
    <n v="0.87411383348348037"/>
    <n v="0.99400783590689101"/>
    <n v="0.65274309496783955"/>
    <n v="0.65274309496783955"/>
    <n v="5.9921640931090122E-3"/>
    <n v="155.65919282511209"/>
    <n v="0.50849850195897672"/>
    <n v="8.49"/>
  </r>
  <r>
    <x v="144"/>
    <x v="72"/>
    <x v="0"/>
    <x v="2"/>
    <x v="2"/>
    <n v="10140"/>
    <n v="6794.2"/>
    <n v="6647.9"/>
    <n v="146.19999999999999"/>
    <n v="6924.2"/>
    <n v="4.97"/>
    <s v="Equipment"/>
    <s v="Released"/>
    <s v="Emergency"/>
    <n v="912.54"/>
    <n v="35.299999999999997"/>
    <n v="3431.7"/>
    <n v="7.78"/>
    <n v="0.67003944773175539"/>
    <n v="0.37875000000000003"/>
    <n v="1.7690810501168457"/>
    <n v="0.97846692767360388"/>
    <n v="0.65561143984220904"/>
    <n v="0.65561143984220904"/>
    <n v="2.1518353890082716E-2"/>
    <n v="192.47025495750708"/>
    <n v="0.50509257896441084"/>
    <n v="12.75"/>
  </r>
  <r>
    <x v="145"/>
    <x v="72"/>
    <x v="1"/>
    <x v="2"/>
    <x v="1"/>
    <n v="9226"/>
    <n v="6750.8"/>
    <n v="6659.9"/>
    <n v="90.9"/>
    <n v="6856.3"/>
    <n v="1.54"/>
    <s v="None"/>
    <s v="Released"/>
    <s v="None"/>
    <n v="0"/>
    <n v="47.6"/>
    <n v="3625.1"/>
    <n v="6.62"/>
    <n v="0.73171471927162368"/>
    <n v="0.8075"/>
    <n v="0.90614825915990549"/>
    <n v="0.98653492919357699"/>
    <n v="0.72186212876652933"/>
    <n v="0.72186212876652933"/>
    <n v="1.3465070806422943E-2"/>
    <n v="141.8235294117647"/>
    <n v="0.53698820880488241"/>
    <n v="8.16"/>
  </r>
  <r>
    <x v="146"/>
    <x v="73"/>
    <x v="0"/>
    <x v="0"/>
    <x v="1"/>
    <n v="11767"/>
    <n v="10577.6"/>
    <n v="10471.9"/>
    <n v="105.6"/>
    <n v="10631.5"/>
    <n v="0.05"/>
    <s v="None"/>
    <s v="Released"/>
    <s v="Corrective"/>
    <n v="1079.05"/>
    <n v="38.5"/>
    <n v="5698.2"/>
    <n v="6.85"/>
    <n v="0.89892071046146005"/>
    <n v="0.99375000000000002"/>
    <n v="0.90457429983543147"/>
    <n v="0.99000718499470575"/>
    <n v="0.88993796209739096"/>
    <n v="0.88993796209739096"/>
    <n v="9.9833610648918467E-3"/>
    <n v="274.74285714285713"/>
    <n v="0.53870443200726059"/>
    <n v="6.8999999999999995"/>
  </r>
  <r>
    <x v="147"/>
    <x v="73"/>
    <x v="1"/>
    <x v="2"/>
    <x v="2"/>
    <n v="11773"/>
    <n v="7638.6"/>
    <n v="7498.6"/>
    <n v="140"/>
    <n v="7833.1"/>
    <n v="2.2400000000000002"/>
    <s v="None"/>
    <s v="Released"/>
    <s v="Preventive"/>
    <n v="278.38"/>
    <n v="49.5"/>
    <n v="4008.8"/>
    <n v="6.68"/>
    <n v="0.64882357937653956"/>
    <n v="0.72"/>
    <n v="0.90114386024519388"/>
    <n v="0.98167203414238213"/>
    <n v="0.63693196296610888"/>
    <n v="0.63693196296610888"/>
    <n v="1.8327965857617888E-2"/>
    <n v="154.31515151515151"/>
    <n v="0.52480821092870422"/>
    <n v="8.92"/>
  </r>
  <r>
    <x v="148"/>
    <x v="74"/>
    <x v="0"/>
    <x v="1"/>
    <x v="0"/>
    <n v="10224"/>
    <n v="8920.9"/>
    <n v="8768.7000000000007"/>
    <n v="152.19999999999999"/>
    <n v="9036.4"/>
    <n v="0.13"/>
    <s v="None"/>
    <s v="Released"/>
    <s v="Corrective"/>
    <n v="598.79"/>
    <n v="50.6"/>
    <n v="4338.5"/>
    <n v="7.59"/>
    <n v="0.87254499217527381"/>
    <n v="0.98375000000000001"/>
    <n v="0.88695806066101524"/>
    <n v="0.98293894113822611"/>
    <n v="0.85765845070422531"/>
    <n v="0.85765845070422542"/>
    <n v="1.7061058861774035E-2"/>
    <n v="176.30237154150197"/>
    <n v="0.48632985461108186"/>
    <n v="7.72"/>
  </r>
  <r>
    <x v="149"/>
    <x v="74"/>
    <x v="1"/>
    <x v="1"/>
    <x v="0"/>
    <n v="9357"/>
    <n v="5887"/>
    <n v="5835.1"/>
    <n v="51.9"/>
    <n v="5961.7"/>
    <n v="3.02"/>
    <s v="Equipment"/>
    <s v="Released"/>
    <s v="None"/>
    <n v="0"/>
    <n v="40.6"/>
    <n v="3331.4"/>
    <n v="7.8"/>
    <n v="0.62915464358234474"/>
    <n v="0.62250000000000005"/>
    <n v="1.0106901904937264"/>
    <n v="0.99118396466791236"/>
    <n v="0.62360799401517575"/>
    <n v="0.62360799401517586"/>
    <n v="8.8160353320876506E-3"/>
    <n v="145"/>
    <n v="0.56589094615253954"/>
    <n v="10.82"/>
  </r>
  <r>
    <x v="150"/>
    <x v="75"/>
    <x v="0"/>
    <x v="0"/>
    <x v="1"/>
    <n v="9218"/>
    <n v="7165.7"/>
    <n v="7015.8"/>
    <n v="149.9"/>
    <n v="7193.8"/>
    <n v="1.34"/>
    <s v="None"/>
    <s v="Released"/>
    <s v="None"/>
    <n v="0"/>
    <n v="43.1"/>
    <n v="3540.5"/>
    <n v="6.63"/>
    <n v="0.77735951399435887"/>
    <n v="0.83250000000000002"/>
    <n v="0.93376518197520575"/>
    <n v="0.97908089928408948"/>
    <n v="0.76109785202863955"/>
    <n v="0.76109785202863967"/>
    <n v="2.0919100715910518E-2"/>
    <n v="166.25754060324826"/>
    <n v="0.49408990049820672"/>
    <n v="7.97"/>
  </r>
  <r>
    <x v="151"/>
    <x v="75"/>
    <x v="1"/>
    <x v="1"/>
    <x v="1"/>
    <n v="10554"/>
    <n v="8504.2000000000007"/>
    <n v="8285.5"/>
    <n v="218.6"/>
    <n v="8639.2999999999993"/>
    <n v="0.9"/>
    <s v="None"/>
    <s v="Released"/>
    <s v="None"/>
    <n v="0"/>
    <n v="50.7"/>
    <n v="4420.6000000000004"/>
    <n v="7.31"/>
    <n v="0.80577979912829267"/>
    <n v="0.88749999999999996"/>
    <n v="0.90792090042624529"/>
    <n v="0.97428329531290414"/>
    <n v="0.78505779799128295"/>
    <n v="0.78505779799128295"/>
    <n v="2.5704945791491261E-2"/>
    <n v="167.73570019723866"/>
    <n v="0.51981373909362427"/>
    <n v="8.2099999999999991"/>
  </r>
  <r>
    <x v="152"/>
    <x v="76"/>
    <x v="0"/>
    <x v="1"/>
    <x v="1"/>
    <n v="10108"/>
    <n v="7819.1"/>
    <n v="7741.4"/>
    <n v="77.8"/>
    <n v="7948.7"/>
    <n v="1.1299999999999999"/>
    <s v="None"/>
    <s v="Released"/>
    <s v="None"/>
    <n v="0"/>
    <n v="39.5"/>
    <n v="3872.3"/>
    <n v="6.56"/>
    <n v="0.77355559952512865"/>
    <n v="0.85875000000000001"/>
    <n v="0.90079254675415266"/>
    <n v="0.9900627949508255"/>
    <n v="0.76586861891571034"/>
    <n v="0.76586861891571034"/>
    <n v="9.94999424486194E-3"/>
    <n v="197.95189873417723"/>
    <n v="0.49523602460641253"/>
    <n v="7.6899999999999995"/>
  </r>
  <r>
    <x v="153"/>
    <x v="76"/>
    <x v="1"/>
    <x v="1"/>
    <x v="0"/>
    <n v="10244"/>
    <n v="7084.1"/>
    <n v="6940.6"/>
    <n v="143.5"/>
    <n v="7118.2"/>
    <n v="1.94"/>
    <s v="Process"/>
    <s v="Released"/>
    <s v="None"/>
    <n v="0"/>
    <n v="51.4"/>
    <n v="3924.8"/>
    <n v="6.57"/>
    <n v="0.6915365091761031"/>
    <n v="0.75750000000000006"/>
    <n v="0.91291948406086221"/>
    <n v="0.9797433689530074"/>
    <n v="0.67752830925419771"/>
    <n v="0.6775283092541976"/>
    <n v="2.025663104699256E-2"/>
    <n v="137.82295719844359"/>
    <n v="0.5540294462246439"/>
    <n v="8.51"/>
  </r>
  <r>
    <x v="154"/>
    <x v="77"/>
    <x v="0"/>
    <x v="0"/>
    <x v="1"/>
    <n v="11240"/>
    <n v="7733.9"/>
    <n v="7669.3"/>
    <n v="64.599999999999994"/>
    <n v="7903.2"/>
    <n v="1.91"/>
    <s v="Documentation"/>
    <s v="Released"/>
    <s v="None"/>
    <n v="0"/>
    <n v="34.1"/>
    <n v="4033.9"/>
    <n v="7.28"/>
    <n v="0.68806939501779352"/>
    <n v="0.76124999999999998"/>
    <n v="0.90386784238790607"/>
    <n v="0.9916471637854124"/>
    <n v="0.68232206405693951"/>
    <n v="0.68232206405693951"/>
    <n v="8.3528362145877232E-3"/>
    <n v="226.80058651026391"/>
    <n v="0.52158678027903127"/>
    <n v="9.19"/>
  </r>
  <r>
    <x v="155"/>
    <x v="77"/>
    <x v="1"/>
    <x v="2"/>
    <x v="1"/>
    <n v="11306"/>
    <n v="8780.9"/>
    <n v="8605.5"/>
    <n v="175.4"/>
    <n v="9039.6"/>
    <n v="1.02"/>
    <s v="None"/>
    <s v="Released"/>
    <s v="None"/>
    <n v="0"/>
    <n v="41.1"/>
    <n v="5192.8999999999996"/>
    <n v="7.78"/>
    <n v="0.77665841146294001"/>
    <n v="0.87250000000000005"/>
    <n v="0.89015290712084805"/>
    <n v="0.98002482661230628"/>
    <n v="0.76114452503095698"/>
    <n v="0.76114452503095698"/>
    <n v="1.9975173387693747E-2"/>
    <n v="213.64720194647199"/>
    <n v="0.59138584883098544"/>
    <n v="8.8000000000000007"/>
  </r>
  <r>
    <x v="156"/>
    <x v="78"/>
    <x v="0"/>
    <x v="1"/>
    <x v="0"/>
    <n v="9444"/>
    <n v="6458.1"/>
    <n v="6398.2"/>
    <n v="59.9"/>
    <n v="6564.8"/>
    <n v="2.48"/>
    <s v="None"/>
    <s v="Released"/>
    <s v="Preventive"/>
    <n v="287.44"/>
    <n v="40.299999999999997"/>
    <n v="3225.8"/>
    <n v="6.95"/>
    <n v="0.68383100381194417"/>
    <n v="0.69"/>
    <n v="0.99105942581441187"/>
    <n v="0.99072482618726865"/>
    <n v="0.67748835239305383"/>
    <n v="0.67748835239305372"/>
    <n v="9.2751738127312983E-3"/>
    <n v="160.25062034739457"/>
    <n v="0.49949675601183008"/>
    <n v="9.43"/>
  </r>
  <r>
    <x v="157"/>
    <x v="78"/>
    <x v="1"/>
    <x v="2"/>
    <x v="0"/>
    <n v="11774"/>
    <n v="9088.4"/>
    <n v="8854.9"/>
    <n v="233.5"/>
    <n v="9139.7000000000007"/>
    <n v="1.22"/>
    <s v="None"/>
    <s v="Released"/>
    <s v="Corrective"/>
    <n v="863.31"/>
    <n v="35.200000000000003"/>
    <n v="4863.8999999999996"/>
    <n v="7.31"/>
    <n v="0.77190419568540847"/>
    <n v="0.84750000000000003"/>
    <n v="0.91080141083824007"/>
    <n v="0.97430790898287922"/>
    <n v="0.75207236283336154"/>
    <n v="0.75207236283336165"/>
    <n v="2.5692091017120725E-2"/>
    <n v="258.19318181818181"/>
    <n v="0.53517670877162093"/>
    <n v="8.5299999999999994"/>
  </r>
  <r>
    <x v="158"/>
    <x v="79"/>
    <x v="0"/>
    <x v="1"/>
    <x v="0"/>
    <n v="10029"/>
    <n v="7134.8"/>
    <n v="7056.2"/>
    <n v="78.599999999999994"/>
    <n v="7171.7"/>
    <n v="1.92"/>
    <s v="None"/>
    <s v="Released"/>
    <s v="None"/>
    <n v="0"/>
    <n v="38.200000000000003"/>
    <n v="3323.6"/>
    <n v="7.55"/>
    <n v="0.71141689101605343"/>
    <n v="0.76"/>
    <n v="0.93607485660007028"/>
    <n v="0.98898357347087507"/>
    <n v="0.70357961910459665"/>
    <n v="0.70357961910459665"/>
    <n v="1.1016426529124853E-2"/>
    <n v="186.77486910994764"/>
    <n v="0.46582945562594602"/>
    <n v="9.4699999999999989"/>
  </r>
  <r>
    <x v="159"/>
    <x v="79"/>
    <x v="1"/>
    <x v="1"/>
    <x v="2"/>
    <n v="11820"/>
    <n v="7474.2"/>
    <n v="7353.5"/>
    <n v="120.7"/>
    <n v="7590.4"/>
    <n v="3.66"/>
    <s v="Equipment"/>
    <s v="Released"/>
    <s v="None"/>
    <n v="0"/>
    <n v="44.6"/>
    <n v="4031.2"/>
    <n v="6.69"/>
    <n v="0.63233502538071062"/>
    <n v="0.54249999999999998"/>
    <n v="1.1655945168308031"/>
    <n v="0.98385111450054863"/>
    <n v="0.62212351945854483"/>
    <n v="0.62212351945854483"/>
    <n v="1.6148885499451447E-2"/>
    <n v="167.5829596412556"/>
    <n v="0.53934869283669151"/>
    <n v="10.350000000000001"/>
  </r>
  <r>
    <x v="160"/>
    <x v="80"/>
    <x v="0"/>
    <x v="2"/>
    <x v="0"/>
    <n v="10649"/>
    <n v="8255.1"/>
    <n v="8173.9"/>
    <n v="81.2"/>
    <n v="8323.9"/>
    <n v="1.29"/>
    <s v="Process"/>
    <s v="Released"/>
    <s v="None"/>
    <n v="0"/>
    <n v="42.6"/>
    <n v="4321.2"/>
    <n v="8"/>
    <n v="0.77519954925345103"/>
    <n v="0.83875"/>
    <n v="0.92423195141991177"/>
    <n v="0.99016365640634263"/>
    <n v="0.76757442013334576"/>
    <n v="0.76757442013334587"/>
    <n v="9.8363435936572544E-3"/>
    <n v="193.78169014084509"/>
    <n v="0.52345822582403601"/>
    <n v="9.2899999999999991"/>
  </r>
  <r>
    <x v="161"/>
    <x v="80"/>
    <x v="1"/>
    <x v="2"/>
    <x v="1"/>
    <n v="11423"/>
    <n v="8374.5"/>
    <n v="8260.7999999999993"/>
    <n v="113.8"/>
    <n v="8600.2999999999993"/>
    <n v="1.53"/>
    <s v="Material"/>
    <s v="Released"/>
    <s v="None"/>
    <n v="0"/>
    <n v="46.5"/>
    <n v="4407.8999999999996"/>
    <n v="7.14"/>
    <n v="0.7331261489976364"/>
    <n v="0.80874999999999997"/>
    <n v="0.9064929199352536"/>
    <n v="0.98642307003403185"/>
    <n v="0.72317254661647545"/>
    <n v="0.72317254661647545"/>
    <n v="1.3588870977371784E-2"/>
    <n v="180.09677419354838"/>
    <n v="0.52634784166218873"/>
    <n v="8.67"/>
  </r>
  <r>
    <x v="162"/>
    <x v="81"/>
    <x v="0"/>
    <x v="1"/>
    <x v="0"/>
    <n v="9956"/>
    <n v="6400.3"/>
    <n v="6306.4"/>
    <n v="93.9"/>
    <n v="6461.6"/>
    <n v="2.61"/>
    <s v="Equipment"/>
    <s v="Released"/>
    <s v="None"/>
    <n v="0"/>
    <n v="44.1"/>
    <n v="3229.7"/>
    <n v="6.71"/>
    <n v="0.64285857774206512"/>
    <n v="0.67375000000000007"/>
    <n v="0.95415002262273108"/>
    <n v="0.98532881271190409"/>
    <n v="0.63342707914825236"/>
    <n v="0.63342707914825225"/>
    <n v="1.4671187288095871E-2"/>
    <n v="145.13151927437642"/>
    <n v="0.50461697107948056"/>
    <n v="9.32"/>
  </r>
  <r>
    <x v="163"/>
    <x v="81"/>
    <x v="1"/>
    <x v="1"/>
    <x v="1"/>
    <n v="11196"/>
    <n v="7798"/>
    <n v="7713.5"/>
    <n v="84.4"/>
    <n v="7924.9"/>
    <n v="2.16"/>
    <s v="None"/>
    <s v="Released"/>
    <s v="None"/>
    <n v="0"/>
    <n v="47.7"/>
    <n v="4394.6000000000004"/>
    <n v="7.83"/>
    <n v="0.69649874955341196"/>
    <n v="0.73"/>
    <n v="0.95410787610056436"/>
    <n v="0.98916388817645551"/>
    <n v="0.68895141121829229"/>
    <n v="0.68895141121829229"/>
    <n v="1.0823288022569891E-2"/>
    <n v="163.48008385744234"/>
    <n v="0.56355475763016161"/>
    <n v="9.99"/>
  </r>
  <r>
    <x v="164"/>
    <x v="82"/>
    <x v="0"/>
    <x v="2"/>
    <x v="0"/>
    <n v="9935"/>
    <n v="8421.1"/>
    <n v="8272.5"/>
    <n v="148.6"/>
    <n v="8507"/>
    <n v="1.1000000000000001"/>
    <s v="None"/>
    <s v="Released"/>
    <s v="Corrective"/>
    <n v="746.11"/>
    <n v="44.6"/>
    <n v="3903.6"/>
    <n v="7.6"/>
    <n v="0.84761952692501263"/>
    <n v="0.86250000000000004"/>
    <n v="0.98274727759421743"/>
    <n v="0.9823538492595979"/>
    <n v="0.83266230498238547"/>
    <n v="0.83266230498238547"/>
    <n v="1.7646150740402083E-2"/>
    <n v="188.81390134529147"/>
    <n v="0.46354989253185447"/>
    <n v="8.6999999999999993"/>
  </r>
  <r>
    <x v="165"/>
    <x v="82"/>
    <x v="1"/>
    <x v="1"/>
    <x v="2"/>
    <n v="10031"/>
    <n v="6761.8"/>
    <n v="6618.1"/>
    <n v="143.69999999999999"/>
    <n v="6794.1"/>
    <n v="1.86"/>
    <s v="None"/>
    <s v="Released"/>
    <s v="None"/>
    <n v="0"/>
    <n v="34.799999999999997"/>
    <n v="3427.5"/>
    <n v="6.79"/>
    <n v="0.67409032000797531"/>
    <n v="0.76749999999999996"/>
    <n v="0.87829357655762264"/>
    <n v="0.9787482622970215"/>
    <n v="0.65976472933904895"/>
    <n v="0.65976472933904895"/>
    <n v="2.1251737702978495E-2"/>
    <n v="194.30459770114945"/>
    <n v="0.50689165606791087"/>
    <n v="8.65"/>
  </r>
  <r>
    <x v="166"/>
    <x v="83"/>
    <x v="0"/>
    <x v="1"/>
    <x v="1"/>
    <n v="11551"/>
    <n v="7397"/>
    <n v="7296.6"/>
    <n v="100.5"/>
    <n v="7429.1"/>
    <n v="3.27"/>
    <s v="Process"/>
    <s v="Released"/>
    <s v="None"/>
    <n v="0"/>
    <n v="44.9"/>
    <n v="3748"/>
    <n v="7.31"/>
    <n v="0.64037745649727296"/>
    <n v="0.59125000000000005"/>
    <n v="1.0830908355133579"/>
    <n v="0.98642692983642022"/>
    <n v="0.63168556834906076"/>
    <n v="0.63168556834906076"/>
    <n v="1.3586589157766662E-2"/>
    <n v="164.74387527839644"/>
    <n v="0.50669190212248205"/>
    <n v="10.58"/>
  </r>
  <r>
    <x v="167"/>
    <x v="83"/>
    <x v="1"/>
    <x v="2"/>
    <x v="0"/>
    <n v="9995"/>
    <n v="6494.5"/>
    <n v="6388.1"/>
    <n v="106.4"/>
    <n v="6671"/>
    <n v="3.3"/>
    <s v="Material"/>
    <s v="Released"/>
    <s v="None"/>
    <n v="0"/>
    <n v="43"/>
    <n v="3565.3"/>
    <n v="7.8"/>
    <n v="0.64977488744372192"/>
    <n v="0.58750000000000002"/>
    <n v="1.1059998084148457"/>
    <n v="0.98361690661328827"/>
    <n v="0.63912956478239136"/>
    <n v="0.63912956478239125"/>
    <n v="1.6383093386711834E-2"/>
    <n v="151.03488372093022"/>
    <n v="0.54897220725229046"/>
    <n v="11.1"/>
  </r>
  <r>
    <x v="168"/>
    <x v="84"/>
    <x v="0"/>
    <x v="0"/>
    <x v="1"/>
    <n v="9544"/>
    <n v="8344.6"/>
    <n v="8208.2000000000007"/>
    <n v="136.5"/>
    <n v="8442.5"/>
    <n v="0.27"/>
    <s v="None"/>
    <s v="Under Review"/>
    <s v="None"/>
    <n v="0"/>
    <n v="46.3"/>
    <n v="4589.8"/>
    <n v="6.59"/>
    <n v="0.87432942162615257"/>
    <n v="0.96625000000000005"/>
    <n v="0.90486874165707909"/>
    <n v="0.98365409965726347"/>
    <n v="0.86003772003352907"/>
    <n v="0.86003772003352896"/>
    <n v="1.6357884140641852E-2"/>
    <n v="180.22894168466524"/>
    <n v="0.5500323562543441"/>
    <n v="6.8599999999999994"/>
  </r>
  <r>
    <x v="169"/>
    <x v="84"/>
    <x v="1"/>
    <x v="2"/>
    <x v="0"/>
    <n v="9031"/>
    <n v="6151.2"/>
    <n v="6061.9"/>
    <n v="89.3"/>
    <n v="6231"/>
    <n v="1.61"/>
    <s v="None"/>
    <s v="Released"/>
    <s v="None"/>
    <n v="0"/>
    <n v="37.799999999999997"/>
    <n v="3347.5"/>
    <n v="7.18"/>
    <n v="0.68112058465286229"/>
    <n v="0.79874999999999996"/>
    <n v="0.85273312632596232"/>
    <n v="0.98548250747821564"/>
    <n v="0.67123242165873109"/>
    <n v="0.67123242165873098"/>
    <n v="1.4517492521784367E-2"/>
    <n v="162.73015873015873"/>
    <n v="0.54420275718558986"/>
    <n v="8.7899999999999991"/>
  </r>
  <r>
    <x v="170"/>
    <x v="85"/>
    <x v="0"/>
    <x v="1"/>
    <x v="1"/>
    <n v="11253"/>
    <n v="8970.2999999999993"/>
    <n v="8823.7000000000007"/>
    <n v="146.6"/>
    <n v="9173.2000000000007"/>
    <n v="0.97"/>
    <s v="None"/>
    <s v="Released"/>
    <s v="Emergency"/>
    <n v="1581.73"/>
    <n v="32.799999999999997"/>
    <n v="4469.2"/>
    <n v="7.02"/>
    <n v="0.79714742735270583"/>
    <n v="0.87875000000000003"/>
    <n v="0.90713789741417461"/>
    <n v="0.98365717980446599"/>
    <n v="0.78411979027814815"/>
    <n v="0.78411979027814815"/>
    <n v="1.6342820195534152E-2"/>
    <n v="273.48475609756099"/>
    <n v="0.49822191008104527"/>
    <n v="7.9899999999999993"/>
  </r>
  <r>
    <x v="171"/>
    <x v="85"/>
    <x v="1"/>
    <x v="2"/>
    <x v="0"/>
    <n v="10464"/>
    <n v="6926.9"/>
    <n v="6911.3"/>
    <n v="15.6"/>
    <n v="6963.7"/>
    <n v="2.25"/>
    <s v="Process"/>
    <s v="Released"/>
    <s v="None"/>
    <n v="0"/>
    <n v="38.299999999999997"/>
    <n v="3987.1"/>
    <n v="7.57"/>
    <n v="0.66197438837920486"/>
    <n v="0.71875"/>
    <n v="0.92100784470150232"/>
    <n v="0.99774791032063415"/>
    <n v="0.6604835626911314"/>
    <n v="0.66048356269113151"/>
    <n v="2.2520896793659503E-3"/>
    <n v="180.85900783289819"/>
    <n v="0.57559658721794749"/>
    <n v="9.82"/>
  </r>
  <r>
    <x v="172"/>
    <x v="86"/>
    <x v="0"/>
    <x v="2"/>
    <x v="0"/>
    <n v="11937"/>
    <n v="10580.5"/>
    <n v="10412.700000000001"/>
    <n v="167.8"/>
    <n v="10638"/>
    <n v="0.13"/>
    <s v="None"/>
    <s v="Released"/>
    <s v="None"/>
    <n v="0"/>
    <n v="35.6"/>
    <n v="5193.7"/>
    <n v="7.45"/>
    <n v="0.8863617324285834"/>
    <n v="0.98375000000000001"/>
    <n v="0.90100303169360452"/>
    <n v="0.98414063607579993"/>
    <n v="0.87230459914551406"/>
    <n v="0.87230459914551406"/>
    <n v="1.585936392420018E-2"/>
    <n v="297.20505617977528"/>
    <n v="0.49087472236661783"/>
    <n v="7.58"/>
  </r>
  <r>
    <x v="173"/>
    <x v="86"/>
    <x v="1"/>
    <x v="2"/>
    <x v="0"/>
    <n v="10859"/>
    <n v="9981"/>
    <n v="9924.5"/>
    <n v="56.5"/>
    <n v="10153.700000000001"/>
    <n v="0.03"/>
    <s v="None"/>
    <s v="Released"/>
    <s v="None"/>
    <n v="0"/>
    <n v="48.7"/>
    <n v="5462.4"/>
    <n v="7.04"/>
    <n v="0.91914540933787636"/>
    <n v="0.99624999999999997"/>
    <n v="0.92260517875821968"/>
    <n v="0.99433924456467293"/>
    <n v="0.91394235196611107"/>
    <n v="0.91394235196611107"/>
    <n v="5.6607554353271215E-3"/>
    <n v="204.94866529774126"/>
    <n v="0.54727983168019234"/>
    <n v="7.07"/>
  </r>
  <r>
    <x v="174"/>
    <x v="87"/>
    <x v="0"/>
    <x v="1"/>
    <x v="0"/>
    <n v="10386"/>
    <n v="6606"/>
    <n v="6435.3"/>
    <n v="170.7"/>
    <n v="6691.5"/>
    <n v="3.65"/>
    <s v="Process"/>
    <s v="Released"/>
    <s v="None"/>
    <n v="0"/>
    <n v="50.4"/>
    <n v="3397.6"/>
    <n v="6.72"/>
    <n v="0.63604852686308488"/>
    <n v="0.54374999999999996"/>
    <n v="1.1697444172194666"/>
    <n v="0.97415985467756583"/>
    <n v="0.61961294049682258"/>
    <n v="0.6196129404968227"/>
    <n v="2.5840145322434151E-2"/>
    <n v="131.07142857142858"/>
    <n v="0.51432031486527396"/>
    <n v="10.37"/>
  </r>
  <r>
    <x v="175"/>
    <x v="87"/>
    <x v="1"/>
    <x v="2"/>
    <x v="2"/>
    <n v="9514"/>
    <n v="6090"/>
    <n v="5915"/>
    <n v="175"/>
    <n v="6204.3"/>
    <n v="2.54"/>
    <s v="None"/>
    <s v="Released"/>
    <s v="None"/>
    <n v="0"/>
    <n v="38.5"/>
    <n v="3090.4"/>
    <n v="6.85"/>
    <n v="0.64010931259196968"/>
    <n v="0.6825"/>
    <n v="0.93788910269885684"/>
    <n v="0.97126436781609193"/>
    <n v="0.62171536682783268"/>
    <n v="0.62171536682783268"/>
    <n v="2.8735632183908046E-2"/>
    <n v="158.18181818181819"/>
    <n v="0.50745484400656815"/>
    <n v="9.39"/>
  </r>
  <r>
    <x v="176"/>
    <x v="88"/>
    <x v="0"/>
    <x v="1"/>
    <x v="1"/>
    <n v="9119"/>
    <n v="6955.8"/>
    <n v="6874.7"/>
    <n v="81.099999999999994"/>
    <n v="6993.6"/>
    <n v="1.34"/>
    <s v="None"/>
    <s v="Released"/>
    <s v="None"/>
    <n v="0"/>
    <n v="49.6"/>
    <n v="3759.3"/>
    <n v="7.59"/>
    <n v="0.76278100668933002"/>
    <n v="0.83250000000000002"/>
    <n v="0.9162534614886847"/>
    <n v="0.98834066534402942"/>
    <n v="0.75388748766312097"/>
    <n v="0.75388748766312097"/>
    <n v="1.1659334655970556E-2"/>
    <n v="140.23790322580646"/>
    <n v="0.54045544725265249"/>
    <n v="8.93"/>
  </r>
  <r>
    <x v="177"/>
    <x v="88"/>
    <x v="1"/>
    <x v="1"/>
    <x v="2"/>
    <n v="11875"/>
    <n v="7757.3"/>
    <n v="7738.5"/>
    <n v="18.8"/>
    <n v="7814.6"/>
    <n v="3.05"/>
    <s v="Process"/>
    <s v="Released"/>
    <s v="None"/>
    <n v="0"/>
    <n v="37.6"/>
    <n v="3865.4"/>
    <n v="6.74"/>
    <n v="0.65324631578947367"/>
    <n v="0.61875000000000002"/>
    <n v="1.0557516214779372"/>
    <n v="0.99757647635130775"/>
    <n v="0.65166315789473683"/>
    <n v="0.65166315789473683"/>
    <n v="2.4235236486921997E-3"/>
    <n v="206.31117021276594"/>
    <n v="0.49829193147100148"/>
    <n v="9.7899999999999991"/>
  </r>
  <r>
    <x v="178"/>
    <x v="89"/>
    <x v="0"/>
    <x v="1"/>
    <x v="2"/>
    <n v="11426"/>
    <n v="10096.700000000001"/>
    <n v="9986.2000000000007"/>
    <n v="110.5"/>
    <n v="10221.700000000001"/>
    <n v="0.9"/>
    <s v="None"/>
    <s v="Released"/>
    <s v="Preventive"/>
    <n v="165.16"/>
    <n v="34.1"/>
    <n v="5229.1000000000004"/>
    <n v="7.65"/>
    <n v="0.8836600735165413"/>
    <n v="0.88749999999999996"/>
    <n v="0.99567332227215932"/>
    <n v="0.98905583012271336"/>
    <n v="0.87398914755820067"/>
    <n v="0.87398914755820067"/>
    <n v="1.0944169877286638E-2"/>
    <n v="296.09090909090912"/>
    <n v="0.51790188873592358"/>
    <n v="8.5500000000000007"/>
  </r>
  <r>
    <x v="179"/>
    <x v="89"/>
    <x v="1"/>
    <x v="0"/>
    <x v="1"/>
    <n v="11505"/>
    <n v="8664"/>
    <n v="8605.9"/>
    <n v="58.2"/>
    <n v="8684.1"/>
    <n v="1.89"/>
    <s v="None"/>
    <s v="Released"/>
    <s v="None"/>
    <n v="0"/>
    <n v="40.200000000000003"/>
    <n v="4614.7"/>
    <n v="7.09"/>
    <n v="0.75306388526727508"/>
    <n v="0.76375000000000004"/>
    <n v="0.98600836041541751"/>
    <n v="0.99329409048938133"/>
    <n v="0.74801390699695791"/>
    <n v="0.7480139069969578"/>
    <n v="6.7174515235457069E-3"/>
    <n v="215.52238805970148"/>
    <n v="0.53262927054478304"/>
    <n v="8.98"/>
  </r>
  <r>
    <x v="180"/>
    <x v="90"/>
    <x v="0"/>
    <x v="1"/>
    <x v="2"/>
    <n v="9647"/>
    <n v="8352"/>
    <n v="8236.7999999999993"/>
    <n v="115.2"/>
    <n v="8637"/>
    <n v="0.49"/>
    <s v="None"/>
    <s v="Released"/>
    <s v="None"/>
    <n v="0"/>
    <n v="43.5"/>
    <n v="4683.3"/>
    <n v="7.26"/>
    <n v="0.86576137659375973"/>
    <n v="0.93874999999999997"/>
    <n v="0.92224913618509685"/>
    <n v="0.986206896551724"/>
    <n v="0.85381984036488001"/>
    <n v="0.85381984036488023"/>
    <n v="1.3793103448275862E-2"/>
    <n v="192"/>
    <n v="0.5607399425287356"/>
    <n v="7.75"/>
  </r>
  <r>
    <x v="181"/>
    <x v="90"/>
    <x v="1"/>
    <x v="2"/>
    <x v="0"/>
    <n v="11849"/>
    <n v="8373.6"/>
    <n v="8202.1"/>
    <n v="171.6"/>
    <n v="8465.4"/>
    <n v="1.66"/>
    <s v="None"/>
    <s v="Released"/>
    <s v="Corrective"/>
    <n v="1011.66"/>
    <n v="38"/>
    <n v="4495.8999999999996"/>
    <n v="7.96"/>
    <n v="0.70669254789433711"/>
    <n v="0.79249999999999998"/>
    <n v="0.89172561248496807"/>
    <n v="0.97951896436419228"/>
    <n v="0.69221875263735355"/>
    <n v="0.69221875263735344"/>
    <n v="2.0492977930639152E-2"/>
    <n v="220.35789473684213"/>
    <n v="0.53691363332377939"/>
    <n v="9.6199999999999992"/>
  </r>
  <r>
    <x v="182"/>
    <x v="91"/>
    <x v="0"/>
    <x v="0"/>
    <x v="0"/>
    <n v="9507"/>
    <n v="7752.9"/>
    <n v="7681"/>
    <n v="72"/>
    <n v="7838.1"/>
    <n v="0.74"/>
    <s v="None"/>
    <s v="Released"/>
    <s v="Corrective"/>
    <n v="839.7"/>
    <n v="45.8"/>
    <n v="3900.3"/>
    <n v="7.57"/>
    <n v="0.81549384663931834"/>
    <n v="0.90749999999999997"/>
    <n v="0.89861580896894588"/>
    <n v="0.99072605089708377"/>
    <n v="0.80793099821184389"/>
    <n v="0.80793099821184389"/>
    <n v="9.2868475022249743E-3"/>
    <n v="169.27729257641923"/>
    <n v="0.50307626823511209"/>
    <n v="8.31"/>
  </r>
  <r>
    <x v="183"/>
    <x v="91"/>
    <x v="1"/>
    <x v="2"/>
    <x v="2"/>
    <n v="10736"/>
    <n v="7103.5"/>
    <n v="7049.3"/>
    <n v="54.2"/>
    <n v="7156.7"/>
    <n v="2.02"/>
    <s v="None"/>
    <s v="Released"/>
    <s v="None"/>
    <n v="0"/>
    <n v="32.4"/>
    <n v="3637.2"/>
    <n v="7.76"/>
    <n v="0.66165238450074515"/>
    <n v="0.74750000000000005"/>
    <n v="0.88515369163979285"/>
    <n v="0.99236995847117626"/>
    <n v="0.65660394932935917"/>
    <n v="0.65660394932935917"/>
    <n v="7.6300415288238195E-3"/>
    <n v="219.24382716049385"/>
    <n v="0.51202928134018444"/>
    <n v="9.7799999999999994"/>
  </r>
  <r>
    <x v="184"/>
    <x v="92"/>
    <x v="0"/>
    <x v="2"/>
    <x v="0"/>
    <n v="10291"/>
    <n v="8695"/>
    <n v="8570.9"/>
    <n v="124.1"/>
    <n v="8857.9"/>
    <n v="0.38"/>
    <s v="None"/>
    <s v="Released"/>
    <s v="None"/>
    <n v="0"/>
    <n v="45.2"/>
    <n v="4553.8"/>
    <n v="6.99"/>
    <n v="0.8449130308036148"/>
    <n v="0.95250000000000001"/>
    <n v="0.88704780136862449"/>
    <n v="0.98572742955721671"/>
    <n v="0.83285395005344465"/>
    <n v="0.83285395005344476"/>
    <n v="1.4272570442783208E-2"/>
    <n v="192.36725663716814"/>
    <n v="0.52372627947096029"/>
    <n v="7.37"/>
  </r>
  <r>
    <x v="185"/>
    <x v="92"/>
    <x v="1"/>
    <x v="0"/>
    <x v="1"/>
    <n v="9505"/>
    <n v="6557.6"/>
    <n v="6426.7"/>
    <n v="130.9"/>
    <n v="6644.9"/>
    <n v="1.98"/>
    <s v="None"/>
    <s v="Released"/>
    <s v="Corrective"/>
    <n v="510.41"/>
    <n v="43.5"/>
    <n v="3326.8"/>
    <n v="6.77"/>
    <n v="0.68991057338243034"/>
    <n v="0.75249999999999995"/>
    <n v="0.91682468223578795"/>
    <n v="0.98003842869342439"/>
    <n v="0.6761388742766965"/>
    <n v="0.6761388742766965"/>
    <n v="1.9961571306575575E-2"/>
    <n v="150.74942528735633"/>
    <n v="0.50731975112846162"/>
    <n v="8.75"/>
  </r>
  <r>
    <x v="186"/>
    <x v="93"/>
    <x v="0"/>
    <x v="2"/>
    <x v="2"/>
    <n v="11849"/>
    <n v="7857.7"/>
    <n v="7726.3"/>
    <n v="131.4"/>
    <n v="7960.4"/>
    <n v="2.71"/>
    <s v="None"/>
    <s v="Released"/>
    <s v="None"/>
    <n v="0"/>
    <n v="35.1"/>
    <n v="3975.8"/>
    <n v="7.13"/>
    <n v="0.66315300869271665"/>
    <n v="0.66125"/>
    <n v="1.0028778959436169"/>
    <n v="0.98327754941013279"/>
    <n v="0.65206346527133097"/>
    <n v="0.65206346527133097"/>
    <n v="1.6722450589867266E-2"/>
    <n v="223.86609686609685"/>
    <n v="0.50597503086144802"/>
    <n v="9.84"/>
  </r>
  <r>
    <x v="187"/>
    <x v="93"/>
    <x v="1"/>
    <x v="1"/>
    <x v="2"/>
    <n v="10585"/>
    <n v="9617.9"/>
    <n v="9471.2000000000007"/>
    <n v="146.69999999999999"/>
    <n v="9761.2999999999993"/>
    <n v="0"/>
    <s v="None"/>
    <s v="Released"/>
    <s v="None"/>
    <n v="0"/>
    <n v="41.2"/>
    <n v="5025.7"/>
    <n v="7.08"/>
    <n v="0.90863486065186583"/>
    <n v="1"/>
    <n v="0.90863486065186583"/>
    <n v="0.98474719013506073"/>
    <n v="0.89477562588568738"/>
    <n v="0.89477562588568738"/>
    <n v="1.5252809864939331E-2"/>
    <n v="233.44417475728153"/>
    <n v="0.5225361045550484"/>
    <n v="7.08"/>
  </r>
  <r>
    <x v="188"/>
    <x v="94"/>
    <x v="0"/>
    <x v="2"/>
    <x v="0"/>
    <n v="9146"/>
    <n v="7711.5"/>
    <n v="7584.3"/>
    <n v="127.2"/>
    <n v="7786.8"/>
    <n v="0.48"/>
    <s v="None"/>
    <s v="Released"/>
    <s v="None"/>
    <n v="0"/>
    <n v="51.9"/>
    <n v="4259.7"/>
    <n v="6.83"/>
    <n v="0.84315547780450473"/>
    <n v="0.94"/>
    <n v="0.89697391255798375"/>
    <n v="0.98350515463917532"/>
    <n v="0.82924775858298716"/>
    <n v="0.82924775858298716"/>
    <n v="1.6494845360824743E-2"/>
    <n v="148.58381502890174"/>
    <n v="0.55238280490177005"/>
    <n v="7.3100000000000005"/>
  </r>
  <r>
    <x v="189"/>
    <x v="94"/>
    <x v="1"/>
    <x v="0"/>
    <x v="1"/>
    <n v="10097"/>
    <n v="6516"/>
    <n v="6472.8"/>
    <n v="43.1"/>
    <n v="6634.3"/>
    <n v="2.73"/>
    <s v="None"/>
    <s v="Released"/>
    <s v="Corrective"/>
    <n v="998.86"/>
    <n v="45.9"/>
    <n v="3510.9"/>
    <n v="7.21"/>
    <n v="0.64534020005942361"/>
    <n v="0.65874999999999995"/>
    <n v="0.97964356745263548"/>
    <n v="0.99337016574585635"/>
    <n v="0.64106170149549369"/>
    <n v="0.64106170149549369"/>
    <n v="6.6144874155923883E-3"/>
    <n v="141.9607843137255"/>
    <n v="0.53881215469613264"/>
    <n v="9.94"/>
  </r>
  <r>
    <x v="190"/>
    <x v="95"/>
    <x v="0"/>
    <x v="1"/>
    <x v="1"/>
    <n v="11160"/>
    <n v="9182.2000000000007"/>
    <n v="9076.9"/>
    <n v="105.3"/>
    <n v="9219.9"/>
    <n v="0.77"/>
    <s v="Documentation"/>
    <s v="Released"/>
    <s v="None"/>
    <n v="0"/>
    <n v="32.1"/>
    <n v="5471.9"/>
    <n v="6.63"/>
    <n v="0.82277777777777783"/>
    <n v="0.90375000000000005"/>
    <n v="0.9104041801137237"/>
    <n v="0.98853216004878997"/>
    <n v="0.81334229390681001"/>
    <n v="0.81334229390681001"/>
    <n v="1.1467839951209948E-2"/>
    <n v="286.04984423676012"/>
    <n v="0.5959247239223715"/>
    <n v="7.4"/>
  </r>
  <r>
    <x v="191"/>
    <x v="95"/>
    <x v="1"/>
    <x v="1"/>
    <x v="1"/>
    <n v="10957"/>
    <n v="8533.1"/>
    <n v="8416.5"/>
    <n v="116.6"/>
    <n v="8691.2000000000007"/>
    <n v="1.48"/>
    <s v="None"/>
    <s v="Released"/>
    <s v="None"/>
    <n v="0"/>
    <n v="41"/>
    <n v="4614.6000000000004"/>
    <n v="7.16"/>
    <n v="0.77878068814456514"/>
    <n v="0.81499999999999995"/>
    <n v="0.95555912655774877"/>
    <n v="0.9863355638630743"/>
    <n v="0.76813908916674278"/>
    <n v="0.76813908916674267"/>
    <n v="1.3664436136925617E-2"/>
    <n v="208.12439024390244"/>
    <n v="0.54078822467801857"/>
    <n v="8.64"/>
  </r>
  <r>
    <x v="192"/>
    <x v="96"/>
    <x v="0"/>
    <x v="1"/>
    <x v="1"/>
    <n v="10893"/>
    <n v="7686"/>
    <n v="7570.8"/>
    <n v="115.3"/>
    <n v="7796.6"/>
    <n v="1.68"/>
    <s v="Material"/>
    <s v="Released"/>
    <s v="None"/>
    <n v="0"/>
    <n v="41.5"/>
    <n v="3866.6"/>
    <n v="7.03"/>
    <n v="0.70559074635086749"/>
    <n v="0.79"/>
    <n v="0.89315284348211077"/>
    <n v="0.98501170960187356"/>
    <n v="0.69501514734232994"/>
    <n v="0.69501514734232994"/>
    <n v="1.5001301066874837E-2"/>
    <n v="185.20481927710844"/>
    <n v="0.5030705178246162"/>
    <n v="8.7100000000000009"/>
  </r>
  <r>
    <x v="193"/>
    <x v="96"/>
    <x v="1"/>
    <x v="1"/>
    <x v="1"/>
    <n v="9418"/>
    <n v="9256.6"/>
    <n v="9208.2999999999993"/>
    <n v="48.3"/>
    <n v="9341.7000000000007"/>
    <n v="0"/>
    <s v="None"/>
    <s v="Released"/>
    <s v="Emergency"/>
    <n v="1756.92"/>
    <n v="36.799999999999997"/>
    <n v="4607.2"/>
    <n v="7.35"/>
    <n v="0.98286260352516464"/>
    <n v="1"/>
    <n v="0.98286260352516464"/>
    <n v="0.99478210141952761"/>
    <n v="0.97773412614143129"/>
    <n v="0.97773412614143118"/>
    <n v="5.2178985804723112E-3"/>
    <n v="251.5380434782609"/>
    <n v="0.49772054534062177"/>
    <n v="7.35"/>
  </r>
  <r>
    <x v="194"/>
    <x v="97"/>
    <x v="0"/>
    <x v="2"/>
    <x v="2"/>
    <n v="11551"/>
    <n v="9513.7000000000007"/>
    <n v="9237.9"/>
    <n v="275.8"/>
    <n v="9686.7000000000007"/>
    <n v="0.61"/>
    <s v="None"/>
    <s v="Released"/>
    <s v="None"/>
    <n v="0"/>
    <n v="42.3"/>
    <n v="4332.2"/>
    <n v="6.84"/>
    <n v="0.82362566011600735"/>
    <n v="0.92374999999999996"/>
    <n v="0.89161099877240302"/>
    <n v="0.97101022735633868"/>
    <n v="0.79974893948575876"/>
    <n v="0.79974893948575876"/>
    <n v="2.8989772643661246E-2"/>
    <n v="224.91016548463361"/>
    <n v="0.45536436927798851"/>
    <n v="7.45"/>
  </r>
  <r>
    <x v="195"/>
    <x v="97"/>
    <x v="1"/>
    <x v="2"/>
    <x v="1"/>
    <n v="9940"/>
    <n v="7093.1"/>
    <n v="7005.8"/>
    <n v="87.3"/>
    <n v="7203.9"/>
    <n v="1.52"/>
    <s v="None"/>
    <s v="Released"/>
    <s v="None"/>
    <n v="0"/>
    <n v="45.4"/>
    <n v="3716"/>
    <n v="6.52"/>
    <n v="0.71359154929577473"/>
    <n v="0.81"/>
    <n v="0.8809772213528082"/>
    <n v="0.98769226431320578"/>
    <n v="0.70480885311871233"/>
    <n v="0.70480885311871233"/>
    <n v="1.2307735686794207E-2"/>
    <n v="156.23568281938327"/>
    <n v="0.52388941365552433"/>
    <n v="8.0399999999999991"/>
  </r>
  <r>
    <x v="196"/>
    <x v="98"/>
    <x v="0"/>
    <x v="1"/>
    <x v="1"/>
    <n v="11671"/>
    <n v="10185.299999999999"/>
    <n v="10028"/>
    <n v="157.30000000000001"/>
    <n v="10393.799999999999"/>
    <n v="0.48"/>
    <s v="None"/>
    <s v="Released"/>
    <s v="None"/>
    <n v="0"/>
    <n v="40.299999999999997"/>
    <n v="5883.2"/>
    <n v="7.36"/>
    <n v="0.87270156798903253"/>
    <n v="0.94"/>
    <n v="0.92840592339258798"/>
    <n v="0.98455617409403751"/>
    <n v="0.85922371690514954"/>
    <n v="0.85922371690514954"/>
    <n v="1.5443825905962516E-2"/>
    <n v="252.73697270471465"/>
    <n v="0.57761676141105323"/>
    <n v="7.84"/>
  </r>
  <r>
    <x v="197"/>
    <x v="98"/>
    <x v="1"/>
    <x v="2"/>
    <x v="0"/>
    <n v="9198"/>
    <n v="6139.9"/>
    <n v="6063.6"/>
    <n v="76.2"/>
    <n v="6281.9"/>
    <n v="2.15"/>
    <s v="None"/>
    <s v="Released"/>
    <s v="Corrective"/>
    <n v="981.65"/>
    <n v="36.1"/>
    <n v="2961.3"/>
    <n v="7.37"/>
    <n v="0.66752554903239836"/>
    <n v="0.73124999999999996"/>
    <n v="0.91285545166823712"/>
    <n v="0.98757308750956863"/>
    <n v="0.65923026744944557"/>
    <n v="0.65923026744944557"/>
    <n v="1.2410625580221178E-2"/>
    <n v="170.08033240997227"/>
    <n v="0.48230427205654819"/>
    <n v="9.52"/>
  </r>
  <r>
    <x v="198"/>
    <x v="99"/>
    <x v="0"/>
    <x v="1"/>
    <x v="0"/>
    <n v="10611"/>
    <n v="7629.5"/>
    <n v="7499.4"/>
    <n v="130"/>
    <n v="7726"/>
    <n v="1.83"/>
    <s v="None"/>
    <s v="Released"/>
    <s v="None"/>
    <n v="0"/>
    <n v="32.1"/>
    <n v="3654"/>
    <n v="7.28"/>
    <n v="0.71901800018848361"/>
    <n v="0.77124999999999999"/>
    <n v="0.93227617528490592"/>
    <n v="0.98294776853004784"/>
    <n v="0.70675713881820756"/>
    <n v="0.70675713881820745"/>
    <n v="1.7039124451143587E-2"/>
    <n v="237.67912772585669"/>
    <n v="0.47893046726522054"/>
    <n v="9.11"/>
  </r>
  <r>
    <x v="199"/>
    <x v="99"/>
    <x v="1"/>
    <x v="1"/>
    <x v="1"/>
    <n v="11312"/>
    <n v="10494.5"/>
    <n v="10305.799999999999"/>
    <n v="188.7"/>
    <n v="10457.9"/>
    <n v="0"/>
    <s v="None"/>
    <s v="Released"/>
    <s v="None"/>
    <n v="0"/>
    <n v="36.9"/>
    <n v="6136.3"/>
    <n v="6.97"/>
    <n v="0.92773161244695901"/>
    <n v="1"/>
    <n v="0.92773161244695901"/>
    <n v="0.98201915288960873"/>
    <n v="0.91105021216407345"/>
    <n v="0.91105021216407345"/>
    <n v="1.7980847110391156E-2"/>
    <n v="284.40379403794037"/>
    <n v="0.58471580351612751"/>
    <n v="6.97"/>
  </r>
  <r>
    <x v="200"/>
    <x v="100"/>
    <x v="0"/>
    <x v="0"/>
    <x v="0"/>
    <n v="11080"/>
    <n v="8403.7999999999993"/>
    <n v="8345.7999999999993"/>
    <n v="58"/>
    <n v="8470.7000000000007"/>
    <n v="1.33"/>
    <s v="None"/>
    <s v="Released"/>
    <s v="Corrective"/>
    <n v="521.6"/>
    <n v="38.299999999999997"/>
    <n v="4316"/>
    <n v="7.31"/>
    <n v="0.75846570397111912"/>
    <n v="0.83374999999999999"/>
    <n v="0.90970399276895841"/>
    <n v="0.99309836026559417"/>
    <n v="0.75323104693140797"/>
    <n v="0.75323104693140785"/>
    <n v="6.9016397344058645E-3"/>
    <n v="219.42036553524804"/>
    <n v="0.51357719127061574"/>
    <n v="8.64"/>
  </r>
  <r>
    <x v="201"/>
    <x v="100"/>
    <x v="1"/>
    <x v="2"/>
    <x v="0"/>
    <n v="11838"/>
    <n v="9211.6"/>
    <n v="9064.4"/>
    <n v="147.19999999999999"/>
    <n v="9217"/>
    <n v="1.41"/>
    <s v="None"/>
    <s v="Released"/>
    <s v="None"/>
    <n v="0"/>
    <n v="34.200000000000003"/>
    <n v="4920.6000000000004"/>
    <n v="6.8"/>
    <n v="0.77813819902010473"/>
    <n v="0.82374999999999998"/>
    <n v="0.94462907316552935"/>
    <n v="0.98402014850840236"/>
    <n v="0.76570366615982433"/>
    <n v="0.76570366615982421"/>
    <n v="1.5979851491597551E-2"/>
    <n v="269.34502923976606"/>
    <n v="0.53417430196708504"/>
    <n v="8.2099999999999991"/>
  </r>
  <r>
    <x v="202"/>
    <x v="101"/>
    <x v="0"/>
    <x v="2"/>
    <x v="0"/>
    <n v="9231"/>
    <n v="6503.6"/>
    <n v="6359.3"/>
    <n v="144.30000000000001"/>
    <n v="6554.8"/>
    <n v="1.68"/>
    <s v="None"/>
    <s v="Released"/>
    <s v="None"/>
    <n v="0"/>
    <n v="39"/>
    <n v="3734.7"/>
    <n v="7.12"/>
    <n v="0.70453905319033694"/>
    <n v="0.79"/>
    <n v="0.89182158631688213"/>
    <n v="0.97781228857863334"/>
    <n v="0.68890694399306684"/>
    <n v="0.68890694399306684"/>
    <n v="2.2187711421366628E-2"/>
    <n v="166.75897435897437"/>
    <n v="0.57425118395965302"/>
    <n v="8.8000000000000007"/>
  </r>
  <r>
    <x v="203"/>
    <x v="101"/>
    <x v="1"/>
    <x v="1"/>
    <x v="0"/>
    <n v="9869"/>
    <n v="6118.5"/>
    <n v="6069.3"/>
    <n v="49.2"/>
    <n v="6242.7"/>
    <n v="2.31"/>
    <s v="Material"/>
    <s v="Released"/>
    <s v="None"/>
    <n v="0"/>
    <n v="39.299999999999997"/>
    <n v="3365.6"/>
    <n v="7.4"/>
    <n v="0.61997162833113795"/>
    <n v="0.71124999999999994"/>
    <n v="0.87166485529861226"/>
    <n v="0.99195881343466541"/>
    <n v="0.61498632080251303"/>
    <n v="0.61498632080251292"/>
    <n v="8.0411865653346407E-3"/>
    <n v="155.68702290076337"/>
    <n v="0.55006946146931435"/>
    <n v="9.7100000000000009"/>
  </r>
  <r>
    <x v="204"/>
    <x v="102"/>
    <x v="0"/>
    <x v="1"/>
    <x v="2"/>
    <n v="11099"/>
    <n v="6920.4"/>
    <n v="6834.1"/>
    <n v="86.3"/>
    <n v="6971.8"/>
    <n v="3.99"/>
    <s v="Documentation"/>
    <s v="Released"/>
    <s v="None"/>
    <n v="0"/>
    <n v="46.3"/>
    <n v="3544.6"/>
    <n v="6.59"/>
    <n v="0.62351563203892235"/>
    <n v="0.50124999999999997"/>
    <n v="1.2439214604267779"/>
    <n v="0.98752962256516974"/>
    <n v="0.61574015677088023"/>
    <n v="0.61574015677088034"/>
    <n v="1.2470377434830357E-2"/>
    <n v="149.46868250539956"/>
    <n v="0.51219582683081899"/>
    <n v="10.58"/>
  </r>
  <r>
    <x v="205"/>
    <x v="102"/>
    <x v="1"/>
    <x v="2"/>
    <x v="0"/>
    <n v="9733"/>
    <n v="7035"/>
    <n v="6948"/>
    <n v="86.9"/>
    <n v="7124.1"/>
    <n v="1.68"/>
    <s v="Equipment"/>
    <s v="Released"/>
    <s v="Preventive"/>
    <n v="200.55"/>
    <n v="50.6"/>
    <n v="3604.3"/>
    <n v="6.75"/>
    <n v="0.7227987259837666"/>
    <n v="0.79"/>
    <n v="0.91493509618198299"/>
    <n v="0.98763326226012793"/>
    <n v="0.71386006370081168"/>
    <n v="0.71386006370081168"/>
    <n v="1.2352523098791757E-2"/>
    <n v="139.03162055335969"/>
    <n v="0.51233830845771144"/>
    <n v="8.43"/>
  </r>
  <r>
    <x v="206"/>
    <x v="103"/>
    <x v="0"/>
    <x v="2"/>
    <x v="2"/>
    <n v="11839"/>
    <n v="7807.9"/>
    <n v="7700.9"/>
    <n v="107"/>
    <n v="7921.5"/>
    <n v="2.11"/>
    <s v="Documentation"/>
    <s v="Released"/>
    <s v="Emergency"/>
    <n v="2045.88"/>
    <n v="50.2"/>
    <n v="3971.3"/>
    <n v="7"/>
    <n v="0.65950671509418024"/>
    <n v="0.73625000000000007"/>
    <n v="0.89576463849803756"/>
    <n v="0.98629593104419877"/>
    <n v="0.65046878959371568"/>
    <n v="0.65046878959371568"/>
    <n v="1.3704068955801176E-2"/>
    <n v="155.53585657370516"/>
    <n v="0.50862587891750666"/>
    <n v="9.11"/>
  </r>
  <r>
    <x v="207"/>
    <x v="103"/>
    <x v="1"/>
    <x v="1"/>
    <x v="0"/>
    <n v="9844"/>
    <n v="9192.5"/>
    <n v="9024.4"/>
    <n v="168.1"/>
    <n v="9204"/>
    <n v="0"/>
    <s v="None"/>
    <s v="Released"/>
    <s v="None"/>
    <n v="0"/>
    <n v="41.8"/>
    <n v="4360"/>
    <n v="6.98"/>
    <n v="0.9338175538399025"/>
    <n v="1"/>
    <n v="0.9338175538399025"/>
    <n v="0.98171335327712805"/>
    <n v="0.91674116212921575"/>
    <n v="0.91674116212921575"/>
    <n v="1.8286646722871905E-2"/>
    <n v="219.91626794258374"/>
    <n v="0.4742997008430786"/>
    <n v="6.98"/>
  </r>
  <r>
    <x v="208"/>
    <x v="104"/>
    <x v="0"/>
    <x v="0"/>
    <x v="1"/>
    <n v="11419"/>
    <n v="10463.1"/>
    <n v="10382.5"/>
    <n v="80.599999999999994"/>
    <n v="10753.3"/>
    <n v="0"/>
    <s v="None"/>
    <s v="Released"/>
    <s v="None"/>
    <n v="0"/>
    <n v="34.299999999999997"/>
    <n v="5418.3"/>
    <n v="7"/>
    <n v="0.91628864173745517"/>
    <n v="1"/>
    <n v="0.91628864173745517"/>
    <n v="0.99229673806042185"/>
    <n v="0.9092302303178913"/>
    <n v="0.90923023031789119"/>
    <n v="7.7032619395781361E-3"/>
    <n v="305.04664723032073"/>
    <n v="0.51784843879920861"/>
    <n v="7"/>
  </r>
  <r>
    <x v="209"/>
    <x v="104"/>
    <x v="1"/>
    <x v="1"/>
    <x v="0"/>
    <n v="10149"/>
    <n v="8480"/>
    <n v="8287.2999999999993"/>
    <n v="192.6"/>
    <n v="8557.7000000000007"/>
    <n v="0.53"/>
    <s v="Documentation"/>
    <s v="Released"/>
    <s v="None"/>
    <n v="0"/>
    <n v="44.5"/>
    <n v="4134.1000000000004"/>
    <n v="7.37"/>
    <n v="0.8355503005222189"/>
    <n v="0.93374999999999997"/>
    <n v="0.89483298583370163"/>
    <n v="0.97727594339622637"/>
    <n v="0.81656320819785189"/>
    <n v="0.81656320819785189"/>
    <n v="2.2712264150943396E-2"/>
    <n v="190.56179775280899"/>
    <n v="0.48751179245283022"/>
    <n v="7.9"/>
  </r>
  <r>
    <x v="210"/>
    <x v="105"/>
    <x v="0"/>
    <x v="2"/>
    <x v="1"/>
    <n v="9776"/>
    <n v="8085.3"/>
    <n v="8077.2"/>
    <n v="8.1"/>
    <n v="8280"/>
    <n v="0.55000000000000004"/>
    <s v="None"/>
    <s v="Released"/>
    <s v="None"/>
    <n v="0"/>
    <n v="33.799999999999997"/>
    <n v="4361.5"/>
    <n v="7.92"/>
    <n v="0.82705605564648121"/>
    <n v="0.93125000000000002"/>
    <n v="0.88811388525796642"/>
    <n v="0.99899818188564427"/>
    <n v="0.82622749590834699"/>
    <n v="0.82622749590834699"/>
    <n v="1.0018181143556825E-3"/>
    <n v="239.21005917159766"/>
    <n v="0.53943576614349498"/>
    <n v="8.4700000000000006"/>
  </r>
  <r>
    <x v="211"/>
    <x v="105"/>
    <x v="1"/>
    <x v="2"/>
    <x v="0"/>
    <n v="10085"/>
    <n v="6962.7"/>
    <n v="6863.3"/>
    <n v="99.4"/>
    <n v="7101.3"/>
    <n v="3.81"/>
    <s v="Equipment"/>
    <s v="Released"/>
    <s v="None"/>
    <n v="0"/>
    <n v="37.200000000000003"/>
    <n v="3615.6"/>
    <n v="6.69"/>
    <n v="0.69040158651462569"/>
    <n v="0.52374999999999994"/>
    <n v="1.31818918666277"/>
    <n v="0.98572392893561411"/>
    <n v="0.68054536440257818"/>
    <n v="0.68054536440257807"/>
    <n v="1.4276071064385944E-2"/>
    <n v="187.16935483870967"/>
    <n v="0.51928131328364002"/>
    <n v="10.5"/>
  </r>
  <r>
    <x v="212"/>
    <x v="106"/>
    <x v="0"/>
    <x v="1"/>
    <x v="0"/>
    <n v="11040"/>
    <n v="8943.7000000000007"/>
    <n v="8884.9"/>
    <n v="58.8"/>
    <n v="8999.1"/>
    <n v="1.54"/>
    <s v="None"/>
    <s v="Released"/>
    <s v="None"/>
    <n v="0"/>
    <n v="46.5"/>
    <n v="4459.5"/>
    <n v="7.95"/>
    <n v="0.8101177536231885"/>
    <n v="0.8075"/>
    <n v="1.0032418001525554"/>
    <n v="0.99342553976542136"/>
    <n v="0.80479166666666668"/>
    <n v="0.80479166666666668"/>
    <n v="6.5744602345785292E-3"/>
    <n v="192.33763440860216"/>
    <n v="0.49861913972964206"/>
    <n v="9.49"/>
  </r>
  <r>
    <x v="213"/>
    <x v="106"/>
    <x v="1"/>
    <x v="2"/>
    <x v="0"/>
    <n v="10629"/>
    <n v="7550.3"/>
    <n v="7437.3"/>
    <n v="112.9"/>
    <n v="7547.5"/>
    <n v="1.71"/>
    <s v="None"/>
    <s v="Released"/>
    <s v="None"/>
    <n v="0"/>
    <n v="50.3"/>
    <n v="4186.5"/>
    <n v="7.56"/>
    <n v="0.71034904506538721"/>
    <n v="0.78625"/>
    <n v="0.9034646042167086"/>
    <n v="0.9850337072699098"/>
    <n v="0.69971775331639852"/>
    <n v="0.69971775331639852"/>
    <n v="1.4953048223249407E-2"/>
    <n v="150.10536779324056"/>
    <n v="0.55448127888958054"/>
    <n v="9.27"/>
  </r>
  <r>
    <x v="214"/>
    <x v="107"/>
    <x v="0"/>
    <x v="1"/>
    <x v="0"/>
    <n v="11884"/>
    <n v="10925.6"/>
    <n v="10808.5"/>
    <n v="117.1"/>
    <n v="11094.7"/>
    <n v="0.11"/>
    <s v="None"/>
    <s v="Released"/>
    <s v="None"/>
    <n v="0"/>
    <n v="35.9"/>
    <n v="6102.3"/>
    <n v="7.06"/>
    <n v="0.91935375294513633"/>
    <n v="0.98624999999999996"/>
    <n v="0.93217110564779349"/>
    <n v="0.98928205315955187"/>
    <n v="0.90950016829350389"/>
    <n v="0.90950016829350389"/>
    <n v="1.0717946840448122E-2"/>
    <n v="304.33426183844011"/>
    <n v="0.5585322545214908"/>
    <n v="7.17"/>
  </r>
  <r>
    <x v="215"/>
    <x v="107"/>
    <x v="1"/>
    <x v="0"/>
    <x v="2"/>
    <n v="9190"/>
    <n v="6938.6"/>
    <n v="6363.7"/>
    <n v="574.9"/>
    <n v="7165"/>
    <n v="1.07"/>
    <s v="None"/>
    <s v="Rejected"/>
    <s v="Corrective"/>
    <n v="420.19"/>
    <n v="37"/>
    <n v="3259"/>
    <n v="7.18"/>
    <n v="0.75501632208922742"/>
    <n v="0.86624999999999996"/>
    <n v="0.87159171381151801"/>
    <n v="0.91714466895339108"/>
    <n v="0.69245919477693141"/>
    <n v="0.69245919477693141"/>
    <n v="8.2855331046608818E-2"/>
    <n v="187.52972972972975"/>
    <n v="0.46969129219150835"/>
    <n v="8.25"/>
  </r>
  <r>
    <x v="216"/>
    <x v="108"/>
    <x v="0"/>
    <x v="2"/>
    <x v="1"/>
    <n v="11158"/>
    <n v="8434.9"/>
    <n v="8297.2999999999993"/>
    <n v="137.6"/>
    <n v="8520.2999999999993"/>
    <n v="1.46"/>
    <s v="None"/>
    <s v="Released"/>
    <s v="None"/>
    <n v="0"/>
    <n v="40.1"/>
    <n v="4416.8999999999996"/>
    <n v="7.42"/>
    <n v="0.75595088725578052"/>
    <n v="0.8175"/>
    <n v="0.92471056545049612"/>
    <n v="0.98368682497717808"/>
    <n v="0.74361892812331953"/>
    <n v="0.74361892812331953"/>
    <n v="1.6313175022821848E-2"/>
    <n v="210.34663341645884"/>
    <n v="0.52364580492951895"/>
    <n v="8.879999999999999"/>
  </r>
  <r>
    <x v="217"/>
    <x v="108"/>
    <x v="1"/>
    <x v="2"/>
    <x v="1"/>
    <n v="10878"/>
    <n v="9096.6"/>
    <n v="8925.4"/>
    <n v="171.2"/>
    <n v="9394.7999999999993"/>
    <n v="0.81"/>
    <s v="None"/>
    <s v="Released"/>
    <s v="None"/>
    <n v="0"/>
    <n v="41.8"/>
    <n v="4856.3999999999996"/>
    <n v="7.68"/>
    <n v="0.83623827909542203"/>
    <n v="0.89874999999999994"/>
    <n v="0.93044592945248628"/>
    <n v="0.98117978145680795"/>
    <n v="0.82050009192866336"/>
    <n v="0.82050009192866336"/>
    <n v="1.882021854319196E-2"/>
    <n v="217.62200956937801"/>
    <n v="0.53386979750676067"/>
    <n v="8.49"/>
  </r>
  <r>
    <x v="218"/>
    <x v="109"/>
    <x v="0"/>
    <x v="1"/>
    <x v="0"/>
    <n v="11017"/>
    <n v="8870.4"/>
    <n v="8846.6"/>
    <n v="23.8"/>
    <n v="9042.7000000000007"/>
    <n v="1.1100000000000001"/>
    <s v="Equipment"/>
    <s v="Released"/>
    <s v="None"/>
    <n v="0"/>
    <n v="41.7"/>
    <n v="4535.3"/>
    <n v="6.9"/>
    <n v="0.80515566851229914"/>
    <n v="0.86124999999999996"/>
    <n v="0.93486870073997008"/>
    <n v="0.99731691919191923"/>
    <n v="0.80299537079059646"/>
    <n v="0.80299537079059635"/>
    <n v="2.6830808080808084E-3"/>
    <n v="212.71942446043164"/>
    <n v="0.51128472222222221"/>
    <n v="8.01"/>
  </r>
  <r>
    <x v="219"/>
    <x v="109"/>
    <x v="1"/>
    <x v="2"/>
    <x v="2"/>
    <n v="11414"/>
    <n v="7017.3"/>
    <n v="6905.3"/>
    <n v="111.9"/>
    <n v="7120.2"/>
    <n v="2.46"/>
    <s v="None"/>
    <s v="Released"/>
    <s v="Preventive"/>
    <n v="192.77"/>
    <n v="45.9"/>
    <n v="3845.6"/>
    <n v="7.39"/>
    <n v="0.61479761696162605"/>
    <n v="0.6925"/>
    <n v="0.88779439272436989"/>
    <n v="0.98403944537072663"/>
    <n v="0.60498510601016309"/>
    <n v="0.60498510601016298"/>
    <n v="1.594630413406866E-2"/>
    <n v="152.88235294117649"/>
    <n v="0.54801704359226477"/>
    <n v="9.85"/>
  </r>
  <r>
    <x v="220"/>
    <x v="110"/>
    <x v="0"/>
    <x v="2"/>
    <x v="0"/>
    <n v="10969"/>
    <n v="7324"/>
    <n v="7200.4"/>
    <n v="123.6"/>
    <n v="7442.9"/>
    <n v="2.2999999999999998"/>
    <s v="None"/>
    <s v="Released"/>
    <s v="None"/>
    <n v="0"/>
    <n v="42.5"/>
    <n v="4460"/>
    <n v="7.23"/>
    <n v="0.66769988148418269"/>
    <n v="0.71250000000000002"/>
    <n v="0.93712264067955464"/>
    <n v="0.98312397596941559"/>
    <n v="0.65643176223903721"/>
    <n v="0.65643176223903721"/>
    <n v="1.6876024030584379E-2"/>
    <n v="172.3294117647059"/>
    <n v="0.60895685417804479"/>
    <n v="9.5300000000000011"/>
  </r>
  <r>
    <x v="221"/>
    <x v="110"/>
    <x v="1"/>
    <x v="1"/>
    <x v="1"/>
    <n v="11967"/>
    <n v="10748"/>
    <n v="10558"/>
    <n v="190"/>
    <n v="10982.1"/>
    <n v="0.54"/>
    <s v="Documentation"/>
    <s v="Released"/>
    <s v="None"/>
    <n v="0"/>
    <n v="43.5"/>
    <n v="5856.2"/>
    <n v="7.21"/>
    <n v="0.89813654215760008"/>
    <n v="0.9325"/>
    <n v="0.96314910687142097"/>
    <n v="0.98232229251953851"/>
    <n v="0.88225954708782484"/>
    <n v="0.88225954708782484"/>
    <n v="1.767770748046148E-2"/>
    <n v="247.08045977011494"/>
    <n v="0.54486416077409749"/>
    <n v="7.75"/>
  </r>
  <r>
    <x v="222"/>
    <x v="111"/>
    <x v="0"/>
    <x v="1"/>
    <x v="2"/>
    <n v="10879"/>
    <n v="7371.6"/>
    <n v="7325.9"/>
    <n v="45.7"/>
    <n v="7454.5"/>
    <n v="2.27"/>
    <s v="None"/>
    <s v="Released"/>
    <s v="None"/>
    <n v="0"/>
    <n v="36.1"/>
    <n v="3599"/>
    <n v="6.99"/>
    <n v="0.67759904402978222"/>
    <n v="0.71625000000000005"/>
    <n v="0.94603705972744456"/>
    <n v="0.99380053177057892"/>
    <n v="0.67339829028403353"/>
    <n v="0.67339829028403342"/>
    <n v="6.1994682294210209E-3"/>
    <n v="204.19944598337949"/>
    <n v="0.48822508003689835"/>
    <n v="9.26"/>
  </r>
  <r>
    <x v="223"/>
    <x v="111"/>
    <x v="1"/>
    <x v="2"/>
    <x v="1"/>
    <n v="9388"/>
    <n v="6284.1"/>
    <n v="6223.6"/>
    <n v="60.5"/>
    <n v="6388.9"/>
    <n v="2.2000000000000002"/>
    <s v="None"/>
    <s v="Under Review"/>
    <s v="None"/>
    <n v="0"/>
    <n v="50.4"/>
    <n v="2888.9"/>
    <n v="7.24"/>
    <n v="0.66937579889220289"/>
    <n v="0.72499999999999998"/>
    <n v="0.9232769639892453"/>
    <n v="0.99037252749001448"/>
    <n v="0.66293140178951848"/>
    <n v="0.66293140178951859"/>
    <n v="9.6274725099855189E-3"/>
    <n v="124.68452380952382"/>
    <n v="0.45971579064623413"/>
    <n v="9.4400000000000013"/>
  </r>
  <r>
    <x v="224"/>
    <x v="112"/>
    <x v="0"/>
    <x v="1"/>
    <x v="1"/>
    <n v="10466"/>
    <n v="7684.1"/>
    <n v="7632.7"/>
    <n v="51.5"/>
    <n v="7890.3"/>
    <n v="1.56"/>
    <s v="Equipment"/>
    <s v="Released"/>
    <s v="Corrective"/>
    <n v="478.77"/>
    <n v="48.9"/>
    <n v="4261.8"/>
    <n v="7.5"/>
    <n v="0.73419644563347985"/>
    <n v="0.80499999999999994"/>
    <n v="0.91204527407885694"/>
    <n v="0.99331086269049074"/>
    <n v="0.72928530479648379"/>
    <n v="0.72928530479648379"/>
    <n v="6.702151195325412E-3"/>
    <n v="157.13905930470349"/>
    <n v="0.55462578571335619"/>
    <n v="9.06"/>
  </r>
  <r>
    <x v="225"/>
    <x v="112"/>
    <x v="1"/>
    <x v="1"/>
    <x v="0"/>
    <n v="9112"/>
    <n v="7893.6"/>
    <n v="7800.8"/>
    <n v="92.8"/>
    <n v="7987.6"/>
    <n v="0.61"/>
    <s v="None"/>
    <s v="Under Review"/>
    <s v="None"/>
    <n v="0"/>
    <n v="35"/>
    <n v="3943.8"/>
    <n v="6.81"/>
    <n v="0.86628621597892896"/>
    <n v="0.92374999999999996"/>
    <n v="0.93779292663483504"/>
    <n v="0.98824364041755342"/>
    <n v="0.85610184372256359"/>
    <n v="0.8561018437225637"/>
    <n v="1.1756359582446538E-2"/>
    <n v="225.53142857142859"/>
    <n v="0.49961994527211917"/>
    <n v="7.42"/>
  </r>
  <r>
    <x v="226"/>
    <x v="113"/>
    <x v="0"/>
    <x v="0"/>
    <x v="0"/>
    <n v="10971"/>
    <n v="7997.8"/>
    <n v="7856.6"/>
    <n v="141.19999999999999"/>
    <n v="8109.5"/>
    <n v="1.57"/>
    <s v="Material"/>
    <s v="Released"/>
    <s v="None"/>
    <n v="0"/>
    <n v="34.700000000000003"/>
    <n v="4370.5"/>
    <n v="7.56"/>
    <n v="0.7289946221857625"/>
    <n v="0.80374999999999996"/>
    <n v="0.90699175388586328"/>
    <n v="0.98234514491485159"/>
    <n v="0.71612432777322044"/>
    <n v="0.71612432777322033"/>
    <n v="1.7654855085148413E-2"/>
    <n v="230.48414985590776"/>
    <n v="0.54646277726374748"/>
    <n v="9.129999999999999"/>
  </r>
  <r>
    <x v="227"/>
    <x v="113"/>
    <x v="1"/>
    <x v="2"/>
    <x v="1"/>
    <n v="10048"/>
    <n v="9398.2999999999993"/>
    <n v="9216.2000000000007"/>
    <n v="182.1"/>
    <n v="9590.5"/>
    <n v="0"/>
    <s v="None"/>
    <s v="Released"/>
    <s v="None"/>
    <n v="0"/>
    <n v="42.2"/>
    <n v="4858.8999999999996"/>
    <n v="6.9"/>
    <n v="0.93534036624203809"/>
    <n v="1"/>
    <n v="0.93534036624203809"/>
    <n v="0.98062415543236559"/>
    <n v="0.91721735668789817"/>
    <n v="0.91721735668789817"/>
    <n v="1.9375844567634574E-2"/>
    <n v="222.70853080568716"/>
    <n v="0.51699775491312261"/>
    <n v="6.9"/>
  </r>
  <r>
    <x v="228"/>
    <x v="114"/>
    <x v="0"/>
    <x v="0"/>
    <x v="0"/>
    <n v="9192"/>
    <n v="6482.6"/>
    <n v="6380.2"/>
    <n v="102.4"/>
    <n v="6506.5"/>
    <n v="1.6"/>
    <s v="Equipment"/>
    <s v="Released"/>
    <s v="None"/>
    <n v="0"/>
    <n v="36.1"/>
    <n v="3221.4"/>
    <n v="6.66"/>
    <n v="0.70524369016536126"/>
    <n v="0.8"/>
    <n v="0.88155461270670143"/>
    <n v="0.98420386881806676"/>
    <n v="0.69410356832027842"/>
    <n v="0.69410356832027853"/>
    <n v="1.5796131181933175E-2"/>
    <n v="179.57340720221606"/>
    <n v="0.49693024403788599"/>
    <n v="8.26"/>
  </r>
  <r>
    <x v="229"/>
    <x v="114"/>
    <x v="1"/>
    <x v="2"/>
    <x v="1"/>
    <n v="11456"/>
    <n v="9961.1"/>
    <n v="9782.6"/>
    <n v="178.5"/>
    <n v="10080.299999999999"/>
    <n v="0.2"/>
    <s v="None"/>
    <s v="Released"/>
    <s v="Corrective"/>
    <n v="966.97"/>
    <n v="42.6"/>
    <n v="5291.4"/>
    <n v="7.81"/>
    <n v="0.8695094273743017"/>
    <n v="0.97499999999999998"/>
    <n v="0.89180454089671968"/>
    <n v="0.98208029233719163"/>
    <n v="0.85392807262569836"/>
    <n v="0.85392807262569836"/>
    <n v="1.7919707662808322E-2"/>
    <n v="233.82863849765258"/>
    <n v="0.53120639286825744"/>
    <n v="8.01"/>
  </r>
  <r>
    <x v="230"/>
    <x v="115"/>
    <x v="0"/>
    <x v="1"/>
    <x v="1"/>
    <n v="10710"/>
    <n v="8068.6"/>
    <n v="7974.8"/>
    <n v="93.8"/>
    <n v="8193"/>
    <n v="1.57"/>
    <s v="Equipment"/>
    <s v="Released"/>
    <s v="Corrective"/>
    <n v="535.05999999999995"/>
    <n v="46.9"/>
    <n v="4032.8"/>
    <n v="7.28"/>
    <n v="0.75337068160597576"/>
    <n v="0.80374999999999996"/>
    <n v="0.93731966607275374"/>
    <n v="0.98837468705847353"/>
    <n v="0.74461251167133524"/>
    <n v="0.74461251167133524"/>
    <n v="1.1625312941526409E-2"/>
    <n v="172.03837953091687"/>
    <n v="0.49981409414272615"/>
    <n v="8.85"/>
  </r>
  <r>
    <x v="231"/>
    <x v="115"/>
    <x v="1"/>
    <x v="2"/>
    <x v="0"/>
    <n v="11586"/>
    <n v="7718.7"/>
    <n v="7586.7"/>
    <n v="132.1"/>
    <n v="7809.3"/>
    <n v="5.63"/>
    <s v="Process"/>
    <s v="Released"/>
    <s v="None"/>
    <n v="0"/>
    <n v="40"/>
    <n v="3657.7"/>
    <n v="7.19"/>
    <n v="0.66620921802175037"/>
    <n v="0.29625000000000001"/>
    <n v="2.2488074869932499"/>
    <n v="0.9828986746472852"/>
    <n v="0.65481615743138266"/>
    <n v="0.65481615743138266"/>
    <n v="1.7114280902224468E-2"/>
    <n v="192.9675"/>
    <n v="0.47387513441382617"/>
    <n v="12.82"/>
  </r>
  <r>
    <x v="232"/>
    <x v="116"/>
    <x v="0"/>
    <x v="1"/>
    <x v="0"/>
    <n v="9841"/>
    <n v="6254"/>
    <n v="6142.4"/>
    <n v="111.7"/>
    <n v="6304.2"/>
    <n v="2.2400000000000002"/>
    <s v="None"/>
    <s v="Released"/>
    <s v="Corrective"/>
    <n v="892.1"/>
    <n v="39.299999999999997"/>
    <n v="3348.3"/>
    <n v="6.91"/>
    <n v="0.63550452189818107"/>
    <n v="0.72"/>
    <n v="0.88264516930302928"/>
    <n v="0.98215542053086025"/>
    <n v="0.62416421095417129"/>
    <n v="0.62416421095417129"/>
    <n v="1.7860569235689159E-2"/>
    <n v="159.13486005089061"/>
    <n v="0.53538535337384074"/>
    <n v="9.15"/>
  </r>
  <r>
    <x v="233"/>
    <x v="116"/>
    <x v="1"/>
    <x v="2"/>
    <x v="1"/>
    <n v="11929"/>
    <n v="9813.9"/>
    <n v="9739.9"/>
    <n v="73.900000000000006"/>
    <n v="10010.5"/>
    <n v="0"/>
    <s v="None"/>
    <s v="Released"/>
    <s v="Corrective"/>
    <n v="420.11"/>
    <n v="48.8"/>
    <n v="4617.8999999999996"/>
    <n v="6.77"/>
    <n v="0.82269259787073512"/>
    <n v="1"/>
    <n v="0.82269259787073512"/>
    <n v="0.9924596745432499"/>
    <n v="0.81648922793193057"/>
    <n v="0.81648922793193057"/>
    <n v="7.5301358277545119E-3"/>
    <n v="201.10450819672133"/>
    <n v="0.47054687738819428"/>
    <n v="6.77"/>
  </r>
  <r>
    <x v="234"/>
    <x v="117"/>
    <x v="0"/>
    <x v="2"/>
    <x v="2"/>
    <n v="9857"/>
    <n v="7224.7"/>
    <n v="7087.4"/>
    <n v="137.30000000000001"/>
    <n v="7349.6"/>
    <n v="1.73"/>
    <s v="None"/>
    <s v="Released"/>
    <s v="None"/>
    <n v="0"/>
    <n v="38"/>
    <n v="3971.3"/>
    <n v="6.61"/>
    <n v="0.73295120219133614"/>
    <n v="0.78374999999999995"/>
    <n v="0.93518494697459154"/>
    <n v="0.98099575068860989"/>
    <n v="0.71902201481180883"/>
    <n v="0.71902201481180883"/>
    <n v="1.9004249311390095E-2"/>
    <n v="190.12368421052631"/>
    <n v="0.54968372389164954"/>
    <n v="8.34"/>
  </r>
  <r>
    <x v="235"/>
    <x v="117"/>
    <x v="1"/>
    <x v="1"/>
    <x v="0"/>
    <n v="10983"/>
    <n v="6901.3"/>
    <n v="6887.3"/>
    <n v="14"/>
    <n v="7037.1"/>
    <n v="2.64"/>
    <s v="Process"/>
    <s v="Released"/>
    <s v="None"/>
    <n v="0"/>
    <n v="46.8"/>
    <n v="3665.1"/>
    <n v="6.53"/>
    <n v="0.62836201402166991"/>
    <n v="0.66999999999999993"/>
    <n v="0.9378537522711492"/>
    <n v="0.99797139669337664"/>
    <n v="0.62708731676226903"/>
    <n v="0.62708731676226903"/>
    <n v="2.0286033066233898E-3"/>
    <n v="147.46367521367523"/>
    <n v="0.53107385565038467"/>
    <n v="9.17"/>
  </r>
  <r>
    <x v="236"/>
    <x v="118"/>
    <x v="0"/>
    <x v="2"/>
    <x v="1"/>
    <n v="11314"/>
    <n v="7621.6"/>
    <n v="7182.2"/>
    <n v="439.4"/>
    <n v="7788.4"/>
    <n v="1.99"/>
    <s v="None"/>
    <s v="Rejected"/>
    <s v="Preventive"/>
    <n v="210.82"/>
    <n v="51.7"/>
    <n v="4162.8"/>
    <n v="7.83"/>
    <n v="0.67364327382004596"/>
    <n v="0.75124999999999997"/>
    <n v="0.89669653753084333"/>
    <n v="0.94234806339876132"/>
    <n v="0.63480643450592189"/>
    <n v="0.63480643450592189"/>
    <n v="5.7651936601238581E-2"/>
    <n v="147.41972920696324"/>
    <n v="0.54618452818305863"/>
    <n v="9.82"/>
  </r>
  <r>
    <x v="237"/>
    <x v="118"/>
    <x v="1"/>
    <x v="2"/>
    <x v="0"/>
    <n v="9024"/>
    <n v="6288.1"/>
    <n v="6214.5"/>
    <n v="73.599999999999994"/>
    <n v="6354.5"/>
    <n v="5.85"/>
    <s v="Equipment"/>
    <s v="Released"/>
    <s v="None"/>
    <n v="0"/>
    <n v="43.9"/>
    <n v="3217.6"/>
    <n v="7.45"/>
    <n v="0.69681959219858158"/>
    <n v="0.26875000000000004"/>
    <n v="2.5928170872505358"/>
    <n v="0.98829535153703019"/>
    <n v="0.68866356382978722"/>
    <n v="0.68866356382978722"/>
    <n v="1.1704648462969735E-2"/>
    <n v="143.23690205011391"/>
    <n v="0.51169669693548125"/>
    <n v="13.3"/>
  </r>
  <r>
    <x v="238"/>
    <x v="119"/>
    <x v="0"/>
    <x v="2"/>
    <x v="1"/>
    <n v="9852"/>
    <n v="7110.9"/>
    <n v="7065"/>
    <n v="45.9"/>
    <n v="7342.2"/>
    <n v="1.91"/>
    <s v="None"/>
    <s v="Released"/>
    <s v="None"/>
    <n v="0"/>
    <n v="43.5"/>
    <n v="3665.3"/>
    <n v="7.44"/>
    <n v="0.7217722289890377"/>
    <n v="0.76124999999999998"/>
    <n v="0.94814085909890011"/>
    <n v="0.99354512087077596"/>
    <n v="0.7171132764920829"/>
    <n v="0.71711327649208279"/>
    <n v="6.4548791292241489E-3"/>
    <n v="163.46896551724137"/>
    <n v="0.51544811486591013"/>
    <n v="9.35"/>
  </r>
  <r>
    <x v="239"/>
    <x v="119"/>
    <x v="1"/>
    <x v="1"/>
    <x v="1"/>
    <n v="9876"/>
    <n v="6107.5"/>
    <n v="6012.1"/>
    <n v="95.4"/>
    <n v="6180.5"/>
    <n v="3.91"/>
    <s v="Documentation"/>
    <s v="Released"/>
    <s v="None"/>
    <n v="0"/>
    <n v="38"/>
    <n v="3221.1"/>
    <n v="6.85"/>
    <n v="0.61841838801134064"/>
    <n v="0.51124999999999998"/>
    <n v="1.2096203188485881"/>
    <n v="0.98437986082685225"/>
    <n v="0.60875860672336979"/>
    <n v="0.60875860672336979"/>
    <n v="1.562013917314777E-2"/>
    <n v="160.72368421052633"/>
    <n v="0.52740073679901756"/>
    <n v="10.7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8037F7-D27E-4C11-85EF-8B0EB350E4ED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Production Line">
  <location ref="A1:G4" firstHeaderRow="0" firstDataRow="1" firstDataCol="1"/>
  <pivotFields count="30">
    <pivotField showAll="0">
      <items count="2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t="default"/>
      </items>
    </pivotField>
    <pivotField numFmtId="164" showAll="0">
      <items count="1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numFmtId="165" showAll="0"/>
    <pivotField numFmtId="165" showAll="0"/>
    <pivotField numFmtId="165" showAll="0"/>
    <pivotField numFmtId="165" showAll="0"/>
    <pivotField dataField="1" numFmtId="165" showAll="0"/>
    <pivotField numFmtId="165" showAll="0"/>
    <pivotField dataField="1" numFmtId="165" showAll="0"/>
    <pivotField numFmtId="166" showAll="0"/>
    <pivotField dataField="1" numFmtId="2" showAll="0"/>
    <pivotField numFmtId="2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OEE %" fld="22" subtotal="average" baseField="2" baseItem="0" numFmtId="10"/>
    <dataField name="Sum of Actual_Units" fld="6" baseField="0" baseItem="0" numFmtId="4"/>
    <dataField name="Sum of Downtime_hr" fld="10" baseField="0" baseItem="0"/>
    <dataField name="Average of Achievement_%" fld="18" subtotal="average" baseField="0" baseItem="0" numFmtId="10"/>
    <dataField name="Average of Energy_per_Unit" fld="26" subtotal="average" baseField="0" baseItem="0" numFmtId="2"/>
    <dataField name="Average of Reject_Rate_%" fld="24" subtotal="average" baseField="0" baseItem="0" numFmtId="10"/>
  </dataFields>
  <formats count="9">
    <format dxfId="57">
      <pivotArea type="all" dataOnly="0" outline="0" fieldPosition="0"/>
    </format>
    <format dxfId="56">
      <pivotArea outline="0" collapsedLevelsAreSubtotals="1" fieldPosition="0"/>
    </format>
    <format dxfId="55">
      <pivotArea field="2" type="button" dataOnly="0" labelOnly="1" outline="0" axis="axisRow" fieldPosition="0"/>
    </format>
    <format dxfId="54">
      <pivotArea dataOnly="0" labelOnly="1" grandRow="1" outline="0" fieldPosition="0"/>
    </format>
    <format dxfId="5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">
      <pivotArea outline="0" fieldPosition="0">
        <references count="1">
          <reference field="4294967294" count="1">
            <x v="3"/>
          </reference>
        </references>
      </pivotArea>
    </format>
    <format dxfId="10">
      <pivotArea outline="0" fieldPosition="0">
        <references count="1">
          <reference field="4294967294" count="1">
            <x v="4"/>
          </reference>
        </references>
      </pivotArea>
    </format>
    <format dxfId="9">
      <pivotArea outline="0" fieldPosition="0">
        <references count="1">
          <reference field="4294967294" count="1">
            <x v="1"/>
          </reference>
        </references>
      </pivotArea>
    </format>
    <format dxfId="8">
      <pivotArea outline="0" fieldPosition="0">
        <references count="1">
          <reference field="4294967294" count="1"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E350C2-6BF1-4FCB-9086-5569D9C92522}" name="PivotTable2" cacheId="8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 rowHeaderCaption="Shift">
  <location ref="A1:F5" firstHeaderRow="0" firstDataRow="1" firstDataCol="1"/>
  <pivotFields count="30">
    <pivotField subtotalTop="0" showAll="0"/>
    <pivotField numFmtId="164" subtotalTop="0" showAll="0">
      <items count="1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t="default"/>
      </items>
    </pivotField>
    <pivotField subtotalTop="0" showAll="0"/>
    <pivotField subtotalTop="0" showAll="0">
      <items count="4">
        <item x="2"/>
        <item x="1"/>
        <item x="0"/>
        <item t="default"/>
      </items>
    </pivotField>
    <pivotField axis="axisRow" subtotalTop="0" showAll="0">
      <items count="4">
        <item x="0"/>
        <item x="1"/>
        <item x="2"/>
        <item t="default"/>
      </items>
    </pivotField>
    <pivotField subtotalTop="0" showAll="0"/>
    <pivotField dataField="1" subtotalTop="0" showAll="0"/>
    <pivotField subtotalTop="0" showAll="0"/>
    <pivotField subtotalTop="0" showAll="0"/>
    <pivotField subtotalTop="0" showAll="0"/>
    <pivotField dataField="1"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dataField="1" numFmtId="165" subtotalTop="0" showAll="0"/>
    <pivotField numFmtId="165" subtotalTop="0" showAll="0"/>
    <pivotField numFmtId="165" subtotalTop="0" showAll="0"/>
    <pivotField numFmtId="165" subtotalTop="0" showAll="0"/>
    <pivotField dataField="1" numFmtId="165" subtotalTop="0" showAll="0"/>
    <pivotField numFmtId="165" subtotalTop="0" showAll="0"/>
    <pivotField dataField="1" numFmtId="165" subtotalTop="0" showAll="0"/>
    <pivotField numFmtId="166" subtotalTop="0" showAll="0"/>
    <pivotField numFmtId="2" subtotalTop="0" showAll="0"/>
    <pivotField numFmtId="2" subtotalTop="0" showAll="0"/>
    <pivotField subtotalTop="0" showAll="0"/>
    <pivotField subtotalTop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Actual Units" fld="6" baseField="0" baseItem="0" numFmtId="4"/>
    <dataField name="Average of Achievement_%" fld="18" subtotal="average" baseField="0" baseItem="0" numFmtId="10"/>
    <dataField name="Average of OEE_%" fld="22" subtotal="average" baseField="0" baseItem="0" numFmtId="10"/>
    <dataField name="Downtime hr" fld="10" baseField="4" baseItem="2"/>
    <dataField name="Average of Reject_Rate_%" fld="24" subtotal="average" baseField="0" baseItem="0" numFmtId="10"/>
  </dataFields>
  <formats count="12">
    <format dxfId="52">
      <pivotArea type="all" dataOnly="0" outline="0" fieldPosition="0"/>
    </format>
    <format dxfId="51">
      <pivotArea outline="0" collapsedLevelsAreSubtotals="1" fieldPosition="0"/>
    </format>
    <format dxfId="50">
      <pivotArea field="4" type="button" dataOnly="0" labelOnly="1" outline="0" axis="axisRow" fieldPosition="0"/>
    </format>
    <format dxfId="49">
      <pivotArea dataOnly="0" labelOnly="1" fieldPosition="0">
        <references count="1">
          <reference field="4" count="0"/>
        </references>
      </pivotArea>
    </format>
    <format dxfId="48">
      <pivotArea dataOnly="0" labelOnly="1" grandRow="1" outline="0" fieldPosition="0"/>
    </format>
    <format dxfId="47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46">
      <pivotArea type="all" dataOnly="0" outline="0" fieldPosition="0"/>
    </format>
    <format dxfId="45">
      <pivotArea field="4" type="button" dataOnly="0" labelOnly="1" outline="0" axis="axisRow" fieldPosition="0"/>
    </format>
    <format dxfId="44">
      <pivotArea dataOnly="0" labelOnly="1" fieldPosition="0">
        <references count="1">
          <reference field="4" count="0"/>
        </references>
      </pivotArea>
    </format>
    <format dxfId="43">
      <pivotArea dataOnly="0" labelOnly="1" grandRow="1" outline="0" fieldPosition="0"/>
    </format>
    <format dxfId="42">
      <pivotArea outline="0" collapsedLevelsAreSubtotals="1" fieldPosition="0"/>
    </format>
    <format dxfId="41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</formats>
  <pivotTableStyleInfo name="PivotStyleMedium8" showRowHeaders="0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7C63FB-B8BE-4D18-91B6-73B3EFC91091}" name="PivotTable3" cacheId="8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 chartFormat="18" rowHeaderCaption="Product">
  <location ref="A1:G5" firstHeaderRow="0" firstDataRow="1" firstDataCol="1"/>
  <pivotFields count="30">
    <pivotField subtotalTop="0" showAll="0"/>
    <pivotField numFmtId="164" subtotalTop="0" showAll="0">
      <items count="1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t="default"/>
      </items>
    </pivotField>
    <pivotField subtotalTop="0" showAll="0"/>
    <pivotField axis="axisRow" subtotalTop="0" showAll="0">
      <items count="4">
        <item x="2"/>
        <item x="1"/>
        <item x="0"/>
        <item t="default"/>
      </items>
    </pivotField>
    <pivotField subtotalTop="0" showAll="0">
      <items count="4">
        <item x="0"/>
        <item x="1"/>
        <item x="2"/>
        <item t="default"/>
      </items>
    </pivotField>
    <pivotField subtotalTop="0" showAll="0"/>
    <pivotField dataField="1"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dataField="1" numFmtId="165" subtotalTop="0" showAll="0"/>
    <pivotField numFmtId="165" subtotalTop="0" showAll="0"/>
    <pivotField numFmtId="165" subtotalTop="0" showAll="0"/>
    <pivotField numFmtId="165" subtotalTop="0" showAll="0"/>
    <pivotField dataField="1" numFmtId="165" subtotalTop="0" showAll="0"/>
    <pivotField dataField="1" numFmtId="165" subtotalTop="0" showAll="0"/>
    <pivotField dataField="1" numFmtId="165" subtotalTop="0" showAll="0"/>
    <pivotField numFmtId="166" subtotalTop="0" showAll="0"/>
    <pivotField dataField="1" numFmtId="2" subtotalTop="0" showAll="0"/>
    <pivotField numFmtId="2" subtotalTop="0" showAll="0"/>
    <pivotField subtotalTop="0" showAll="0"/>
    <pivotField subtotalTop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ctual Units" fld="6" baseField="0" baseItem="0" numFmtId="4"/>
    <dataField name="Average of Achievement_%" fld="18" subtotal="average" baseField="0" baseItem="0" numFmtId="10"/>
    <dataField name="Average of OEE_%" fld="22" subtotal="average" baseField="0" baseItem="0" numFmtId="10"/>
    <dataField name="Average of Reject_Rate_%" fld="24" subtotal="average" baseField="0" baseItem="0" numFmtId="10"/>
    <dataField name="Average of Yield_%" fld="23" subtotal="average" baseField="0" baseItem="0" numFmtId="10"/>
    <dataField name="Average of Energy_per_Unit" fld="26" subtotal="average" baseField="0" baseItem="0" numFmtId="4"/>
  </dataFields>
  <formats count="12">
    <format dxfId="12">
      <pivotArea type="all" dataOnly="0" outline="0" fieldPosition="0"/>
    </format>
    <format dxfId="13">
      <pivotArea outline="0" collapsedLevelsAreSubtotals="1" fieldPosition="0"/>
    </format>
    <format dxfId="14">
      <pivotArea field="4" type="button" dataOnly="0" labelOnly="1" outline="0"/>
    </format>
    <format dxfId="15">
      <pivotArea dataOnly="0" labelOnly="1" grandRow="1" outline="0" fieldPosition="0"/>
    </format>
    <format dxfId="16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7">
      <pivotArea type="all" dataOnly="0" outline="0" fieldPosition="0"/>
    </format>
    <format dxfId="18">
      <pivotArea field="4" type="button" dataOnly="0" labelOnly="1" outline="0"/>
    </format>
    <format dxfId="19">
      <pivotArea dataOnly="0" labelOnly="1" grandRow="1" outline="0" fieldPosition="0"/>
    </format>
    <format dxfId="20">
      <pivotArea outline="0" collapsedLevelsAreSubtotals="1" fieldPosition="0"/>
    </format>
    <format dxfId="21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2">
      <pivotArea outline="0" fieldPosition="0">
        <references count="1">
          <reference field="4294967294" count="1">
            <x v="4"/>
          </reference>
        </references>
      </pivotArea>
    </format>
    <format dxfId="23">
      <pivotArea outline="0" fieldPosition="0">
        <references count="1">
          <reference field="4294967294" count="1">
            <x v="5"/>
          </reference>
        </references>
      </pivotArea>
    </format>
  </formats>
  <chartFormats count="78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8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9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9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0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1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1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2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2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2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3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3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3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4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4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4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5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5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5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6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6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6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6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</chartFormats>
  <pivotTableStyleInfo name="PivotStyleMedium8" showRowHeaders="0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harmaProduction" displayName="PharmaProduction" ref="A4:AB244" headerRowDxfId="71" dataDxfId="69" totalsRowDxfId="70">
  <autoFilter ref="A4:AB244" xr:uid="{00000000-0009-0000-0100-000001000000}"/>
  <tableColumns count="28">
    <tableColumn id="1" xr3:uid="{00000000-0010-0000-0000-000001000000}" name="Batch_ID" dataDxfId="64"/>
    <tableColumn id="2" xr3:uid="{00000000-0010-0000-0000-000002000000}" name="Date" dataDxfId="65"/>
    <tableColumn id="3" xr3:uid="{00000000-0010-0000-0000-000003000000}" name="Production_Line" dataDxfId="63"/>
    <tableColumn id="4" xr3:uid="{00000000-0010-0000-0000-000004000000}" name="Product" dataDxfId="93"/>
    <tableColumn id="5" xr3:uid="{00000000-0010-0000-0000-000005000000}" name="Shift" dataDxfId="92"/>
    <tableColumn id="6" xr3:uid="{00000000-0010-0000-0000-000006000000}" name="Planned_Units" dataDxfId="91"/>
    <tableColumn id="7" xr3:uid="{00000000-0010-0000-0000-000007000000}" name="Actual_Units" dataDxfId="90"/>
    <tableColumn id="8" xr3:uid="{00000000-0010-0000-0000-000008000000}" name="Good_Units" dataDxfId="89"/>
    <tableColumn id="9" xr3:uid="{00000000-0010-0000-0000-000009000000}" name="Rejected_Units" dataDxfId="88"/>
    <tableColumn id="10" xr3:uid="{00000000-0010-0000-0000-00000A000000}" name="Material_Input_kg" dataDxfId="87"/>
    <tableColumn id="11" xr3:uid="{00000000-0010-0000-0000-00000B000000}" name="Downtime_hr" dataDxfId="86"/>
    <tableColumn id="12" xr3:uid="{00000000-0010-0000-0000-00000C000000}" name="Deviation_Type" dataDxfId="85"/>
    <tableColumn id="13" xr3:uid="{00000000-0010-0000-0000-00000D000000}" name="Batch_Status" dataDxfId="84"/>
    <tableColumn id="14" xr3:uid="{00000000-0010-0000-0000-00000E000000}" name="Maintenance_Type" dataDxfId="83"/>
    <tableColumn id="15" xr3:uid="{00000000-0010-0000-0000-00000F000000}" name="Maintenance_Cost_USD" dataDxfId="82"/>
    <tableColumn id="16" xr3:uid="{00000000-0010-0000-0000-000010000000}" name="Labor_Hours" dataDxfId="81"/>
    <tableColumn id="17" xr3:uid="{00000000-0010-0000-0000-000011000000}" name="Energy_kWh" dataDxfId="80"/>
    <tableColumn id="18" xr3:uid="{00000000-0010-0000-0000-000012000000}" name="Run_Hours" dataDxfId="79"/>
    <tableColumn id="19" xr3:uid="{00000000-0010-0000-0000-000013000000}" name="Achievement_%" dataDxfId="78">
      <calculatedColumnFormula>PharmaProduction[[#This Row],[Actual_Units]]/PharmaProduction[[#This Row],[Planned_Units]]</calculatedColumnFormula>
    </tableColumn>
    <tableColumn id="20" xr3:uid="{00000000-0010-0000-0000-000014000000}" name="Availability_%" dataDxfId="77">
      <calculatedColumnFormula>(8-PharmaProduction[[#This Row],[Downtime_hr]])/8</calculatedColumnFormula>
    </tableColumn>
    <tableColumn id="21" xr3:uid="{00000000-0010-0000-0000-000015000000}" name="Performance_%" dataDxfId="76">
      <calculatedColumnFormula>((PharmaProduction[[#This Row],[Actual_Units]]/(8-PharmaProduction[[#This Row],[Downtime_hr]]))*8)/(PharmaProduction[[#This Row],[Planned_Units]])</calculatedColumnFormula>
    </tableColumn>
    <tableColumn id="22" xr3:uid="{00000000-0010-0000-0000-000016000000}" name="Quality_%" dataDxfId="75">
      <calculatedColumnFormula>PharmaProduction[[#This Row],[Good_Units]]/PharmaProduction[[#This Row],[Actual_Units]]</calculatedColumnFormula>
    </tableColumn>
    <tableColumn id="23" xr3:uid="{00000000-0010-0000-0000-000017000000}" name="OEE_%" dataDxfId="74">
      <calculatedColumnFormula>PharmaProduction[[#This Row],[Availability_%]]*PharmaProduction[[#This Row],[Performance_%]]*PharmaProduction[[#This Row],[Quality_%]]</calculatedColumnFormula>
    </tableColumn>
    <tableColumn id="24" xr3:uid="{00000000-0010-0000-0000-000018000000}" name="Yield_%" dataDxfId="73">
      <calculatedColumnFormula>PharmaProduction[[#This Row],[Good_Units]]/PharmaProduction[[#This Row],[Planned_Units]]</calculatedColumnFormula>
    </tableColumn>
    <tableColumn id="25" xr3:uid="{00000000-0010-0000-0000-000019000000}" name="Reject_Rate_%" dataDxfId="72">
      <calculatedColumnFormula>PharmaProduction[[#This Row],[Rejected_Units]]/PharmaProduction[[#This Row],[Actual_Units]]</calculatedColumnFormula>
    </tableColumn>
    <tableColumn id="26" xr3:uid="{00000000-0010-0000-0000-00001A000000}" name="Units_per_Labor_Hour" dataDxfId="68">
      <calculatedColumnFormula>PharmaProduction[[#This Row],[Actual_Units]]/PharmaProduction[[#This Row],[Labor_Hours]]</calculatedColumnFormula>
    </tableColumn>
    <tableColumn id="27" xr3:uid="{00000000-0010-0000-0000-00001B000000}" name="Energy_per_Unit" dataDxfId="66">
      <calculatedColumnFormula>PharmaProduction[[#This Row],[Energy_kWh]]/PharmaProduction[[#This Row],[Actual_Units]]</calculatedColumnFormula>
    </tableColumn>
    <tableColumn id="28" xr3:uid="{00000000-0010-0000-0000-00001C000000}" name="Batch_Cycle_hr" dataDxfId="67">
      <calculatedColumnFormula>PharmaProduction[[#This Row],[Run_Hours]]+PharmaProduction[[#This Row],[Downtime_hr]]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eviationLog" displayName="DeviationLog" ref="A3:I62">
  <autoFilter ref="A3:I62" xr:uid="{00000000-0009-0000-0100-000002000000}"/>
  <tableColumns count="9">
    <tableColumn id="1" xr3:uid="{00000000-0010-0000-0100-000001000000}" name="Deviation_ID"/>
    <tableColumn id="2" xr3:uid="{00000000-0010-0000-0100-000002000000}" name="Date"/>
    <tableColumn id="3" xr3:uid="{00000000-0010-0000-0100-000003000000}" name="Batch_ID"/>
    <tableColumn id="4" xr3:uid="{00000000-0010-0000-0100-000004000000}" name="Production_Line"/>
    <tableColumn id="5" xr3:uid="{00000000-0010-0000-0100-000005000000}" name="Product"/>
    <tableColumn id="6" xr3:uid="{00000000-0010-0000-0100-000006000000}" name="Deviation_Type"/>
    <tableColumn id="7" xr3:uid="{00000000-0010-0000-0100-000007000000}" name="Severity"/>
    <tableColumn id="8" xr3:uid="{00000000-0010-0000-0100-000008000000}" name="Disposition"/>
    <tableColumn id="9" xr3:uid="{00000000-0010-0000-0100-000009000000}" name="Investigation_Hours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harmaMaintenance" displayName="PharmaMaintenance" ref="A3:J78">
  <autoFilter ref="A3:J78" xr:uid="{00000000-0009-0000-0100-000003000000}"/>
  <tableColumns count="10">
    <tableColumn id="1" xr3:uid="{00000000-0010-0000-0200-000001000000}" name="Maintenance_ID"/>
    <tableColumn id="2" xr3:uid="{00000000-0010-0000-0200-000002000000}" name="Date"/>
    <tableColumn id="3" xr3:uid="{00000000-0010-0000-0200-000003000000}" name="Batch_ID"/>
    <tableColumn id="4" xr3:uid="{00000000-0010-0000-0200-000004000000}" name="Production_Line"/>
    <tableColumn id="5" xr3:uid="{00000000-0010-0000-0200-000005000000}" name="Product"/>
    <tableColumn id="6" xr3:uid="{00000000-0010-0000-0200-000006000000}" name="Maintenance_Type"/>
    <tableColumn id="7" xr3:uid="{00000000-0010-0000-0200-000007000000}" name="Downtime_hr"/>
    <tableColumn id="8" xr3:uid="{00000000-0010-0000-0200-000008000000}" name="Technician_Hours"/>
    <tableColumn id="9" xr3:uid="{00000000-0010-0000-0200-000009000000}" name="Maintenance_Cost_USD"/>
    <tableColumn id="10" xr3:uid="{00000000-0010-0000-0200-00000A000000}" name="Status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F85B419-C62E-4B56-9220-98310AC74293}" name="Table6" displayName="Table6" ref="A4:B18" headerRowCount="0" totalsRowShown="0" headerRowDxfId="62">
  <tableColumns count="2">
    <tableColumn id="1" xr3:uid="{EDF9D023-6EAA-4B14-8B5E-D3563AED1B70}" name="Column1" headerRowDxfId="60" dataDxfId="59"/>
    <tableColumn id="2" xr3:uid="{05EA92FA-5C40-4C2D-A385-AE0C3895C382}" name="Column2" headerRowDxfId="61" dataDxfId="58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377C16C-5E2E-4858-9EF5-B4A381068843}" name="Table9" displayName="Table9" ref="A9:G11" totalsRowShown="0">
  <autoFilter ref="A9:G11" xr:uid="{B377C16C-5E2E-4858-9EF5-B4A381068843}"/>
  <tableColumns count="7">
    <tableColumn id="1" xr3:uid="{4B5960A2-093A-4EAC-B3F5-3D5DB7BA5664}" name="Production Line"/>
    <tableColumn id="2" xr3:uid="{6BB553C6-D2B5-4C55-879E-637A64983720}" name="OEE %" dataDxfId="7"/>
    <tableColumn id="3" xr3:uid="{C5525EFB-F95E-4168-8057-F0A6D2570E3D}" name="Sum of Actual_Units" dataDxfId="6"/>
    <tableColumn id="4" xr3:uid="{BD0E5903-B1E3-4EAB-86A8-41620EA7078E}" name="Sum of Downtime_hr"/>
    <tableColumn id="5" xr3:uid="{9D899E3C-1697-4DCE-AA1D-09D1C635F6E8}" name="Average of Achievement_%" dataDxfId="5"/>
    <tableColumn id="6" xr3:uid="{2E6B61B4-D465-4AFC-B3A5-84540D8FE800}" name="Average of Energy_per_Unit" dataDxfId="4"/>
    <tableColumn id="7" xr3:uid="{801B9811-9D27-401E-BDFB-EE9245B71450}" name="Average of Reject_Rate_%" dataDxfId="3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AC2F3EB-1995-4B72-B436-C9D30AEEAB59}" name="Table7" displayName="Table7" ref="A1:C6" totalsRowShown="0" headerRowDxfId="36" dataDxfId="37">
  <autoFilter ref="A1:C6" xr:uid="{5AC2F3EB-1995-4B72-B436-C9D30AEEAB59}"/>
  <tableColumns count="3">
    <tableColumn id="1" xr3:uid="{98FDAA03-6ED3-4366-A7A8-E76119A0BAE2}" name="Deviation Type" dataDxfId="40"/>
    <tableColumn id="2" xr3:uid="{129A014B-BCE7-4BAD-82B0-6A309C862175}" name="Events" dataDxfId="39">
      <calculatedColumnFormula>COUNTIF(DeviationLog[Deviation_Type],Table7[[#This Row],[Deviation Type]])</calculatedColumnFormula>
    </tableColumn>
    <tableColumn id="3" xr3:uid="{CD690DFC-CB74-4DCD-89DE-CC651DAD1D07}" name="Investigation Hours" dataDxfId="38">
      <calculatedColumnFormula>_xlfn.XLOOKUP(A2,DeviationLog[Deviation_Type],DeviationLog[Investigation_Hours],,0,1)</calculatedColumnFormula>
    </tableColumn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9FA7C1B-FB76-401F-AEF6-EC790F174F2B}" name="Table8" displayName="Table8" ref="A1:E5" totalsRowCount="1" headerRowDxfId="29" dataDxfId="30">
  <autoFilter ref="A1:E4" xr:uid="{39FA7C1B-FB76-401F-AEF6-EC790F174F2B}"/>
  <tableColumns count="5">
    <tableColumn id="1" xr3:uid="{E42A971C-9186-42F1-A67C-BDB717598DC4}" name="Maintenance Type" totalsRowLabel="Total" dataDxfId="35" totalsRowDxfId="28"/>
    <tableColumn id="2" xr3:uid="{5886249E-4FBE-403F-97DA-B02B1899F1DB}" name="Events" totalsRowFunction="custom" dataDxfId="34" totalsRowDxfId="27">
      <calculatedColumnFormula>COUNTIF(PharmaMaintenance[Maintenance_Type],$A2)</calculatedColumnFormula>
      <totalsRowFormula>SUM(Table8[Events])</totalsRowFormula>
    </tableColumn>
    <tableColumn id="3" xr3:uid="{17F28C81-73A5-47E6-87BE-8E0B1E4691F4}" name="Downtime hr" totalsRowFunction="sum" dataDxfId="33" totalsRowDxfId="26">
      <calculatedColumnFormula>SUMIF(PharmaMaintenance[Maintenance_Type],$A2,PharmaMaintenance[Downtime_hr])</calculatedColumnFormula>
    </tableColumn>
    <tableColumn id="4" xr3:uid="{5CA26545-63E7-45B2-B62A-2D3A5986CCE6}" name="Cost" totalsRowFunction="sum" dataDxfId="32" totalsRowDxfId="25">
      <calculatedColumnFormula>SUMIF(PharmaMaintenance[Maintenance_Type],$A2,PharmaMaintenance[Maintenance_Cost_USD])</calculatedColumnFormula>
    </tableColumn>
    <tableColumn id="5" xr3:uid="{9DE48704-7F4F-43B5-A4F7-86E5D48FB2BC}" name="Avg Tech Hours" totalsRowFunction="average" dataDxfId="31" totalsRowDxfId="24">
      <calculatedColumnFormula>AVERAGEIF(PharmaMaintenance[Maintenance_Type],$A2,PharmaMaintenance[Technician_Hours])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B244"/>
  <sheetViews>
    <sheetView workbookViewId="0">
      <pane xSplit="5" ySplit="10" topLeftCell="X11" activePane="bottomRight" state="frozen"/>
      <selection pane="topRight" activeCell="F1" sqref="F1"/>
      <selection pane="bottomLeft" activeCell="A11" sqref="A11"/>
      <selection pane="bottomRight" activeCell="L5" sqref="L5:L244"/>
    </sheetView>
  </sheetViews>
  <sheetFormatPr defaultRowHeight="15" x14ac:dyDescent="0.25"/>
  <cols>
    <col min="1" max="21" width="19" customWidth="1"/>
    <col min="22" max="22" width="13.85546875" customWidth="1"/>
    <col min="23" max="23" width="9.28515625" bestFit="1" customWidth="1"/>
    <col min="24" max="25" width="19" customWidth="1"/>
    <col min="26" max="26" width="23.42578125" bestFit="1" customWidth="1"/>
    <col min="27" max="27" width="18.28515625" bestFit="1" customWidth="1"/>
    <col min="28" max="28" width="16.85546875" bestFit="1" customWidth="1"/>
  </cols>
  <sheetData>
    <row r="1" spans="1:28" ht="23.25" x14ac:dyDescent="0.25">
      <c r="A1" s="6" t="s">
        <v>0</v>
      </c>
      <c r="B1" s="6"/>
      <c r="C1" s="6"/>
      <c r="D1" s="6"/>
      <c r="E1" s="6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5">
        <f>G5/(8-K5)</f>
        <v>1194.6802325581396</v>
      </c>
      <c r="T2" s="2">
        <f>S2*8</f>
        <v>9557.4418604651164</v>
      </c>
      <c r="U2" s="2">
        <f>G5/T2</f>
        <v>0.86</v>
      </c>
      <c r="V2" s="2"/>
      <c r="W2" s="2"/>
      <c r="X2" s="2"/>
      <c r="Y2" s="2"/>
      <c r="Z2" s="2"/>
      <c r="AA2" s="2"/>
      <c r="AB2" s="2"/>
    </row>
    <row r="3" spans="1:28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x14ac:dyDescent="0.25">
      <c r="A4" s="7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7" t="s">
        <v>9</v>
      </c>
      <c r="I4" s="7" t="s">
        <v>10</v>
      </c>
      <c r="J4" s="7" t="s">
        <v>11</v>
      </c>
      <c r="K4" s="7" t="s">
        <v>12</v>
      </c>
      <c r="L4" s="7" t="s">
        <v>13</v>
      </c>
      <c r="M4" s="7" t="s">
        <v>14</v>
      </c>
      <c r="N4" s="7" t="s">
        <v>15</v>
      </c>
      <c r="O4" s="7" t="s">
        <v>16</v>
      </c>
      <c r="P4" s="7" t="s">
        <v>17</v>
      </c>
      <c r="Q4" s="7" t="s">
        <v>18</v>
      </c>
      <c r="R4" s="7" t="s">
        <v>19</v>
      </c>
      <c r="S4" s="7" t="s">
        <v>20</v>
      </c>
      <c r="T4" s="7" t="s">
        <v>21</v>
      </c>
      <c r="U4" s="7" t="s">
        <v>22</v>
      </c>
      <c r="V4" s="7" t="s">
        <v>23</v>
      </c>
      <c r="W4" s="7" t="s">
        <v>24</v>
      </c>
      <c r="X4" s="7" t="s">
        <v>25</v>
      </c>
      <c r="Y4" s="7" t="s">
        <v>26</v>
      </c>
      <c r="Z4" s="7" t="s">
        <v>27</v>
      </c>
      <c r="AA4" s="7" t="s">
        <v>28</v>
      </c>
      <c r="AB4" s="7" t="s">
        <v>29</v>
      </c>
    </row>
    <row r="5" spans="1:28" x14ac:dyDescent="0.25">
      <c r="A5" s="9">
        <v>1</v>
      </c>
      <c r="B5" s="8">
        <v>46023</v>
      </c>
      <c r="C5" s="9" t="s">
        <v>30</v>
      </c>
      <c r="D5" s="9" t="s">
        <v>31</v>
      </c>
      <c r="E5" s="9" t="s">
        <v>32</v>
      </c>
      <c r="F5" s="9">
        <v>9808</v>
      </c>
      <c r="G5" s="9">
        <v>8219.4</v>
      </c>
      <c r="H5" s="9">
        <v>8130.4</v>
      </c>
      <c r="I5" s="9">
        <v>89</v>
      </c>
      <c r="J5" s="9">
        <v>8379.9</v>
      </c>
      <c r="K5" s="9">
        <v>1.1200000000000001</v>
      </c>
      <c r="L5" s="9" t="s">
        <v>33</v>
      </c>
      <c r="M5" s="9" t="s">
        <v>34</v>
      </c>
      <c r="N5" s="9" t="s">
        <v>33</v>
      </c>
      <c r="O5" s="9">
        <v>0</v>
      </c>
      <c r="P5" s="9">
        <v>46.7</v>
      </c>
      <c r="Q5" s="9">
        <v>4473.5</v>
      </c>
      <c r="R5" s="9">
        <v>7.59</v>
      </c>
      <c r="S5" s="10">
        <f>PharmaProduction[[#This Row],[Actual_Units]]/PharmaProduction[[#This Row],[Planned_Units]]</f>
        <v>0.83803017944535074</v>
      </c>
      <c r="T5" s="10">
        <f>(8-PharmaProduction[[#This Row],[Downtime_hr]])/8</f>
        <v>0.86</v>
      </c>
      <c r="U5" s="10">
        <f>((PharmaProduction[[#This Row],[Actual_Units]]/(8-PharmaProduction[[#This Row],[Downtime_hr]]))*8)/(PharmaProduction[[#This Row],[Planned_Units]])</f>
        <v>0.97445369702947759</v>
      </c>
      <c r="V5" s="10">
        <f>PharmaProduction[[#This Row],[Good_Units]]/PharmaProduction[[#This Row],[Actual_Units]]</f>
        <v>0.98917195902377297</v>
      </c>
      <c r="W5" s="10">
        <f>PharmaProduction[[#This Row],[Availability_%]]*PharmaProduction[[#This Row],[Performance_%]]*PharmaProduction[[#This Row],[Quality_%]]</f>
        <v>0.82895595432300162</v>
      </c>
      <c r="X5" s="10">
        <f>PharmaProduction[[#This Row],[Good_Units]]/PharmaProduction[[#This Row],[Planned_Units]]</f>
        <v>0.82895595432300162</v>
      </c>
      <c r="Y5" s="10">
        <f>PharmaProduction[[#This Row],[Rejected_Units]]/PharmaProduction[[#This Row],[Actual_Units]]</f>
        <v>1.0828040976226975E-2</v>
      </c>
      <c r="Z5" s="11">
        <f>PharmaProduction[[#This Row],[Actual_Units]]/PharmaProduction[[#This Row],[Labor_Hours]]</f>
        <v>176.00428265524624</v>
      </c>
      <c r="AA5" s="12">
        <f>PharmaProduction[[#This Row],[Energy_kWh]]/PharmaProduction[[#This Row],[Actual_Units]]</f>
        <v>0.5442611382825997</v>
      </c>
      <c r="AB5" s="12">
        <f>PharmaProduction[[#This Row],[Run_Hours]]+PharmaProduction[[#This Row],[Downtime_hr]]</f>
        <v>8.7100000000000009</v>
      </c>
    </row>
    <row r="6" spans="1:28" x14ac:dyDescent="0.25">
      <c r="A6" s="9">
        <v>2</v>
      </c>
      <c r="B6" s="8">
        <v>46023</v>
      </c>
      <c r="C6" s="9" t="s">
        <v>35</v>
      </c>
      <c r="D6" s="9" t="s">
        <v>36</v>
      </c>
      <c r="E6" s="9" t="s">
        <v>32</v>
      </c>
      <c r="F6" s="9">
        <v>11976</v>
      </c>
      <c r="G6" s="9">
        <v>10820.7</v>
      </c>
      <c r="H6" s="9">
        <v>10607.5</v>
      </c>
      <c r="I6" s="9">
        <v>213.3</v>
      </c>
      <c r="J6" s="9">
        <v>10966.1</v>
      </c>
      <c r="K6" s="9">
        <v>0.45</v>
      </c>
      <c r="L6" s="9" t="s">
        <v>33</v>
      </c>
      <c r="M6" s="9" t="s">
        <v>34</v>
      </c>
      <c r="N6" s="9" t="s">
        <v>37</v>
      </c>
      <c r="O6" s="9">
        <v>267.41000000000003</v>
      </c>
      <c r="P6" s="9">
        <v>47.5</v>
      </c>
      <c r="Q6" s="9">
        <v>5083.3</v>
      </c>
      <c r="R6" s="9">
        <v>7.99</v>
      </c>
      <c r="S6" s="10">
        <f>PharmaProduction[[#This Row],[Actual_Units]]/PharmaProduction[[#This Row],[Planned_Units]]</f>
        <v>0.9035320641282566</v>
      </c>
      <c r="T6" s="10">
        <f>(8-PharmaProduction[[#This Row],[Downtime_hr]])/8</f>
        <v>0.94374999999999998</v>
      </c>
      <c r="U6" s="10">
        <f>((PharmaProduction[[#This Row],[Actual_Units]]/(8-PharmaProduction[[#This Row],[Downtime_hr]]))*8)/(PharmaProduction[[#This Row],[Planned_Units]])</f>
        <v>0.95738496861272215</v>
      </c>
      <c r="V6" s="10">
        <f>PharmaProduction[[#This Row],[Good_Units]]/PharmaProduction[[#This Row],[Actual_Units]]</f>
        <v>0.98029702329793811</v>
      </c>
      <c r="W6" s="10">
        <f>PharmaProduction[[#This Row],[Availability_%]]*PharmaProduction[[#This Row],[Performance_%]]*PharmaProduction[[#This Row],[Quality_%]]</f>
        <v>0.88572979291917153</v>
      </c>
      <c r="X6" s="10">
        <f>PharmaProduction[[#This Row],[Good_Units]]/PharmaProduction[[#This Row],[Planned_Units]]</f>
        <v>0.88572979291917164</v>
      </c>
      <c r="Y6" s="10">
        <f>PharmaProduction[[#This Row],[Rejected_Units]]/PharmaProduction[[#This Row],[Actual_Units]]</f>
        <v>1.9712218248357314E-2</v>
      </c>
      <c r="Z6" s="11">
        <f>PharmaProduction[[#This Row],[Actual_Units]]/PharmaProduction[[#This Row],[Labor_Hours]]</f>
        <v>227.80421052631581</v>
      </c>
      <c r="AA6" s="12">
        <f>PharmaProduction[[#This Row],[Energy_kWh]]/PharmaProduction[[#This Row],[Actual_Units]]</f>
        <v>0.46977552284048163</v>
      </c>
      <c r="AB6" s="12">
        <f>PharmaProduction[[#This Row],[Run_Hours]]+PharmaProduction[[#This Row],[Downtime_hr]]</f>
        <v>8.44</v>
      </c>
    </row>
    <row r="7" spans="1:28" x14ac:dyDescent="0.25">
      <c r="A7" s="9">
        <v>3</v>
      </c>
      <c r="B7" s="8">
        <v>46024</v>
      </c>
      <c r="C7" s="9" t="s">
        <v>30</v>
      </c>
      <c r="D7" s="9" t="s">
        <v>38</v>
      </c>
      <c r="E7" s="9" t="s">
        <v>39</v>
      </c>
      <c r="F7" s="9">
        <v>9891</v>
      </c>
      <c r="G7" s="9">
        <v>8314.2999999999993</v>
      </c>
      <c r="H7" s="9">
        <v>8253.7999999999993</v>
      </c>
      <c r="I7" s="9">
        <v>60.5</v>
      </c>
      <c r="J7" s="9">
        <v>8475</v>
      </c>
      <c r="K7" s="9">
        <v>0.95</v>
      </c>
      <c r="L7" s="9" t="s">
        <v>33</v>
      </c>
      <c r="M7" s="9" t="s">
        <v>34</v>
      </c>
      <c r="N7" s="9" t="s">
        <v>33</v>
      </c>
      <c r="O7" s="9">
        <v>0</v>
      </c>
      <c r="P7" s="9">
        <v>45.8</v>
      </c>
      <c r="Q7" s="9">
        <v>4358.5</v>
      </c>
      <c r="R7" s="9">
        <v>6.59</v>
      </c>
      <c r="S7" s="10">
        <f>PharmaProduction[[#This Row],[Actual_Units]]/PharmaProduction[[#This Row],[Planned_Units]]</f>
        <v>0.84059245778990999</v>
      </c>
      <c r="T7" s="10">
        <f>(8-PharmaProduction[[#This Row],[Downtime_hr]])/8</f>
        <v>0.88124999999999998</v>
      </c>
      <c r="U7" s="10">
        <f>((PharmaProduction[[#This Row],[Actual_Units]]/(8-PharmaProduction[[#This Row],[Downtime_hr]]))*8)/(PharmaProduction[[#This Row],[Planned_Units]])</f>
        <v>0.95386378188925958</v>
      </c>
      <c r="V7" s="10">
        <f>PharmaProduction[[#This Row],[Good_Units]]/PharmaProduction[[#This Row],[Actual_Units]]</f>
        <v>0.99272338020037765</v>
      </c>
      <c r="W7" s="10">
        <f>PharmaProduction[[#This Row],[Availability_%]]*PharmaProduction[[#This Row],[Performance_%]]*PharmaProduction[[#This Row],[Quality_%]]</f>
        <v>0.83447578606814266</v>
      </c>
      <c r="X7" s="10">
        <f>PharmaProduction[[#This Row],[Good_Units]]/PharmaProduction[[#This Row],[Planned_Units]]</f>
        <v>0.83447578606814266</v>
      </c>
      <c r="Y7" s="10">
        <f>PharmaProduction[[#This Row],[Rejected_Units]]/PharmaProduction[[#This Row],[Actual_Units]]</f>
        <v>7.2766197996223378E-3</v>
      </c>
      <c r="Z7" s="11">
        <f>PharmaProduction[[#This Row],[Actual_Units]]/PharmaProduction[[#This Row],[Labor_Hours]]</f>
        <v>181.53493449781658</v>
      </c>
      <c r="AA7" s="12">
        <f>PharmaProduction[[#This Row],[Energy_kWh]]/PharmaProduction[[#This Row],[Actual_Units]]</f>
        <v>0.5242173123413878</v>
      </c>
      <c r="AB7" s="12">
        <f>PharmaProduction[[#This Row],[Run_Hours]]+PharmaProduction[[#This Row],[Downtime_hr]]</f>
        <v>7.54</v>
      </c>
    </row>
    <row r="8" spans="1:28" x14ac:dyDescent="0.25">
      <c r="A8" s="9">
        <v>4</v>
      </c>
      <c r="B8" s="8">
        <v>46024</v>
      </c>
      <c r="C8" s="9" t="s">
        <v>35</v>
      </c>
      <c r="D8" s="9" t="s">
        <v>31</v>
      </c>
      <c r="E8" s="9" t="s">
        <v>39</v>
      </c>
      <c r="F8" s="9">
        <v>9523</v>
      </c>
      <c r="G8" s="9">
        <v>6660.6</v>
      </c>
      <c r="H8" s="9">
        <v>6048.2</v>
      </c>
      <c r="I8" s="9">
        <v>612.4</v>
      </c>
      <c r="J8" s="9">
        <v>6834.2</v>
      </c>
      <c r="K8" s="9">
        <v>2.0499999999999998</v>
      </c>
      <c r="L8" s="9" t="s">
        <v>40</v>
      </c>
      <c r="M8" s="9" t="s">
        <v>41</v>
      </c>
      <c r="N8" s="9" t="s">
        <v>33</v>
      </c>
      <c r="O8" s="9">
        <v>0</v>
      </c>
      <c r="P8" s="9">
        <v>46.9</v>
      </c>
      <c r="Q8" s="9">
        <v>3211.1</v>
      </c>
      <c r="R8" s="9">
        <v>6.74</v>
      </c>
      <c r="S8" s="10">
        <f>PharmaProduction[[#This Row],[Actual_Units]]/PharmaProduction[[#This Row],[Planned_Units]]</f>
        <v>0.69942245090832722</v>
      </c>
      <c r="T8" s="10">
        <f>(8-PharmaProduction[[#This Row],[Downtime_hr]])/8</f>
        <v>0.74375000000000002</v>
      </c>
      <c r="U8" s="10">
        <f>((PharmaProduction[[#This Row],[Actual_Units]]/(8-PharmaProduction[[#This Row],[Downtime_hr]]))*8)/(PharmaProduction[[#This Row],[Planned_Units]])</f>
        <v>0.94039993399438959</v>
      </c>
      <c r="V8" s="10">
        <f>PharmaProduction[[#This Row],[Good_Units]]/PharmaProduction[[#This Row],[Actual_Units]]</f>
        <v>0.9080563312614478</v>
      </c>
      <c r="W8" s="10">
        <f>PharmaProduction[[#This Row],[Availability_%]]*PharmaProduction[[#This Row],[Performance_%]]*PharmaProduction[[#This Row],[Quality_%]]</f>
        <v>0.63511498477370576</v>
      </c>
      <c r="X8" s="10">
        <f>PharmaProduction[[#This Row],[Good_Units]]/PharmaProduction[[#This Row],[Planned_Units]]</f>
        <v>0.63511498477370576</v>
      </c>
      <c r="Y8" s="10">
        <f>PharmaProduction[[#This Row],[Rejected_Units]]/PharmaProduction[[#This Row],[Actual_Units]]</f>
        <v>9.1943668738552073E-2</v>
      </c>
      <c r="Z8" s="11">
        <f>PharmaProduction[[#This Row],[Actual_Units]]/PharmaProduction[[#This Row],[Labor_Hours]]</f>
        <v>142.01705756929638</v>
      </c>
      <c r="AA8" s="12">
        <f>PharmaProduction[[#This Row],[Energy_kWh]]/PharmaProduction[[#This Row],[Actual_Units]]</f>
        <v>0.48210371438008581</v>
      </c>
      <c r="AB8" s="12">
        <f>PharmaProduction[[#This Row],[Run_Hours]]+PharmaProduction[[#This Row],[Downtime_hr]]</f>
        <v>8.7899999999999991</v>
      </c>
    </row>
    <row r="9" spans="1:28" x14ac:dyDescent="0.25">
      <c r="A9" s="9">
        <v>5</v>
      </c>
      <c r="B9" s="8">
        <v>46025</v>
      </c>
      <c r="C9" s="9" t="s">
        <v>30</v>
      </c>
      <c r="D9" s="9" t="s">
        <v>36</v>
      </c>
      <c r="E9" s="9" t="s">
        <v>39</v>
      </c>
      <c r="F9" s="9">
        <v>10977</v>
      </c>
      <c r="G9" s="9">
        <v>7777.8</v>
      </c>
      <c r="H9" s="9">
        <v>7656.7</v>
      </c>
      <c r="I9" s="9">
        <v>121.1</v>
      </c>
      <c r="J9" s="9">
        <v>7888.4</v>
      </c>
      <c r="K9" s="9">
        <v>2.2000000000000002</v>
      </c>
      <c r="L9" s="9" t="s">
        <v>33</v>
      </c>
      <c r="M9" s="9" t="s">
        <v>34</v>
      </c>
      <c r="N9" s="9" t="s">
        <v>33</v>
      </c>
      <c r="O9" s="9">
        <v>0</v>
      </c>
      <c r="P9" s="9">
        <v>43.5</v>
      </c>
      <c r="Q9" s="9">
        <v>4271.8999999999996</v>
      </c>
      <c r="R9" s="9">
        <v>7.34</v>
      </c>
      <c r="S9" s="10">
        <f>PharmaProduction[[#This Row],[Actual_Units]]/PharmaProduction[[#This Row],[Planned_Units]]</f>
        <v>0.70855424979502601</v>
      </c>
      <c r="T9" s="10">
        <f>(8-PharmaProduction[[#This Row],[Downtime_hr]])/8</f>
        <v>0.72499999999999998</v>
      </c>
      <c r="U9" s="10">
        <f>((PharmaProduction[[#This Row],[Actual_Units]]/(8-PharmaProduction[[#This Row],[Downtime_hr]]))*8)/(PharmaProduction[[#This Row],[Planned_Units]])</f>
        <v>0.9773162066138289</v>
      </c>
      <c r="V9" s="10">
        <f>PharmaProduction[[#This Row],[Good_Units]]/PharmaProduction[[#This Row],[Actual_Units]]</f>
        <v>0.98443004448558713</v>
      </c>
      <c r="W9" s="10">
        <f>PharmaProduction[[#This Row],[Availability_%]]*PharmaProduction[[#This Row],[Performance_%]]*PharmaProduction[[#This Row],[Quality_%]]</f>
        <v>0.69752209164616918</v>
      </c>
      <c r="X9" s="10">
        <f>PharmaProduction[[#This Row],[Good_Units]]/PharmaProduction[[#This Row],[Planned_Units]]</f>
        <v>0.6975220916461693</v>
      </c>
      <c r="Y9" s="10">
        <f>PharmaProduction[[#This Row],[Rejected_Units]]/PharmaProduction[[#This Row],[Actual_Units]]</f>
        <v>1.5569955514412814E-2</v>
      </c>
      <c r="Z9" s="11">
        <f>PharmaProduction[[#This Row],[Actual_Units]]/PharmaProduction[[#This Row],[Labor_Hours]]</f>
        <v>178.8</v>
      </c>
      <c r="AA9" s="12">
        <f>PharmaProduction[[#This Row],[Energy_kWh]]/PharmaProduction[[#This Row],[Actual_Units]]</f>
        <v>0.5492427164493815</v>
      </c>
      <c r="AB9" s="12">
        <f>PharmaProduction[[#This Row],[Run_Hours]]+PharmaProduction[[#This Row],[Downtime_hr]]</f>
        <v>9.5399999999999991</v>
      </c>
    </row>
    <row r="10" spans="1:28" x14ac:dyDescent="0.25">
      <c r="A10" s="9">
        <v>6</v>
      </c>
      <c r="B10" s="8">
        <v>46025</v>
      </c>
      <c r="C10" s="9" t="s">
        <v>35</v>
      </c>
      <c r="D10" s="9" t="s">
        <v>31</v>
      </c>
      <c r="E10" s="9" t="s">
        <v>42</v>
      </c>
      <c r="F10" s="9">
        <v>10595</v>
      </c>
      <c r="G10" s="9">
        <v>6699</v>
      </c>
      <c r="H10" s="9">
        <v>6201.9</v>
      </c>
      <c r="I10" s="9">
        <v>497.1</v>
      </c>
      <c r="J10" s="9">
        <v>6799.1</v>
      </c>
      <c r="K10" s="9">
        <v>2.6</v>
      </c>
      <c r="L10" s="9" t="s">
        <v>33</v>
      </c>
      <c r="M10" s="9" t="s">
        <v>41</v>
      </c>
      <c r="N10" s="9" t="s">
        <v>33</v>
      </c>
      <c r="O10" s="9">
        <v>0</v>
      </c>
      <c r="P10" s="9">
        <v>39.299999999999997</v>
      </c>
      <c r="Q10" s="9">
        <v>3682</v>
      </c>
      <c r="R10" s="9">
        <v>7.31</v>
      </c>
      <c r="S10" s="10">
        <f>PharmaProduction[[#This Row],[Actual_Units]]/PharmaProduction[[#This Row],[Planned_Units]]</f>
        <v>0.63227937706465309</v>
      </c>
      <c r="T10" s="10">
        <f>(8-PharmaProduction[[#This Row],[Downtime_hr]])/8</f>
        <v>0.67500000000000004</v>
      </c>
      <c r="U10" s="10">
        <f>((PharmaProduction[[#This Row],[Actual_Units]]/(8-PharmaProduction[[#This Row],[Downtime_hr]]))*8)/(PharmaProduction[[#This Row],[Planned_Units]])</f>
        <v>0.93671018824393049</v>
      </c>
      <c r="V10" s="10">
        <f>PharmaProduction[[#This Row],[Good_Units]]/PharmaProduction[[#This Row],[Actual_Units]]</f>
        <v>0.92579489476041199</v>
      </c>
      <c r="W10" s="10">
        <f>PharmaProduction[[#This Row],[Availability_%]]*PharmaProduction[[#This Row],[Performance_%]]*PharmaProduction[[#This Row],[Quality_%]]</f>
        <v>0.5853610193487494</v>
      </c>
      <c r="X10" s="10">
        <f>PharmaProduction[[#This Row],[Good_Units]]/PharmaProduction[[#This Row],[Planned_Units]]</f>
        <v>0.5853610193487494</v>
      </c>
      <c r="Y10" s="10">
        <f>PharmaProduction[[#This Row],[Rejected_Units]]/PharmaProduction[[#This Row],[Actual_Units]]</f>
        <v>7.4205105239587996E-2</v>
      </c>
      <c r="Z10" s="11">
        <f>PharmaProduction[[#This Row],[Actual_Units]]/PharmaProduction[[#This Row],[Labor_Hours]]</f>
        <v>170.4580152671756</v>
      </c>
      <c r="AA10" s="12">
        <f>PharmaProduction[[#This Row],[Energy_kWh]]/PharmaProduction[[#This Row],[Actual_Units]]</f>
        <v>0.54963427377220486</v>
      </c>
      <c r="AB10" s="12">
        <f>PharmaProduction[[#This Row],[Run_Hours]]+PharmaProduction[[#This Row],[Downtime_hr]]</f>
        <v>9.91</v>
      </c>
    </row>
    <row r="11" spans="1:28" x14ac:dyDescent="0.25">
      <c r="A11" s="9">
        <v>7</v>
      </c>
      <c r="B11" s="8">
        <v>46026</v>
      </c>
      <c r="C11" s="9" t="s">
        <v>30</v>
      </c>
      <c r="D11" s="9" t="s">
        <v>31</v>
      </c>
      <c r="E11" s="9" t="s">
        <v>39</v>
      </c>
      <c r="F11" s="9">
        <v>10507</v>
      </c>
      <c r="G11" s="9">
        <v>7714.1</v>
      </c>
      <c r="H11" s="9">
        <v>7563.9</v>
      </c>
      <c r="I11" s="9">
        <v>150.30000000000001</v>
      </c>
      <c r="J11" s="9">
        <v>7821.4</v>
      </c>
      <c r="K11" s="9">
        <v>1.62</v>
      </c>
      <c r="L11" s="9" t="s">
        <v>33</v>
      </c>
      <c r="M11" s="9" t="s">
        <v>34</v>
      </c>
      <c r="N11" s="9" t="s">
        <v>33</v>
      </c>
      <c r="O11" s="9">
        <v>0</v>
      </c>
      <c r="P11" s="9">
        <v>41.7</v>
      </c>
      <c r="Q11" s="9">
        <v>3644</v>
      </c>
      <c r="R11" s="9">
        <v>7.76</v>
      </c>
      <c r="S11" s="10">
        <f>PharmaProduction[[#This Row],[Actual_Units]]/PharmaProduction[[#This Row],[Planned_Units]]</f>
        <v>0.73418673265442091</v>
      </c>
      <c r="T11" s="10">
        <f>(8-PharmaProduction[[#This Row],[Downtime_hr]])/8</f>
        <v>0.79749999999999999</v>
      </c>
      <c r="U11" s="10">
        <f>((PharmaProduction[[#This Row],[Actual_Units]]/(8-PharmaProduction[[#This Row],[Downtime_hr]]))*8)/(PharmaProduction[[#This Row],[Planned_Units]])</f>
        <v>0.92061032307764379</v>
      </c>
      <c r="V11" s="10">
        <f>PharmaProduction[[#This Row],[Good_Units]]/PharmaProduction[[#This Row],[Actual_Units]]</f>
        <v>0.98052916088720643</v>
      </c>
      <c r="W11" s="10">
        <f>PharmaProduction[[#This Row],[Availability_%]]*PharmaProduction[[#This Row],[Performance_%]]*PharmaProduction[[#This Row],[Quality_%]]</f>
        <v>0.7198915009041591</v>
      </c>
      <c r="X11" s="10">
        <f>PharmaProduction[[#This Row],[Good_Units]]/PharmaProduction[[#This Row],[Planned_Units]]</f>
        <v>0.7198915009041591</v>
      </c>
      <c r="Y11" s="10">
        <f>PharmaProduction[[#This Row],[Rejected_Units]]/PharmaProduction[[#This Row],[Actual_Units]]</f>
        <v>1.9483802387835262E-2</v>
      </c>
      <c r="Z11" s="11">
        <f>PharmaProduction[[#This Row],[Actual_Units]]/PharmaProduction[[#This Row],[Labor_Hours]]</f>
        <v>184.99040767386091</v>
      </c>
      <c r="AA11" s="12">
        <f>PharmaProduction[[#This Row],[Energy_kWh]]/PharmaProduction[[#This Row],[Actual_Units]]</f>
        <v>0.47238174252343107</v>
      </c>
      <c r="AB11" s="12">
        <f>PharmaProduction[[#This Row],[Run_Hours]]+PharmaProduction[[#This Row],[Downtime_hr]]</f>
        <v>9.379999999999999</v>
      </c>
    </row>
    <row r="12" spans="1:28" x14ac:dyDescent="0.25">
      <c r="A12" s="9">
        <v>8</v>
      </c>
      <c r="B12" s="8">
        <v>46026</v>
      </c>
      <c r="C12" s="9" t="s">
        <v>35</v>
      </c>
      <c r="D12" s="9" t="s">
        <v>36</v>
      </c>
      <c r="E12" s="9" t="s">
        <v>32</v>
      </c>
      <c r="F12" s="9">
        <v>11813</v>
      </c>
      <c r="G12" s="9">
        <v>10964.6</v>
      </c>
      <c r="H12" s="9">
        <v>10762.7</v>
      </c>
      <c r="I12" s="9">
        <v>201.9</v>
      </c>
      <c r="J12" s="9">
        <v>11150.5</v>
      </c>
      <c r="K12" s="9">
        <v>0</v>
      </c>
      <c r="L12" s="9" t="s">
        <v>33</v>
      </c>
      <c r="M12" s="9" t="s">
        <v>34</v>
      </c>
      <c r="N12" s="9" t="s">
        <v>33</v>
      </c>
      <c r="O12" s="9">
        <v>0</v>
      </c>
      <c r="P12" s="9">
        <v>45.1</v>
      </c>
      <c r="Q12" s="9">
        <v>5921.5</v>
      </c>
      <c r="R12" s="9">
        <v>7.07</v>
      </c>
      <c r="S12" s="10">
        <f>PharmaProduction[[#This Row],[Actual_Units]]/PharmaProduction[[#This Row],[Planned_Units]]</f>
        <v>0.9281808177431643</v>
      </c>
      <c r="T12" s="10">
        <f>(8-PharmaProduction[[#This Row],[Downtime_hr]])/8</f>
        <v>1</v>
      </c>
      <c r="U12" s="10">
        <f>((PharmaProduction[[#This Row],[Actual_Units]]/(8-PharmaProduction[[#This Row],[Downtime_hr]]))*8)/(PharmaProduction[[#This Row],[Planned_Units]])</f>
        <v>0.9281808177431643</v>
      </c>
      <c r="V12" s="10">
        <f>PharmaProduction[[#This Row],[Good_Units]]/PharmaProduction[[#This Row],[Actual_Units]]</f>
        <v>0.98158619557485005</v>
      </c>
      <c r="W12" s="10">
        <f>PharmaProduction[[#This Row],[Availability_%]]*PharmaProduction[[#This Row],[Performance_%]]*PharmaProduction[[#This Row],[Quality_%]]</f>
        <v>0.9110894776940659</v>
      </c>
      <c r="X12" s="10">
        <f>PharmaProduction[[#This Row],[Good_Units]]/PharmaProduction[[#This Row],[Planned_Units]]</f>
        <v>0.9110894776940659</v>
      </c>
      <c r="Y12" s="10">
        <f>PharmaProduction[[#This Row],[Rejected_Units]]/PharmaProduction[[#This Row],[Actual_Units]]</f>
        <v>1.8413804425150029E-2</v>
      </c>
      <c r="Z12" s="11">
        <f>PharmaProduction[[#This Row],[Actual_Units]]/PharmaProduction[[#This Row],[Labor_Hours]]</f>
        <v>243.11751662971176</v>
      </c>
      <c r="AA12" s="12">
        <f>PharmaProduction[[#This Row],[Energy_kWh]]/PharmaProduction[[#This Row],[Actual_Units]]</f>
        <v>0.54005618080002915</v>
      </c>
      <c r="AB12" s="12">
        <f>PharmaProduction[[#This Row],[Run_Hours]]+PharmaProduction[[#This Row],[Downtime_hr]]</f>
        <v>7.07</v>
      </c>
    </row>
    <row r="13" spans="1:28" x14ac:dyDescent="0.25">
      <c r="A13" s="9">
        <v>9</v>
      </c>
      <c r="B13" s="8">
        <v>46027</v>
      </c>
      <c r="C13" s="9" t="s">
        <v>30</v>
      </c>
      <c r="D13" s="9" t="s">
        <v>36</v>
      </c>
      <c r="E13" s="9" t="s">
        <v>32</v>
      </c>
      <c r="F13" s="9">
        <v>10017</v>
      </c>
      <c r="G13" s="9">
        <v>8309.2999999999993</v>
      </c>
      <c r="H13" s="9">
        <v>8279.4</v>
      </c>
      <c r="I13" s="9">
        <v>29.9</v>
      </c>
      <c r="J13" s="9">
        <v>8373.4</v>
      </c>
      <c r="K13" s="9">
        <v>0.84</v>
      </c>
      <c r="L13" s="9" t="s">
        <v>33</v>
      </c>
      <c r="M13" s="9" t="s">
        <v>34</v>
      </c>
      <c r="N13" s="9" t="s">
        <v>33</v>
      </c>
      <c r="O13" s="9">
        <v>0</v>
      </c>
      <c r="P13" s="9">
        <v>43.5</v>
      </c>
      <c r="Q13" s="9">
        <v>4453.2</v>
      </c>
      <c r="R13" s="9">
        <v>7.6</v>
      </c>
      <c r="S13" s="10">
        <f>PharmaProduction[[#This Row],[Actual_Units]]/PharmaProduction[[#This Row],[Planned_Units]]</f>
        <v>0.82951981631226912</v>
      </c>
      <c r="T13" s="10">
        <f>(8-PharmaProduction[[#This Row],[Downtime_hr]])/8</f>
        <v>0.89500000000000002</v>
      </c>
      <c r="U13" s="10">
        <f>((PharmaProduction[[#This Row],[Actual_Units]]/(8-PharmaProduction[[#This Row],[Downtime_hr]]))*8)/(PharmaProduction[[#This Row],[Planned_Units]])</f>
        <v>0.9268377835891275</v>
      </c>
      <c r="V13" s="10">
        <f>PharmaProduction[[#This Row],[Good_Units]]/PharmaProduction[[#This Row],[Actual_Units]]</f>
        <v>0.9964016222786517</v>
      </c>
      <c r="W13" s="10">
        <f>PharmaProduction[[#This Row],[Availability_%]]*PharmaProduction[[#This Row],[Performance_%]]*PharmaProduction[[#This Row],[Quality_%]]</f>
        <v>0.82653489068583408</v>
      </c>
      <c r="X13" s="10">
        <f>PharmaProduction[[#This Row],[Good_Units]]/PharmaProduction[[#This Row],[Planned_Units]]</f>
        <v>0.82653489068583408</v>
      </c>
      <c r="Y13" s="10">
        <f>PharmaProduction[[#This Row],[Rejected_Units]]/PharmaProduction[[#This Row],[Actual_Units]]</f>
        <v>3.5983777213483689E-3</v>
      </c>
      <c r="Z13" s="11">
        <f>PharmaProduction[[#This Row],[Actual_Units]]/PharmaProduction[[#This Row],[Labor_Hours]]</f>
        <v>191.01839080459769</v>
      </c>
      <c r="AA13" s="12">
        <f>PharmaProduction[[#This Row],[Energy_kWh]]/PharmaProduction[[#This Row],[Actual_Units]]</f>
        <v>0.535929621027042</v>
      </c>
      <c r="AB13" s="12">
        <f>PharmaProduction[[#This Row],[Run_Hours]]+PharmaProduction[[#This Row],[Downtime_hr]]</f>
        <v>8.44</v>
      </c>
    </row>
    <row r="14" spans="1:28" x14ac:dyDescent="0.25">
      <c r="A14" s="9">
        <v>10</v>
      </c>
      <c r="B14" s="8">
        <v>46027</v>
      </c>
      <c r="C14" s="9" t="s">
        <v>35</v>
      </c>
      <c r="D14" s="9" t="s">
        <v>38</v>
      </c>
      <c r="E14" s="9" t="s">
        <v>39</v>
      </c>
      <c r="F14" s="9">
        <v>10586</v>
      </c>
      <c r="G14" s="9">
        <v>8446.4</v>
      </c>
      <c r="H14" s="9">
        <v>8348.5</v>
      </c>
      <c r="I14" s="9">
        <v>97.9</v>
      </c>
      <c r="J14" s="9">
        <v>8680.1</v>
      </c>
      <c r="K14" s="9">
        <v>1.0900000000000001</v>
      </c>
      <c r="L14" s="9" t="s">
        <v>33</v>
      </c>
      <c r="M14" s="9" t="s">
        <v>34</v>
      </c>
      <c r="N14" s="9" t="s">
        <v>33</v>
      </c>
      <c r="O14" s="9">
        <v>0</v>
      </c>
      <c r="P14" s="9">
        <v>44.2</v>
      </c>
      <c r="Q14" s="9">
        <v>4188.3</v>
      </c>
      <c r="R14" s="9">
        <v>7.65</v>
      </c>
      <c r="S14" s="10">
        <f>PharmaProduction[[#This Row],[Actual_Units]]/PharmaProduction[[#This Row],[Planned_Units]]</f>
        <v>0.79788399773285468</v>
      </c>
      <c r="T14" s="10">
        <f>(8-PharmaProduction[[#This Row],[Downtime_hr]])/8</f>
        <v>0.86375000000000002</v>
      </c>
      <c r="U14" s="10">
        <f>((PharmaProduction[[#This Row],[Actual_Units]]/(8-PharmaProduction[[#This Row],[Downtime_hr]]))*8)/(PharmaProduction[[#This Row],[Planned_Units]])</f>
        <v>0.92374413630431806</v>
      </c>
      <c r="V14" s="10">
        <f>PharmaProduction[[#This Row],[Good_Units]]/PharmaProduction[[#This Row],[Actual_Units]]</f>
        <v>0.9884092631180148</v>
      </c>
      <c r="W14" s="10">
        <f>PharmaProduction[[#This Row],[Availability_%]]*PharmaProduction[[#This Row],[Performance_%]]*PharmaProduction[[#This Row],[Quality_%]]</f>
        <v>0.78863593425278677</v>
      </c>
      <c r="X14" s="10">
        <f>PharmaProduction[[#This Row],[Good_Units]]/PharmaProduction[[#This Row],[Planned_Units]]</f>
        <v>0.78863593425278666</v>
      </c>
      <c r="Y14" s="10">
        <f>PharmaProduction[[#This Row],[Rejected_Units]]/PharmaProduction[[#This Row],[Actual_Units]]</f>
        <v>1.1590736881985225E-2</v>
      </c>
      <c r="Z14" s="11">
        <f>PharmaProduction[[#This Row],[Actual_Units]]/PharmaProduction[[#This Row],[Labor_Hours]]</f>
        <v>191.09502262443436</v>
      </c>
      <c r="AA14" s="12">
        <f>PharmaProduction[[#This Row],[Energy_kWh]]/PharmaProduction[[#This Row],[Actual_Units]]</f>
        <v>0.49586806213297979</v>
      </c>
      <c r="AB14" s="12">
        <f>PharmaProduction[[#This Row],[Run_Hours]]+PharmaProduction[[#This Row],[Downtime_hr]]</f>
        <v>8.74</v>
      </c>
    </row>
    <row r="15" spans="1:28" x14ac:dyDescent="0.25">
      <c r="A15" s="9">
        <v>11</v>
      </c>
      <c r="B15" s="8">
        <v>46028</v>
      </c>
      <c r="C15" s="9" t="s">
        <v>30</v>
      </c>
      <c r="D15" s="9" t="s">
        <v>38</v>
      </c>
      <c r="E15" s="9" t="s">
        <v>42</v>
      </c>
      <c r="F15" s="9">
        <v>11476</v>
      </c>
      <c r="G15" s="9">
        <v>8447.5</v>
      </c>
      <c r="H15" s="9">
        <v>8330.1</v>
      </c>
      <c r="I15" s="9">
        <v>117.5</v>
      </c>
      <c r="J15" s="9">
        <v>8546.2000000000007</v>
      </c>
      <c r="K15" s="9">
        <v>1.63</v>
      </c>
      <c r="L15" s="9" t="s">
        <v>33</v>
      </c>
      <c r="M15" s="9" t="s">
        <v>34</v>
      </c>
      <c r="N15" s="9" t="s">
        <v>33</v>
      </c>
      <c r="O15" s="9">
        <v>0</v>
      </c>
      <c r="P15" s="9">
        <v>32.6</v>
      </c>
      <c r="Q15" s="9">
        <v>4209.3</v>
      </c>
      <c r="R15" s="9">
        <v>6.59</v>
      </c>
      <c r="S15" s="10">
        <f>PharmaProduction[[#This Row],[Actual_Units]]/PharmaProduction[[#This Row],[Planned_Units]]</f>
        <v>0.73610142906936216</v>
      </c>
      <c r="T15" s="10">
        <f>(8-PharmaProduction[[#This Row],[Downtime_hr]])/8</f>
        <v>0.79625000000000001</v>
      </c>
      <c r="U15" s="10">
        <f>((PharmaProduction[[#This Row],[Actual_Units]]/(8-PharmaProduction[[#This Row],[Downtime_hr]]))*8)/(PharmaProduction[[#This Row],[Planned_Units]])</f>
        <v>0.92446019349370445</v>
      </c>
      <c r="V15" s="10">
        <f>PharmaProduction[[#This Row],[Good_Units]]/PharmaProduction[[#This Row],[Actual_Units]]</f>
        <v>0.98610239715892278</v>
      </c>
      <c r="W15" s="10">
        <f>PharmaProduction[[#This Row],[Availability_%]]*PharmaProduction[[#This Row],[Performance_%]]*PharmaProduction[[#This Row],[Quality_%]]</f>
        <v>0.72587138375740679</v>
      </c>
      <c r="X15" s="10">
        <f>PharmaProduction[[#This Row],[Good_Units]]/PharmaProduction[[#This Row],[Planned_Units]]</f>
        <v>0.72587138375740679</v>
      </c>
      <c r="Y15" s="10">
        <f>PharmaProduction[[#This Row],[Rejected_Units]]/PharmaProduction[[#This Row],[Actual_Units]]</f>
        <v>1.3909440662918023E-2</v>
      </c>
      <c r="Z15" s="11">
        <f>PharmaProduction[[#This Row],[Actual_Units]]/PharmaProduction[[#This Row],[Labor_Hours]]</f>
        <v>259.12576687116564</v>
      </c>
      <c r="AA15" s="12">
        <f>PharmaProduction[[#This Row],[Energy_kWh]]/PharmaProduction[[#This Row],[Actual_Units]]</f>
        <v>0.49828943474400711</v>
      </c>
      <c r="AB15" s="12">
        <f>PharmaProduction[[#This Row],[Run_Hours]]+PharmaProduction[[#This Row],[Downtime_hr]]</f>
        <v>8.2199999999999989</v>
      </c>
    </row>
    <row r="16" spans="1:28" x14ac:dyDescent="0.25">
      <c r="A16" s="9">
        <v>12</v>
      </c>
      <c r="B16" s="8">
        <v>46028</v>
      </c>
      <c r="C16" s="9" t="s">
        <v>35</v>
      </c>
      <c r="D16" s="9" t="s">
        <v>31</v>
      </c>
      <c r="E16" s="9" t="s">
        <v>32</v>
      </c>
      <c r="F16" s="9">
        <v>11919</v>
      </c>
      <c r="G16" s="9">
        <v>8582.9</v>
      </c>
      <c r="H16" s="9">
        <v>8561</v>
      </c>
      <c r="I16" s="9">
        <v>21.9</v>
      </c>
      <c r="J16" s="9">
        <v>8688.2000000000007</v>
      </c>
      <c r="K16" s="9">
        <v>1.63</v>
      </c>
      <c r="L16" s="9" t="s">
        <v>33</v>
      </c>
      <c r="M16" s="9" t="s">
        <v>34</v>
      </c>
      <c r="N16" s="9" t="s">
        <v>37</v>
      </c>
      <c r="O16" s="9">
        <v>415.95</v>
      </c>
      <c r="P16" s="9">
        <v>48</v>
      </c>
      <c r="Q16" s="9">
        <v>4749.3999999999996</v>
      </c>
      <c r="R16" s="9">
        <v>7.74</v>
      </c>
      <c r="S16" s="10">
        <f>PharmaProduction[[#This Row],[Actual_Units]]/PharmaProduction[[#This Row],[Planned_Units]]</f>
        <v>0.72010235758033392</v>
      </c>
      <c r="T16" s="10">
        <f>(8-PharmaProduction[[#This Row],[Downtime_hr]])/8</f>
        <v>0.79625000000000001</v>
      </c>
      <c r="U16" s="10">
        <f>((PharmaProduction[[#This Row],[Actual_Units]]/(8-PharmaProduction[[#This Row],[Downtime_hr]]))*8)/(PharmaProduction[[#This Row],[Planned_Units]])</f>
        <v>0.90436716807577255</v>
      </c>
      <c r="V16" s="10">
        <f>PharmaProduction[[#This Row],[Good_Units]]/PharmaProduction[[#This Row],[Actual_Units]]</f>
        <v>0.99744841487143043</v>
      </c>
      <c r="W16" s="10">
        <f>PharmaProduction[[#This Row],[Availability_%]]*PharmaProduction[[#This Row],[Performance_%]]*PharmaProduction[[#This Row],[Quality_%]]</f>
        <v>0.71826495511368404</v>
      </c>
      <c r="X16" s="10">
        <f>PharmaProduction[[#This Row],[Good_Units]]/PharmaProduction[[#This Row],[Planned_Units]]</f>
        <v>0.71826495511368404</v>
      </c>
      <c r="Y16" s="10">
        <f>PharmaProduction[[#This Row],[Rejected_Units]]/PharmaProduction[[#This Row],[Actual_Units]]</f>
        <v>2.5515851285695976E-3</v>
      </c>
      <c r="Z16" s="11">
        <f>PharmaProduction[[#This Row],[Actual_Units]]/PharmaProduction[[#This Row],[Labor_Hours]]</f>
        <v>178.81041666666667</v>
      </c>
      <c r="AA16" s="12">
        <f>PharmaProduction[[#This Row],[Energy_kWh]]/PharmaProduction[[#This Row],[Actual_Units]]</f>
        <v>0.55335609176385603</v>
      </c>
      <c r="AB16" s="12">
        <f>PharmaProduction[[#This Row],[Run_Hours]]+PharmaProduction[[#This Row],[Downtime_hr]]</f>
        <v>9.370000000000001</v>
      </c>
    </row>
    <row r="17" spans="1:28" x14ac:dyDescent="0.25">
      <c r="A17" s="9">
        <v>13</v>
      </c>
      <c r="B17" s="8">
        <v>46029</v>
      </c>
      <c r="C17" s="9" t="s">
        <v>30</v>
      </c>
      <c r="D17" s="9" t="s">
        <v>36</v>
      </c>
      <c r="E17" s="9" t="s">
        <v>42</v>
      </c>
      <c r="F17" s="9">
        <v>10361</v>
      </c>
      <c r="G17" s="9">
        <v>8844.4</v>
      </c>
      <c r="H17" s="9">
        <v>8721.9</v>
      </c>
      <c r="I17" s="9">
        <v>122.4</v>
      </c>
      <c r="J17" s="9">
        <v>8946.2000000000007</v>
      </c>
      <c r="K17" s="9">
        <v>0.84</v>
      </c>
      <c r="L17" s="9" t="s">
        <v>33</v>
      </c>
      <c r="M17" s="9" t="s">
        <v>34</v>
      </c>
      <c r="N17" s="9" t="s">
        <v>33</v>
      </c>
      <c r="O17" s="9">
        <v>0</v>
      </c>
      <c r="P17" s="9">
        <v>33.5</v>
      </c>
      <c r="Q17" s="9">
        <v>4446.7</v>
      </c>
      <c r="R17" s="9">
        <v>7.07</v>
      </c>
      <c r="S17" s="10">
        <f>PharmaProduction[[#This Row],[Actual_Units]]/PharmaProduction[[#This Row],[Planned_Units]]</f>
        <v>0.85362416755139459</v>
      </c>
      <c r="T17" s="10">
        <f>(8-PharmaProduction[[#This Row],[Downtime_hr]])/8</f>
        <v>0.89500000000000002</v>
      </c>
      <c r="U17" s="10">
        <f>((PharmaProduction[[#This Row],[Actual_Units]]/(8-PharmaProduction[[#This Row],[Downtime_hr]]))*8)/(PharmaProduction[[#This Row],[Planned_Units]])</f>
        <v>0.95377001961049679</v>
      </c>
      <c r="V17" s="10">
        <f>PharmaProduction[[#This Row],[Good_Units]]/PharmaProduction[[#This Row],[Actual_Units]]</f>
        <v>0.98614942788657234</v>
      </c>
      <c r="W17" s="10">
        <f>PharmaProduction[[#This Row],[Availability_%]]*PharmaProduction[[#This Row],[Performance_%]]*PharmaProduction[[#This Row],[Quality_%]]</f>
        <v>0.84180098446095941</v>
      </c>
      <c r="X17" s="10">
        <f>PharmaProduction[[#This Row],[Good_Units]]/PharmaProduction[[#This Row],[Planned_Units]]</f>
        <v>0.8418009844609593</v>
      </c>
      <c r="Y17" s="10">
        <f>PharmaProduction[[#This Row],[Rejected_Units]]/PharmaProduction[[#This Row],[Actual_Units]]</f>
        <v>1.3839265523947358E-2</v>
      </c>
      <c r="Z17" s="11">
        <f>PharmaProduction[[#This Row],[Actual_Units]]/PharmaProduction[[#This Row],[Labor_Hours]]</f>
        <v>264.01194029850745</v>
      </c>
      <c r="AA17" s="12">
        <f>PharmaProduction[[#This Row],[Energy_kWh]]/PharmaProduction[[#This Row],[Actual_Units]]</f>
        <v>0.50277011442268549</v>
      </c>
      <c r="AB17" s="12">
        <f>PharmaProduction[[#This Row],[Run_Hours]]+PharmaProduction[[#This Row],[Downtime_hr]]</f>
        <v>7.91</v>
      </c>
    </row>
    <row r="18" spans="1:28" x14ac:dyDescent="0.25">
      <c r="A18" s="9">
        <v>14</v>
      </c>
      <c r="B18" s="8">
        <v>46029</v>
      </c>
      <c r="C18" s="9" t="s">
        <v>35</v>
      </c>
      <c r="D18" s="9" t="s">
        <v>38</v>
      </c>
      <c r="E18" s="9" t="s">
        <v>42</v>
      </c>
      <c r="F18" s="9">
        <v>11207</v>
      </c>
      <c r="G18" s="9">
        <v>9897.7000000000007</v>
      </c>
      <c r="H18" s="9">
        <v>9762.7999999999993</v>
      </c>
      <c r="I18" s="9">
        <v>134.9</v>
      </c>
      <c r="J18" s="9">
        <v>10069.299999999999</v>
      </c>
      <c r="K18" s="9">
        <v>0.61</v>
      </c>
      <c r="L18" s="9" t="s">
        <v>33</v>
      </c>
      <c r="M18" s="9" t="s">
        <v>34</v>
      </c>
      <c r="N18" s="9" t="s">
        <v>37</v>
      </c>
      <c r="O18" s="9">
        <v>341.27</v>
      </c>
      <c r="P18" s="9">
        <v>32.700000000000003</v>
      </c>
      <c r="Q18" s="9">
        <v>5309</v>
      </c>
      <c r="R18" s="9">
        <v>7.49</v>
      </c>
      <c r="S18" s="10">
        <f>PharmaProduction[[#This Row],[Actual_Units]]/PharmaProduction[[#This Row],[Planned_Units]]</f>
        <v>0.88317123226554839</v>
      </c>
      <c r="T18" s="10">
        <f>(8-PharmaProduction[[#This Row],[Downtime_hr]])/8</f>
        <v>0.92374999999999996</v>
      </c>
      <c r="U18" s="10">
        <f>((PharmaProduction[[#This Row],[Actual_Units]]/(8-PharmaProduction[[#This Row],[Downtime_hr]]))*8)/(PharmaProduction[[#This Row],[Planned_Units]])</f>
        <v>0.95607169934024183</v>
      </c>
      <c r="V18" s="10">
        <f>PharmaProduction[[#This Row],[Good_Units]]/PharmaProduction[[#This Row],[Actual_Units]]</f>
        <v>0.98637057094072345</v>
      </c>
      <c r="W18" s="10">
        <f>PharmaProduction[[#This Row],[Availability_%]]*PharmaProduction[[#This Row],[Performance_%]]*PharmaProduction[[#This Row],[Quality_%]]</f>
        <v>0.87113411260819129</v>
      </c>
      <c r="X18" s="10">
        <f>PharmaProduction[[#This Row],[Good_Units]]/PharmaProduction[[#This Row],[Planned_Units]]</f>
        <v>0.87113411260819129</v>
      </c>
      <c r="Y18" s="10">
        <f>PharmaProduction[[#This Row],[Rejected_Units]]/PharmaProduction[[#This Row],[Actual_Units]]</f>
        <v>1.3629429059276396E-2</v>
      </c>
      <c r="Z18" s="11">
        <f>PharmaProduction[[#This Row],[Actual_Units]]/PharmaProduction[[#This Row],[Labor_Hours]]</f>
        <v>302.68195718654437</v>
      </c>
      <c r="AA18" s="12">
        <f>PharmaProduction[[#This Row],[Energy_kWh]]/PharmaProduction[[#This Row],[Actual_Units]]</f>
        <v>0.53638724148034389</v>
      </c>
      <c r="AB18" s="12">
        <f>PharmaProduction[[#This Row],[Run_Hours]]+PharmaProduction[[#This Row],[Downtime_hr]]</f>
        <v>8.1</v>
      </c>
    </row>
    <row r="19" spans="1:28" x14ac:dyDescent="0.25">
      <c r="A19" s="9">
        <v>15</v>
      </c>
      <c r="B19" s="8">
        <v>46030</v>
      </c>
      <c r="C19" s="9" t="s">
        <v>30</v>
      </c>
      <c r="D19" s="9" t="s">
        <v>31</v>
      </c>
      <c r="E19" s="9" t="s">
        <v>32</v>
      </c>
      <c r="F19" s="9">
        <v>9249</v>
      </c>
      <c r="G19" s="9">
        <v>5916</v>
      </c>
      <c r="H19" s="9">
        <v>5825</v>
      </c>
      <c r="I19" s="9">
        <v>91.1</v>
      </c>
      <c r="J19" s="9">
        <v>6009.6</v>
      </c>
      <c r="K19" s="9">
        <v>2.4300000000000002</v>
      </c>
      <c r="L19" s="9" t="s">
        <v>33</v>
      </c>
      <c r="M19" s="9" t="s">
        <v>34</v>
      </c>
      <c r="N19" s="9" t="s">
        <v>37</v>
      </c>
      <c r="O19" s="9">
        <v>193.89</v>
      </c>
      <c r="P19" s="9">
        <v>47.2</v>
      </c>
      <c r="Q19" s="9">
        <v>3089</v>
      </c>
      <c r="R19" s="9">
        <v>7.64</v>
      </c>
      <c r="S19" s="10">
        <f>PharmaProduction[[#This Row],[Actual_Units]]/PharmaProduction[[#This Row],[Planned_Units]]</f>
        <v>0.63963671748297113</v>
      </c>
      <c r="T19" s="10">
        <f>(8-PharmaProduction[[#This Row],[Downtime_hr]])/8</f>
        <v>0.69625000000000004</v>
      </c>
      <c r="U19" s="10">
        <f>((PharmaProduction[[#This Row],[Actual_Units]]/(8-PharmaProduction[[#This Row],[Downtime_hr]]))*8)/(PharmaProduction[[#This Row],[Planned_Units]])</f>
        <v>0.91868828363801958</v>
      </c>
      <c r="V19" s="10">
        <f>PharmaProduction[[#This Row],[Good_Units]]/PharmaProduction[[#This Row],[Actual_Units]]</f>
        <v>0.98461798512508447</v>
      </c>
      <c r="W19" s="10">
        <f>PharmaProduction[[#This Row],[Availability_%]]*PharmaProduction[[#This Row],[Performance_%]]*PharmaProduction[[#This Row],[Quality_%]]</f>
        <v>0.62979781598010598</v>
      </c>
      <c r="X19" s="10">
        <f>PharmaProduction[[#This Row],[Good_Units]]/PharmaProduction[[#This Row],[Planned_Units]]</f>
        <v>0.62979781598010598</v>
      </c>
      <c r="Y19" s="10">
        <f>PharmaProduction[[#This Row],[Rejected_Units]]/PharmaProduction[[#This Row],[Actual_Units]]</f>
        <v>1.5398918187964841E-2</v>
      </c>
      <c r="Z19" s="11">
        <f>PharmaProduction[[#This Row],[Actual_Units]]/PharmaProduction[[#This Row],[Labor_Hours]]</f>
        <v>125.33898305084745</v>
      </c>
      <c r="AA19" s="12">
        <f>PharmaProduction[[#This Row],[Energy_kWh]]/PharmaProduction[[#This Row],[Actual_Units]]</f>
        <v>0.52214334009465857</v>
      </c>
      <c r="AB19" s="12">
        <f>PharmaProduction[[#This Row],[Run_Hours]]+PharmaProduction[[#This Row],[Downtime_hr]]</f>
        <v>10.07</v>
      </c>
    </row>
    <row r="20" spans="1:28" x14ac:dyDescent="0.25">
      <c r="A20" s="9">
        <v>16</v>
      </c>
      <c r="B20" s="8">
        <v>46030</v>
      </c>
      <c r="C20" s="9" t="s">
        <v>35</v>
      </c>
      <c r="D20" s="9" t="s">
        <v>36</v>
      </c>
      <c r="E20" s="9" t="s">
        <v>32</v>
      </c>
      <c r="F20" s="9">
        <v>11924</v>
      </c>
      <c r="G20" s="9">
        <v>7626.2</v>
      </c>
      <c r="H20" s="9">
        <v>7553.4</v>
      </c>
      <c r="I20" s="9">
        <v>72.8</v>
      </c>
      <c r="J20" s="9">
        <v>7760.7</v>
      </c>
      <c r="K20" s="9">
        <v>3.13</v>
      </c>
      <c r="L20" s="9" t="s">
        <v>43</v>
      </c>
      <c r="M20" s="9" t="s">
        <v>34</v>
      </c>
      <c r="N20" s="9" t="s">
        <v>33</v>
      </c>
      <c r="O20" s="9">
        <v>0</v>
      </c>
      <c r="P20" s="9">
        <v>40.4</v>
      </c>
      <c r="Q20" s="9">
        <v>3969.3</v>
      </c>
      <c r="R20" s="9">
        <v>7.27</v>
      </c>
      <c r="S20" s="10">
        <f>PharmaProduction[[#This Row],[Actual_Units]]/PharmaProduction[[#This Row],[Planned_Units]]</f>
        <v>0.63956725930895675</v>
      </c>
      <c r="T20" s="10">
        <f>(8-PharmaProduction[[#This Row],[Downtime_hr]])/8</f>
        <v>0.60875000000000001</v>
      </c>
      <c r="U20" s="10">
        <f>((PharmaProduction[[#This Row],[Actual_Units]]/(8-PharmaProduction[[#This Row],[Downtime_hr]]))*8)/(PharmaProduction[[#This Row],[Planned_Units]])</f>
        <v>1.0506238345937686</v>
      </c>
      <c r="V20" s="10">
        <f>PharmaProduction[[#This Row],[Good_Units]]/PharmaProduction[[#This Row],[Actual_Units]]</f>
        <v>0.99045396134378849</v>
      </c>
      <c r="W20" s="10">
        <f>PharmaProduction[[#This Row],[Availability_%]]*PharmaProduction[[#This Row],[Performance_%]]*PharmaProduction[[#This Row],[Quality_%]]</f>
        <v>0.63346192552834613</v>
      </c>
      <c r="X20" s="10">
        <f>PharmaProduction[[#This Row],[Good_Units]]/PharmaProduction[[#This Row],[Planned_Units]]</f>
        <v>0.63346192552834613</v>
      </c>
      <c r="Y20" s="10">
        <f>PharmaProduction[[#This Row],[Rejected_Units]]/PharmaProduction[[#This Row],[Actual_Units]]</f>
        <v>9.5460386562114807E-3</v>
      </c>
      <c r="Z20" s="11">
        <f>PharmaProduction[[#This Row],[Actual_Units]]/PharmaProduction[[#This Row],[Labor_Hours]]</f>
        <v>188.76732673267327</v>
      </c>
      <c r="AA20" s="12">
        <f>PharmaProduction[[#This Row],[Energy_kWh]]/PharmaProduction[[#This Row],[Actual_Units]]</f>
        <v>0.52048202250137687</v>
      </c>
      <c r="AB20" s="12">
        <f>PharmaProduction[[#This Row],[Run_Hours]]+PharmaProduction[[#This Row],[Downtime_hr]]</f>
        <v>10.399999999999999</v>
      </c>
    </row>
    <row r="21" spans="1:28" x14ac:dyDescent="0.25">
      <c r="A21" s="9">
        <v>17</v>
      </c>
      <c r="B21" s="8">
        <v>46031</v>
      </c>
      <c r="C21" s="9" t="s">
        <v>30</v>
      </c>
      <c r="D21" s="9" t="s">
        <v>36</v>
      </c>
      <c r="E21" s="9" t="s">
        <v>39</v>
      </c>
      <c r="F21" s="9">
        <v>9470</v>
      </c>
      <c r="G21" s="9">
        <v>7024.4</v>
      </c>
      <c r="H21" s="9">
        <v>6942.6</v>
      </c>
      <c r="I21" s="9">
        <v>81.7</v>
      </c>
      <c r="J21" s="9">
        <v>7185.1</v>
      </c>
      <c r="K21" s="9">
        <v>2</v>
      </c>
      <c r="L21" s="9" t="s">
        <v>33</v>
      </c>
      <c r="M21" s="9" t="s">
        <v>34</v>
      </c>
      <c r="N21" s="9" t="s">
        <v>33</v>
      </c>
      <c r="O21" s="9">
        <v>0</v>
      </c>
      <c r="P21" s="9">
        <v>44.2</v>
      </c>
      <c r="Q21" s="9">
        <v>3619.5</v>
      </c>
      <c r="R21" s="9">
        <v>7.91</v>
      </c>
      <c r="S21" s="10">
        <f>PharmaProduction[[#This Row],[Actual_Units]]/PharmaProduction[[#This Row],[Planned_Units]]</f>
        <v>0.74175290390707493</v>
      </c>
      <c r="T21" s="10">
        <f>(8-PharmaProduction[[#This Row],[Downtime_hr]])/8</f>
        <v>0.75</v>
      </c>
      <c r="U21" s="10">
        <f>((PharmaProduction[[#This Row],[Actual_Units]]/(8-PharmaProduction[[#This Row],[Downtime_hr]]))*8)/(PharmaProduction[[#This Row],[Planned_Units]])</f>
        <v>0.98900387187609995</v>
      </c>
      <c r="V21" s="10">
        <f>PharmaProduction[[#This Row],[Good_Units]]/PharmaProduction[[#This Row],[Actual_Units]]</f>
        <v>0.9883548772848928</v>
      </c>
      <c r="W21" s="10">
        <f>PharmaProduction[[#This Row],[Availability_%]]*PharmaProduction[[#This Row],[Performance_%]]*PharmaProduction[[#This Row],[Quality_%]]</f>
        <v>0.73311510031678995</v>
      </c>
      <c r="X21" s="10">
        <f>PharmaProduction[[#This Row],[Good_Units]]/PharmaProduction[[#This Row],[Planned_Units]]</f>
        <v>0.73311510031678995</v>
      </c>
      <c r="Y21" s="10">
        <f>PharmaProduction[[#This Row],[Rejected_Units]]/PharmaProduction[[#This Row],[Actual_Units]]</f>
        <v>1.1630886623768578E-2</v>
      </c>
      <c r="Z21" s="11">
        <f>PharmaProduction[[#This Row],[Actual_Units]]/PharmaProduction[[#This Row],[Labor_Hours]]</f>
        <v>158.92307692307691</v>
      </c>
      <c r="AA21" s="12">
        <f>PharmaProduction[[#This Row],[Energy_kWh]]/PharmaProduction[[#This Row],[Actual_Units]]</f>
        <v>0.51527532600649173</v>
      </c>
      <c r="AB21" s="12">
        <f>PharmaProduction[[#This Row],[Run_Hours]]+PharmaProduction[[#This Row],[Downtime_hr]]</f>
        <v>9.91</v>
      </c>
    </row>
    <row r="22" spans="1:28" x14ac:dyDescent="0.25">
      <c r="A22" s="9">
        <v>18</v>
      </c>
      <c r="B22" s="8">
        <v>46031</v>
      </c>
      <c r="C22" s="9" t="s">
        <v>35</v>
      </c>
      <c r="D22" s="9" t="s">
        <v>38</v>
      </c>
      <c r="E22" s="9" t="s">
        <v>39</v>
      </c>
      <c r="F22" s="9">
        <v>9633</v>
      </c>
      <c r="G22" s="9">
        <v>6310.7</v>
      </c>
      <c r="H22" s="9">
        <v>6232.3</v>
      </c>
      <c r="I22" s="9">
        <v>78.400000000000006</v>
      </c>
      <c r="J22" s="9">
        <v>6462.3</v>
      </c>
      <c r="K22" s="9">
        <v>4.03</v>
      </c>
      <c r="L22" s="9" t="s">
        <v>40</v>
      </c>
      <c r="M22" s="9" t="s">
        <v>34</v>
      </c>
      <c r="N22" s="9" t="s">
        <v>33</v>
      </c>
      <c r="O22" s="9">
        <v>0</v>
      </c>
      <c r="P22" s="9">
        <v>48.2</v>
      </c>
      <c r="Q22" s="9">
        <v>2985</v>
      </c>
      <c r="R22" s="9">
        <v>7.61</v>
      </c>
      <c r="S22" s="10">
        <f>PharmaProduction[[#This Row],[Actual_Units]]/PharmaProduction[[#This Row],[Planned_Units]]</f>
        <v>0.65511263365514372</v>
      </c>
      <c r="T22" s="10">
        <f>(8-PharmaProduction[[#This Row],[Downtime_hr]])/8</f>
        <v>0.49624999999999997</v>
      </c>
      <c r="U22" s="10">
        <f>((PharmaProduction[[#This Row],[Actual_Units]]/(8-PharmaProduction[[#This Row],[Downtime_hr]]))*8)/(PharmaProduction[[#This Row],[Planned_Units]])</f>
        <v>1.3201262139146475</v>
      </c>
      <c r="V22" s="10">
        <f>PharmaProduction[[#This Row],[Good_Units]]/PharmaProduction[[#This Row],[Actual_Units]]</f>
        <v>0.98757665552157448</v>
      </c>
      <c r="W22" s="10">
        <f>PharmaProduction[[#This Row],[Availability_%]]*PharmaProduction[[#This Row],[Performance_%]]*PharmaProduction[[#This Row],[Quality_%]]</f>
        <v>0.64697394373507733</v>
      </c>
      <c r="X22" s="10">
        <f>PharmaProduction[[#This Row],[Good_Units]]/PharmaProduction[[#This Row],[Planned_Units]]</f>
        <v>0.64697394373507733</v>
      </c>
      <c r="Y22" s="10">
        <f>PharmaProduction[[#This Row],[Rejected_Units]]/PharmaProduction[[#This Row],[Actual_Units]]</f>
        <v>1.2423344478425533E-2</v>
      </c>
      <c r="Z22" s="11">
        <f>PharmaProduction[[#This Row],[Actual_Units]]/PharmaProduction[[#This Row],[Labor_Hours]]</f>
        <v>130.92738589211618</v>
      </c>
      <c r="AA22" s="12">
        <f>PharmaProduction[[#This Row],[Energy_kWh]]/PharmaProduction[[#This Row],[Actual_Units]]</f>
        <v>0.47300616413393126</v>
      </c>
      <c r="AB22" s="12">
        <f>PharmaProduction[[#This Row],[Run_Hours]]+PharmaProduction[[#This Row],[Downtime_hr]]</f>
        <v>11.64</v>
      </c>
    </row>
    <row r="23" spans="1:28" x14ac:dyDescent="0.25">
      <c r="A23" s="9">
        <v>19</v>
      </c>
      <c r="B23" s="8">
        <v>46032</v>
      </c>
      <c r="C23" s="9" t="s">
        <v>30</v>
      </c>
      <c r="D23" s="9" t="s">
        <v>38</v>
      </c>
      <c r="E23" s="9" t="s">
        <v>39</v>
      </c>
      <c r="F23" s="9">
        <v>11020</v>
      </c>
      <c r="G23" s="9">
        <v>10068.4</v>
      </c>
      <c r="H23" s="9">
        <v>9913.2000000000007</v>
      </c>
      <c r="I23" s="9">
        <v>155.19999999999999</v>
      </c>
      <c r="J23" s="9">
        <v>10271.6</v>
      </c>
      <c r="K23" s="9">
        <v>0</v>
      </c>
      <c r="L23" s="9" t="s">
        <v>33</v>
      </c>
      <c r="M23" s="9" t="s">
        <v>34</v>
      </c>
      <c r="N23" s="9" t="s">
        <v>33</v>
      </c>
      <c r="O23" s="9">
        <v>0</v>
      </c>
      <c r="P23" s="9">
        <v>44.6</v>
      </c>
      <c r="Q23" s="9">
        <v>5211.7</v>
      </c>
      <c r="R23" s="9">
        <v>6.51</v>
      </c>
      <c r="S23" s="10">
        <f>PharmaProduction[[#This Row],[Actual_Units]]/PharmaProduction[[#This Row],[Planned_Units]]</f>
        <v>0.91364791288566238</v>
      </c>
      <c r="T23" s="10">
        <f>(8-PharmaProduction[[#This Row],[Downtime_hr]])/8</f>
        <v>1</v>
      </c>
      <c r="U23" s="10">
        <f>((PharmaProduction[[#This Row],[Actual_Units]]/(8-PharmaProduction[[#This Row],[Downtime_hr]]))*8)/(PharmaProduction[[#This Row],[Planned_Units]])</f>
        <v>0.91364791288566238</v>
      </c>
      <c r="V23" s="10">
        <f>PharmaProduction[[#This Row],[Good_Units]]/PharmaProduction[[#This Row],[Actual_Units]]</f>
        <v>0.98458543562035683</v>
      </c>
      <c r="W23" s="10">
        <f>PharmaProduction[[#This Row],[Availability_%]]*PharmaProduction[[#This Row],[Performance_%]]*PharmaProduction[[#This Row],[Quality_%]]</f>
        <v>0.89956442831215977</v>
      </c>
      <c r="X23" s="10">
        <f>PharmaProduction[[#This Row],[Good_Units]]/PharmaProduction[[#This Row],[Planned_Units]]</f>
        <v>0.89956442831215977</v>
      </c>
      <c r="Y23" s="10">
        <f>PharmaProduction[[#This Row],[Rejected_Units]]/PharmaProduction[[#This Row],[Actual_Units]]</f>
        <v>1.5414564379643239E-2</v>
      </c>
      <c r="Z23" s="11">
        <f>PharmaProduction[[#This Row],[Actual_Units]]/PharmaProduction[[#This Row],[Labor_Hours]]</f>
        <v>225.7488789237668</v>
      </c>
      <c r="AA23" s="12">
        <f>PharmaProduction[[#This Row],[Energy_kWh]]/PharmaProduction[[#This Row],[Actual_Units]]</f>
        <v>0.51762941480274915</v>
      </c>
      <c r="AB23" s="12">
        <f>PharmaProduction[[#This Row],[Run_Hours]]+PharmaProduction[[#This Row],[Downtime_hr]]</f>
        <v>6.51</v>
      </c>
    </row>
    <row r="24" spans="1:28" x14ac:dyDescent="0.25">
      <c r="A24" s="9">
        <v>20</v>
      </c>
      <c r="B24" s="8">
        <v>46032</v>
      </c>
      <c r="C24" s="9" t="s">
        <v>35</v>
      </c>
      <c r="D24" s="9" t="s">
        <v>31</v>
      </c>
      <c r="E24" s="9" t="s">
        <v>39</v>
      </c>
      <c r="F24" s="9">
        <v>9510</v>
      </c>
      <c r="G24" s="9">
        <v>7408.7</v>
      </c>
      <c r="H24" s="9">
        <v>7321.3</v>
      </c>
      <c r="I24" s="9">
        <v>87.3</v>
      </c>
      <c r="J24" s="9">
        <v>7464.2</v>
      </c>
      <c r="K24" s="9">
        <v>1.52</v>
      </c>
      <c r="L24" s="9" t="s">
        <v>33</v>
      </c>
      <c r="M24" s="9" t="s">
        <v>34</v>
      </c>
      <c r="N24" s="9" t="s">
        <v>33</v>
      </c>
      <c r="O24" s="9">
        <v>0</v>
      </c>
      <c r="P24" s="9">
        <v>38.299999999999997</v>
      </c>
      <c r="Q24" s="9">
        <v>3950.9</v>
      </c>
      <c r="R24" s="9">
        <v>7.48</v>
      </c>
      <c r="S24" s="10">
        <f>PharmaProduction[[#This Row],[Actual_Units]]/PharmaProduction[[#This Row],[Planned_Units]]</f>
        <v>0.77904311251314406</v>
      </c>
      <c r="T24" s="10">
        <f>(8-PharmaProduction[[#This Row],[Downtime_hr]])/8</f>
        <v>0.81</v>
      </c>
      <c r="U24" s="10">
        <f>((PharmaProduction[[#This Row],[Actual_Units]]/(8-PharmaProduction[[#This Row],[Downtime_hr]]))*8)/(PharmaProduction[[#This Row],[Planned_Units]])</f>
        <v>0.96178162038659765</v>
      </c>
      <c r="V24" s="10">
        <f>PharmaProduction[[#This Row],[Good_Units]]/PharmaProduction[[#This Row],[Actual_Units]]</f>
        <v>0.98820305856628021</v>
      </c>
      <c r="W24" s="10">
        <f>PharmaProduction[[#This Row],[Availability_%]]*PharmaProduction[[#This Row],[Performance_%]]*PharmaProduction[[#This Row],[Quality_%]]</f>
        <v>0.76985278654048384</v>
      </c>
      <c r="X24" s="10">
        <f>PharmaProduction[[#This Row],[Good_Units]]/PharmaProduction[[#This Row],[Planned_Units]]</f>
        <v>0.76985278654048372</v>
      </c>
      <c r="Y24" s="10">
        <f>PharmaProduction[[#This Row],[Rejected_Units]]/PharmaProduction[[#This Row],[Actual_Units]]</f>
        <v>1.1783443789058809E-2</v>
      </c>
      <c r="Z24" s="11">
        <f>PharmaProduction[[#This Row],[Actual_Units]]/PharmaProduction[[#This Row],[Labor_Hours]]</f>
        <v>193.43864229765015</v>
      </c>
      <c r="AA24" s="12">
        <f>PharmaProduction[[#This Row],[Energy_kWh]]/PharmaProduction[[#This Row],[Actual_Units]]</f>
        <v>0.53327844291171189</v>
      </c>
      <c r="AB24" s="12">
        <f>PharmaProduction[[#This Row],[Run_Hours]]+PharmaProduction[[#This Row],[Downtime_hr]]</f>
        <v>9</v>
      </c>
    </row>
    <row r="25" spans="1:28" x14ac:dyDescent="0.25">
      <c r="A25" s="9">
        <v>21</v>
      </c>
      <c r="B25" s="8">
        <v>46033</v>
      </c>
      <c r="C25" s="9" t="s">
        <v>30</v>
      </c>
      <c r="D25" s="9" t="s">
        <v>38</v>
      </c>
      <c r="E25" s="9" t="s">
        <v>32</v>
      </c>
      <c r="F25" s="9">
        <v>9096</v>
      </c>
      <c r="G25" s="9">
        <v>5808.7</v>
      </c>
      <c r="H25" s="9">
        <v>5775.8</v>
      </c>
      <c r="I25" s="9">
        <v>32.9</v>
      </c>
      <c r="J25" s="9">
        <v>5810.1</v>
      </c>
      <c r="K25" s="9">
        <v>2.4</v>
      </c>
      <c r="L25" s="9" t="s">
        <v>33</v>
      </c>
      <c r="M25" s="9" t="s">
        <v>34</v>
      </c>
      <c r="N25" s="9" t="s">
        <v>37</v>
      </c>
      <c r="O25" s="9">
        <v>428.9</v>
      </c>
      <c r="P25" s="9">
        <v>43.6</v>
      </c>
      <c r="Q25" s="9">
        <v>3043.8</v>
      </c>
      <c r="R25" s="9">
        <v>6.72</v>
      </c>
      <c r="S25" s="10">
        <f>PharmaProduction[[#This Row],[Actual_Units]]/PharmaProduction[[#This Row],[Planned_Units]]</f>
        <v>0.63859938434476693</v>
      </c>
      <c r="T25" s="10">
        <f>(8-PharmaProduction[[#This Row],[Downtime_hr]])/8</f>
        <v>0.7</v>
      </c>
      <c r="U25" s="10">
        <f>((PharmaProduction[[#This Row],[Actual_Units]]/(8-PharmaProduction[[#This Row],[Downtime_hr]]))*8)/(PharmaProduction[[#This Row],[Planned_Units]])</f>
        <v>0.91228483477823841</v>
      </c>
      <c r="V25" s="10">
        <f>PharmaProduction[[#This Row],[Good_Units]]/PharmaProduction[[#This Row],[Actual_Units]]</f>
        <v>0.994336082083771</v>
      </c>
      <c r="W25" s="10">
        <f>PharmaProduction[[#This Row],[Availability_%]]*PharmaProduction[[#This Row],[Performance_%]]*PharmaProduction[[#This Row],[Quality_%]]</f>
        <v>0.63498240985048371</v>
      </c>
      <c r="X25" s="10">
        <f>PharmaProduction[[#This Row],[Good_Units]]/PharmaProduction[[#This Row],[Planned_Units]]</f>
        <v>0.63498240985048371</v>
      </c>
      <c r="Y25" s="10">
        <f>PharmaProduction[[#This Row],[Rejected_Units]]/PharmaProduction[[#This Row],[Actual_Units]]</f>
        <v>5.6639179162291048E-3</v>
      </c>
      <c r="Z25" s="11">
        <f>PharmaProduction[[#This Row],[Actual_Units]]/PharmaProduction[[#This Row],[Labor_Hours]]</f>
        <v>133.22706422018348</v>
      </c>
      <c r="AA25" s="12">
        <f>PharmaProduction[[#This Row],[Energy_kWh]]/PharmaProduction[[#This Row],[Actual_Units]]</f>
        <v>0.52400709280906232</v>
      </c>
      <c r="AB25" s="12">
        <f>PharmaProduction[[#This Row],[Run_Hours]]+PharmaProduction[[#This Row],[Downtime_hr]]</f>
        <v>9.1199999999999992</v>
      </c>
    </row>
    <row r="26" spans="1:28" x14ac:dyDescent="0.25">
      <c r="A26" s="9">
        <v>22</v>
      </c>
      <c r="B26" s="8">
        <v>46033</v>
      </c>
      <c r="C26" s="9" t="s">
        <v>35</v>
      </c>
      <c r="D26" s="9" t="s">
        <v>38</v>
      </c>
      <c r="E26" s="9" t="s">
        <v>32</v>
      </c>
      <c r="F26" s="9">
        <v>10640</v>
      </c>
      <c r="G26" s="9">
        <v>8999.9</v>
      </c>
      <c r="H26" s="9">
        <v>8834.9</v>
      </c>
      <c r="I26" s="9">
        <v>165</v>
      </c>
      <c r="J26" s="9">
        <v>9007.7999999999993</v>
      </c>
      <c r="K26" s="9">
        <v>0</v>
      </c>
      <c r="L26" s="9" t="s">
        <v>33</v>
      </c>
      <c r="M26" s="9" t="s">
        <v>34</v>
      </c>
      <c r="N26" s="9" t="s">
        <v>33</v>
      </c>
      <c r="O26" s="9">
        <v>0</v>
      </c>
      <c r="P26" s="9">
        <v>39.299999999999997</v>
      </c>
      <c r="Q26" s="9">
        <v>4685.6000000000004</v>
      </c>
      <c r="R26" s="9">
        <v>6.73</v>
      </c>
      <c r="S26" s="10">
        <f>PharmaProduction[[#This Row],[Actual_Units]]/PharmaProduction[[#This Row],[Planned_Units]]</f>
        <v>0.84585526315789472</v>
      </c>
      <c r="T26" s="10">
        <f>(8-PharmaProduction[[#This Row],[Downtime_hr]])/8</f>
        <v>1</v>
      </c>
      <c r="U26" s="10">
        <f>((PharmaProduction[[#This Row],[Actual_Units]]/(8-PharmaProduction[[#This Row],[Downtime_hr]]))*8)/(PharmaProduction[[#This Row],[Planned_Units]])</f>
        <v>0.84585526315789472</v>
      </c>
      <c r="V26" s="10">
        <f>PharmaProduction[[#This Row],[Good_Units]]/PharmaProduction[[#This Row],[Actual_Units]]</f>
        <v>0.98166646296069959</v>
      </c>
      <c r="W26" s="10">
        <f>PharmaProduction[[#This Row],[Availability_%]]*PharmaProduction[[#This Row],[Performance_%]]*PharmaProduction[[#This Row],[Quality_%]]</f>
        <v>0.83034774436090231</v>
      </c>
      <c r="X26" s="10">
        <f>PharmaProduction[[#This Row],[Good_Units]]/PharmaProduction[[#This Row],[Planned_Units]]</f>
        <v>0.8303477443609022</v>
      </c>
      <c r="Y26" s="10">
        <f>PharmaProduction[[#This Row],[Rejected_Units]]/PharmaProduction[[#This Row],[Actual_Units]]</f>
        <v>1.8333537039300438E-2</v>
      </c>
      <c r="Z26" s="11">
        <f>PharmaProduction[[#This Row],[Actual_Units]]/PharmaProduction[[#This Row],[Labor_Hours]]</f>
        <v>229.00508905852419</v>
      </c>
      <c r="AA26" s="12">
        <f>PharmaProduction[[#This Row],[Energy_kWh]]/PharmaProduction[[#This Row],[Actual_Units]]</f>
        <v>0.52062800697785538</v>
      </c>
      <c r="AB26" s="12">
        <f>PharmaProduction[[#This Row],[Run_Hours]]+PharmaProduction[[#This Row],[Downtime_hr]]</f>
        <v>6.73</v>
      </c>
    </row>
    <row r="27" spans="1:28" x14ac:dyDescent="0.25">
      <c r="A27" s="9">
        <v>23</v>
      </c>
      <c r="B27" s="8">
        <v>46034</v>
      </c>
      <c r="C27" s="9" t="s">
        <v>30</v>
      </c>
      <c r="D27" s="9" t="s">
        <v>36</v>
      </c>
      <c r="E27" s="9" t="s">
        <v>42</v>
      </c>
      <c r="F27" s="9">
        <v>10652</v>
      </c>
      <c r="G27" s="9">
        <v>9304</v>
      </c>
      <c r="H27" s="9">
        <v>9140.5</v>
      </c>
      <c r="I27" s="9">
        <v>163.5</v>
      </c>
      <c r="J27" s="9">
        <v>9373</v>
      </c>
      <c r="K27" s="9">
        <v>0.31</v>
      </c>
      <c r="L27" s="9" t="s">
        <v>33</v>
      </c>
      <c r="M27" s="9" t="s">
        <v>34</v>
      </c>
      <c r="N27" s="9" t="s">
        <v>33</v>
      </c>
      <c r="O27" s="9">
        <v>0</v>
      </c>
      <c r="P27" s="9">
        <v>41.3</v>
      </c>
      <c r="Q27" s="9">
        <v>4648.8999999999996</v>
      </c>
      <c r="R27" s="9">
        <v>7.45</v>
      </c>
      <c r="S27" s="10">
        <f>PharmaProduction[[#This Row],[Actual_Units]]/PharmaProduction[[#This Row],[Planned_Units]]</f>
        <v>0.87345099511828761</v>
      </c>
      <c r="T27" s="10">
        <f>(8-PharmaProduction[[#This Row],[Downtime_hr]])/8</f>
        <v>0.96125000000000005</v>
      </c>
      <c r="U27" s="10">
        <f>((PharmaProduction[[#This Row],[Actual_Units]]/(8-PharmaProduction[[#This Row],[Downtime_hr]]))*8)/(PharmaProduction[[#This Row],[Planned_Units]])</f>
        <v>0.90866163341304307</v>
      </c>
      <c r="V27" s="10">
        <f>PharmaProduction[[#This Row],[Good_Units]]/PharmaProduction[[#This Row],[Actual_Units]]</f>
        <v>0.98242691315563202</v>
      </c>
      <c r="W27" s="10">
        <f>PharmaProduction[[#This Row],[Availability_%]]*PharmaProduction[[#This Row],[Performance_%]]*PharmaProduction[[#This Row],[Quality_%]]</f>
        <v>0.85810176492677437</v>
      </c>
      <c r="X27" s="10">
        <f>PharmaProduction[[#This Row],[Good_Units]]/PharmaProduction[[#This Row],[Planned_Units]]</f>
        <v>0.85810176492677437</v>
      </c>
      <c r="Y27" s="10">
        <f>PharmaProduction[[#This Row],[Rejected_Units]]/PharmaProduction[[#This Row],[Actual_Units]]</f>
        <v>1.7573086844368015E-2</v>
      </c>
      <c r="Z27" s="11">
        <f>PharmaProduction[[#This Row],[Actual_Units]]/PharmaProduction[[#This Row],[Labor_Hours]]</f>
        <v>225.27845036319613</v>
      </c>
      <c r="AA27" s="12">
        <f>PharmaProduction[[#This Row],[Energy_kWh]]/PharmaProduction[[#This Row],[Actual_Units]]</f>
        <v>0.4996668099742046</v>
      </c>
      <c r="AB27" s="12">
        <f>PharmaProduction[[#This Row],[Run_Hours]]+PharmaProduction[[#This Row],[Downtime_hr]]</f>
        <v>7.76</v>
      </c>
    </row>
    <row r="28" spans="1:28" x14ac:dyDescent="0.25">
      <c r="A28" s="9">
        <v>24</v>
      </c>
      <c r="B28" s="8">
        <v>46034</v>
      </c>
      <c r="C28" s="9" t="s">
        <v>35</v>
      </c>
      <c r="D28" s="9" t="s">
        <v>36</v>
      </c>
      <c r="E28" s="9" t="s">
        <v>42</v>
      </c>
      <c r="F28" s="9">
        <v>11471</v>
      </c>
      <c r="G28" s="9">
        <v>10365.299999999999</v>
      </c>
      <c r="H28" s="9">
        <v>10195.799999999999</v>
      </c>
      <c r="I28" s="9">
        <v>169.5</v>
      </c>
      <c r="J28" s="9">
        <v>10649</v>
      </c>
      <c r="K28" s="9">
        <v>0</v>
      </c>
      <c r="L28" s="9" t="s">
        <v>33</v>
      </c>
      <c r="M28" s="9" t="s">
        <v>34</v>
      </c>
      <c r="N28" s="9" t="s">
        <v>33</v>
      </c>
      <c r="O28" s="9">
        <v>0</v>
      </c>
      <c r="P28" s="9">
        <v>35.4</v>
      </c>
      <c r="Q28" s="9">
        <v>5692.8</v>
      </c>
      <c r="R28" s="9">
        <v>7.15</v>
      </c>
      <c r="S28" s="10">
        <f>PharmaProduction[[#This Row],[Actual_Units]]/PharmaProduction[[#This Row],[Planned_Units]]</f>
        <v>0.90360910121175131</v>
      </c>
      <c r="T28" s="10">
        <f>(8-PharmaProduction[[#This Row],[Downtime_hr]])/8</f>
        <v>1</v>
      </c>
      <c r="U28" s="10">
        <f>((PharmaProduction[[#This Row],[Actual_Units]]/(8-PharmaProduction[[#This Row],[Downtime_hr]]))*8)/(PharmaProduction[[#This Row],[Planned_Units]])</f>
        <v>0.90360910121175131</v>
      </c>
      <c r="V28" s="10">
        <f>PharmaProduction[[#This Row],[Good_Units]]/PharmaProduction[[#This Row],[Actual_Units]]</f>
        <v>0.98364736187085755</v>
      </c>
      <c r="W28" s="10">
        <f>PharmaProduction[[#This Row],[Availability_%]]*PharmaProduction[[#This Row],[Performance_%]]*PharmaProduction[[#This Row],[Quality_%]]</f>
        <v>0.88883270856943586</v>
      </c>
      <c r="X28" s="10">
        <f>PharmaProduction[[#This Row],[Good_Units]]/PharmaProduction[[#This Row],[Planned_Units]]</f>
        <v>0.88883270856943586</v>
      </c>
      <c r="Y28" s="10">
        <f>PharmaProduction[[#This Row],[Rejected_Units]]/PharmaProduction[[#This Row],[Actual_Units]]</f>
        <v>1.6352638129142429E-2</v>
      </c>
      <c r="Z28" s="11">
        <f>PharmaProduction[[#This Row],[Actual_Units]]/PharmaProduction[[#This Row],[Labor_Hours]]</f>
        <v>292.80508474576271</v>
      </c>
      <c r="AA28" s="12">
        <f>PharmaProduction[[#This Row],[Energy_kWh]]/PharmaProduction[[#This Row],[Actual_Units]]</f>
        <v>0.54921709936036589</v>
      </c>
      <c r="AB28" s="12">
        <f>PharmaProduction[[#This Row],[Run_Hours]]+PharmaProduction[[#This Row],[Downtime_hr]]</f>
        <v>7.15</v>
      </c>
    </row>
    <row r="29" spans="1:28" x14ac:dyDescent="0.25">
      <c r="A29" s="9">
        <v>25</v>
      </c>
      <c r="B29" s="8">
        <v>46035</v>
      </c>
      <c r="C29" s="9" t="s">
        <v>30</v>
      </c>
      <c r="D29" s="9" t="s">
        <v>36</v>
      </c>
      <c r="E29" s="9" t="s">
        <v>32</v>
      </c>
      <c r="F29" s="9">
        <v>9911</v>
      </c>
      <c r="G29" s="9">
        <v>8283.9</v>
      </c>
      <c r="H29" s="9">
        <v>8141.1</v>
      </c>
      <c r="I29" s="9">
        <v>142.69999999999999</v>
      </c>
      <c r="J29" s="9">
        <v>8419.9</v>
      </c>
      <c r="K29" s="9">
        <v>0.96</v>
      </c>
      <c r="L29" s="9" t="s">
        <v>33</v>
      </c>
      <c r="M29" s="9" t="s">
        <v>34</v>
      </c>
      <c r="N29" s="9" t="s">
        <v>37</v>
      </c>
      <c r="O29" s="9">
        <v>444.21</v>
      </c>
      <c r="P29" s="9">
        <v>47.2</v>
      </c>
      <c r="Q29" s="9">
        <v>4462</v>
      </c>
      <c r="R29" s="9">
        <v>7.52</v>
      </c>
      <c r="S29" s="10">
        <f>PharmaProduction[[#This Row],[Actual_Units]]/PharmaProduction[[#This Row],[Planned_Units]]</f>
        <v>0.83582887700534758</v>
      </c>
      <c r="T29" s="10">
        <f>(8-PharmaProduction[[#This Row],[Downtime_hr]])/8</f>
        <v>0.88</v>
      </c>
      <c r="U29" s="10">
        <f>((PharmaProduction[[#This Row],[Actual_Units]]/(8-PharmaProduction[[#This Row],[Downtime_hr]]))*8)/(PharmaProduction[[#This Row],[Planned_Units]])</f>
        <v>0.94980554205153123</v>
      </c>
      <c r="V29" s="10">
        <f>PharmaProduction[[#This Row],[Good_Units]]/PharmaProduction[[#This Row],[Actual_Units]]</f>
        <v>0.98276174265744409</v>
      </c>
      <c r="W29" s="10">
        <f>PharmaProduction[[#This Row],[Availability_%]]*PharmaProduction[[#This Row],[Performance_%]]*PharmaProduction[[#This Row],[Quality_%]]</f>
        <v>0.82142064372918977</v>
      </c>
      <c r="X29" s="10">
        <f>PharmaProduction[[#This Row],[Good_Units]]/PharmaProduction[[#This Row],[Planned_Units]]</f>
        <v>0.82142064372918988</v>
      </c>
      <c r="Y29" s="10">
        <f>PharmaProduction[[#This Row],[Rejected_Units]]/PharmaProduction[[#This Row],[Actual_Units]]</f>
        <v>1.7226185733772739E-2</v>
      </c>
      <c r="Z29" s="11">
        <f>PharmaProduction[[#This Row],[Actual_Units]]/PharmaProduction[[#This Row],[Labor_Hours]]</f>
        <v>175.50635593220338</v>
      </c>
      <c r="AA29" s="12">
        <f>PharmaProduction[[#This Row],[Energy_kWh]]/PharmaProduction[[#This Row],[Actual_Units]]</f>
        <v>0.53863518391095988</v>
      </c>
      <c r="AB29" s="12">
        <f>PharmaProduction[[#This Row],[Run_Hours]]+PharmaProduction[[#This Row],[Downtime_hr]]</f>
        <v>8.48</v>
      </c>
    </row>
    <row r="30" spans="1:28" x14ac:dyDescent="0.25">
      <c r="A30" s="9">
        <v>26</v>
      </c>
      <c r="B30" s="8">
        <v>46035</v>
      </c>
      <c r="C30" s="9" t="s">
        <v>35</v>
      </c>
      <c r="D30" s="9" t="s">
        <v>36</v>
      </c>
      <c r="E30" s="9" t="s">
        <v>42</v>
      </c>
      <c r="F30" s="9">
        <v>10676</v>
      </c>
      <c r="G30" s="9">
        <v>6726.3</v>
      </c>
      <c r="H30" s="9">
        <v>6625.8</v>
      </c>
      <c r="I30" s="9">
        <v>100.5</v>
      </c>
      <c r="J30" s="9">
        <v>6698.2</v>
      </c>
      <c r="K30" s="9">
        <v>2.87</v>
      </c>
      <c r="L30" s="9" t="s">
        <v>33</v>
      </c>
      <c r="M30" s="9" t="s">
        <v>34</v>
      </c>
      <c r="N30" s="9" t="s">
        <v>33</v>
      </c>
      <c r="O30" s="9">
        <v>0</v>
      </c>
      <c r="P30" s="9">
        <v>37.5</v>
      </c>
      <c r="Q30" s="9">
        <v>3453.1</v>
      </c>
      <c r="R30" s="9">
        <v>6.82</v>
      </c>
      <c r="S30" s="10">
        <f>PharmaProduction[[#This Row],[Actual_Units]]/PharmaProduction[[#This Row],[Planned_Units]]</f>
        <v>0.63003934057699518</v>
      </c>
      <c r="T30" s="10">
        <f>(8-PharmaProduction[[#This Row],[Downtime_hr]])/8</f>
        <v>0.64124999999999999</v>
      </c>
      <c r="U30" s="10">
        <f>((PharmaProduction[[#This Row],[Actual_Units]]/(8-PharmaProduction[[#This Row],[Downtime_hr]]))*8)/(PharmaProduction[[#This Row],[Planned_Units]])</f>
        <v>0.98251749017854995</v>
      </c>
      <c r="V30" s="10">
        <f>PharmaProduction[[#This Row],[Good_Units]]/PharmaProduction[[#This Row],[Actual_Units]]</f>
        <v>0.98505865037241869</v>
      </c>
      <c r="W30" s="10">
        <f>PharmaProduction[[#This Row],[Availability_%]]*PharmaProduction[[#This Row],[Performance_%]]*PharmaProduction[[#This Row],[Quality_%]]</f>
        <v>0.62062570251030347</v>
      </c>
      <c r="X30" s="10">
        <f>PharmaProduction[[#This Row],[Good_Units]]/PharmaProduction[[#This Row],[Planned_Units]]</f>
        <v>0.62062570251030347</v>
      </c>
      <c r="Y30" s="10">
        <f>PharmaProduction[[#This Row],[Rejected_Units]]/PharmaProduction[[#This Row],[Actual_Units]]</f>
        <v>1.4941349627581285E-2</v>
      </c>
      <c r="Z30" s="11">
        <f>PharmaProduction[[#This Row],[Actual_Units]]/PharmaProduction[[#This Row],[Labor_Hours]]</f>
        <v>179.36799999999999</v>
      </c>
      <c r="AA30" s="12">
        <f>PharmaProduction[[#This Row],[Energy_kWh]]/PharmaProduction[[#This Row],[Actual_Units]]</f>
        <v>0.51337287959204914</v>
      </c>
      <c r="AB30" s="12">
        <f>PharmaProduction[[#This Row],[Run_Hours]]+PharmaProduction[[#This Row],[Downtime_hr]]</f>
        <v>9.6900000000000013</v>
      </c>
    </row>
    <row r="31" spans="1:28" x14ac:dyDescent="0.25">
      <c r="A31" s="9">
        <v>27</v>
      </c>
      <c r="B31" s="8">
        <v>46036</v>
      </c>
      <c r="C31" s="9" t="s">
        <v>30</v>
      </c>
      <c r="D31" s="9" t="s">
        <v>31</v>
      </c>
      <c r="E31" s="9" t="s">
        <v>42</v>
      </c>
      <c r="F31" s="9">
        <v>11342</v>
      </c>
      <c r="G31" s="9">
        <v>8080</v>
      </c>
      <c r="H31" s="9">
        <v>7980.1</v>
      </c>
      <c r="I31" s="9">
        <v>99.9</v>
      </c>
      <c r="J31" s="9">
        <v>8185.3</v>
      </c>
      <c r="K31" s="9">
        <v>1.58</v>
      </c>
      <c r="L31" s="9" t="s">
        <v>33</v>
      </c>
      <c r="M31" s="9" t="s">
        <v>34</v>
      </c>
      <c r="N31" s="9" t="s">
        <v>33</v>
      </c>
      <c r="O31" s="9">
        <v>0</v>
      </c>
      <c r="P31" s="9">
        <v>49.7</v>
      </c>
      <c r="Q31" s="9">
        <v>4364.6000000000004</v>
      </c>
      <c r="R31" s="9">
        <v>6.71</v>
      </c>
      <c r="S31" s="10">
        <f>PharmaProduction[[#This Row],[Actual_Units]]/PharmaProduction[[#This Row],[Planned_Units]]</f>
        <v>0.7123964027508376</v>
      </c>
      <c r="T31" s="10">
        <f>(8-PharmaProduction[[#This Row],[Downtime_hr]])/8</f>
        <v>0.80249999999999999</v>
      </c>
      <c r="U31" s="10">
        <f>((PharmaProduction[[#This Row],[Actual_Units]]/(8-PharmaProduction[[#This Row],[Downtime_hr]]))*8)/(PharmaProduction[[#This Row],[Planned_Units]])</f>
        <v>0.88772137414434593</v>
      </c>
      <c r="V31" s="10">
        <f>PharmaProduction[[#This Row],[Good_Units]]/PharmaProduction[[#This Row],[Actual_Units]]</f>
        <v>0.98763613861386146</v>
      </c>
      <c r="W31" s="10">
        <f>PharmaProduction[[#This Row],[Availability_%]]*PharmaProduction[[#This Row],[Performance_%]]*PharmaProduction[[#This Row],[Quality_%]]</f>
        <v>0.70358843237524249</v>
      </c>
      <c r="X31" s="10">
        <f>PharmaProduction[[#This Row],[Good_Units]]/PharmaProduction[[#This Row],[Planned_Units]]</f>
        <v>0.70358843237524249</v>
      </c>
      <c r="Y31" s="10">
        <f>PharmaProduction[[#This Row],[Rejected_Units]]/PharmaProduction[[#This Row],[Actual_Units]]</f>
        <v>1.2363861386138614E-2</v>
      </c>
      <c r="Z31" s="11">
        <f>PharmaProduction[[#This Row],[Actual_Units]]/PharmaProduction[[#This Row],[Labor_Hours]]</f>
        <v>162.57545271629778</v>
      </c>
      <c r="AA31" s="12">
        <f>PharmaProduction[[#This Row],[Energy_kWh]]/PharmaProduction[[#This Row],[Actual_Units]]</f>
        <v>0.54017326732673276</v>
      </c>
      <c r="AB31" s="12">
        <f>PharmaProduction[[#This Row],[Run_Hours]]+PharmaProduction[[#This Row],[Downtime_hr]]</f>
        <v>8.2899999999999991</v>
      </c>
    </row>
    <row r="32" spans="1:28" x14ac:dyDescent="0.25">
      <c r="A32" s="9">
        <v>28</v>
      </c>
      <c r="B32" s="8">
        <v>46036</v>
      </c>
      <c r="C32" s="9" t="s">
        <v>35</v>
      </c>
      <c r="D32" s="9" t="s">
        <v>31</v>
      </c>
      <c r="E32" s="9" t="s">
        <v>39</v>
      </c>
      <c r="F32" s="9">
        <v>10502</v>
      </c>
      <c r="G32" s="9">
        <v>7829.5</v>
      </c>
      <c r="H32" s="9">
        <v>7785.3</v>
      </c>
      <c r="I32" s="9">
        <v>44.3</v>
      </c>
      <c r="J32" s="9">
        <v>8018.7</v>
      </c>
      <c r="K32" s="9">
        <v>1.34</v>
      </c>
      <c r="L32" s="9" t="s">
        <v>33</v>
      </c>
      <c r="M32" s="9" t="s">
        <v>34</v>
      </c>
      <c r="N32" s="9" t="s">
        <v>33</v>
      </c>
      <c r="O32" s="9">
        <v>0</v>
      </c>
      <c r="P32" s="9">
        <v>47.7</v>
      </c>
      <c r="Q32" s="9">
        <v>3969.5</v>
      </c>
      <c r="R32" s="9">
        <v>6.83</v>
      </c>
      <c r="S32" s="10">
        <f>PharmaProduction[[#This Row],[Actual_Units]]/PharmaProduction[[#This Row],[Planned_Units]]</f>
        <v>0.74552466196914868</v>
      </c>
      <c r="T32" s="10">
        <f>(8-PharmaProduction[[#This Row],[Downtime_hr]])/8</f>
        <v>0.83250000000000002</v>
      </c>
      <c r="U32" s="10">
        <f>((PharmaProduction[[#This Row],[Actual_Units]]/(8-PharmaProduction[[#This Row],[Downtime_hr]]))*8)/(PharmaProduction[[#This Row],[Planned_Units]])</f>
        <v>0.89552511948246083</v>
      </c>
      <c r="V32" s="10">
        <f>PharmaProduction[[#This Row],[Good_Units]]/PharmaProduction[[#This Row],[Actual_Units]]</f>
        <v>0.99435468420716522</v>
      </c>
      <c r="W32" s="10">
        <f>PharmaProduction[[#This Row],[Availability_%]]*PharmaProduction[[#This Row],[Performance_%]]*PharmaProduction[[#This Row],[Quality_%]]</f>
        <v>0.74131593982098642</v>
      </c>
      <c r="X32" s="10">
        <f>PharmaProduction[[#This Row],[Good_Units]]/PharmaProduction[[#This Row],[Planned_Units]]</f>
        <v>0.74131593982098654</v>
      </c>
      <c r="Y32" s="10">
        <f>PharmaProduction[[#This Row],[Rejected_Units]]/PharmaProduction[[#This Row],[Actual_Units]]</f>
        <v>5.6580880005108877E-3</v>
      </c>
      <c r="Z32" s="11">
        <f>PharmaProduction[[#This Row],[Actual_Units]]/PharmaProduction[[#This Row],[Labor_Hours]]</f>
        <v>164.1404612159329</v>
      </c>
      <c r="AA32" s="12">
        <f>PharmaProduction[[#This Row],[Energy_kWh]]/PharmaProduction[[#This Row],[Actual_Units]]</f>
        <v>0.50699278370266299</v>
      </c>
      <c r="AB32" s="12">
        <f>PharmaProduction[[#This Row],[Run_Hours]]+PharmaProduction[[#This Row],[Downtime_hr]]</f>
        <v>8.17</v>
      </c>
    </row>
    <row r="33" spans="1:28" x14ac:dyDescent="0.25">
      <c r="A33" s="9">
        <v>29</v>
      </c>
      <c r="B33" s="8">
        <v>46037</v>
      </c>
      <c r="C33" s="9" t="s">
        <v>30</v>
      </c>
      <c r="D33" s="9" t="s">
        <v>31</v>
      </c>
      <c r="E33" s="9" t="s">
        <v>32</v>
      </c>
      <c r="F33" s="9">
        <v>9792</v>
      </c>
      <c r="G33" s="9">
        <v>8159.3</v>
      </c>
      <c r="H33" s="9">
        <v>8051.1</v>
      </c>
      <c r="I33" s="9">
        <v>108.2</v>
      </c>
      <c r="J33" s="9">
        <v>8278.5</v>
      </c>
      <c r="K33" s="9">
        <v>0.78</v>
      </c>
      <c r="L33" s="9" t="s">
        <v>33</v>
      </c>
      <c r="M33" s="9" t="s">
        <v>34</v>
      </c>
      <c r="N33" s="9" t="s">
        <v>44</v>
      </c>
      <c r="O33" s="9">
        <v>547.34</v>
      </c>
      <c r="P33" s="9">
        <v>44.4</v>
      </c>
      <c r="Q33" s="9">
        <v>4294.5</v>
      </c>
      <c r="R33" s="9">
        <v>7.31</v>
      </c>
      <c r="S33" s="10">
        <f>PharmaProduction[[#This Row],[Actual_Units]]/PharmaProduction[[#This Row],[Planned_Units]]</f>
        <v>0.83326184640522882</v>
      </c>
      <c r="T33" s="10">
        <f>(8-PharmaProduction[[#This Row],[Downtime_hr]])/8</f>
        <v>0.90249999999999997</v>
      </c>
      <c r="U33" s="10">
        <f>((PharmaProduction[[#This Row],[Actual_Units]]/(8-PharmaProduction[[#This Row],[Downtime_hr]]))*8)/(PharmaProduction[[#This Row],[Planned_Units]])</f>
        <v>0.92328182427172167</v>
      </c>
      <c r="V33" s="10">
        <f>PharmaProduction[[#This Row],[Good_Units]]/PharmaProduction[[#This Row],[Actual_Units]]</f>
        <v>0.9867390584976653</v>
      </c>
      <c r="W33" s="10">
        <f>PharmaProduction[[#This Row],[Availability_%]]*PharmaProduction[[#This Row],[Performance_%]]*PharmaProduction[[#This Row],[Quality_%]]</f>
        <v>0.82221200980392173</v>
      </c>
      <c r="X33" s="10">
        <f>PharmaProduction[[#This Row],[Good_Units]]/PharmaProduction[[#This Row],[Planned_Units]]</f>
        <v>0.82221200980392162</v>
      </c>
      <c r="Y33" s="10">
        <f>PharmaProduction[[#This Row],[Rejected_Units]]/PharmaProduction[[#This Row],[Actual_Units]]</f>
        <v>1.3260941502334759E-2</v>
      </c>
      <c r="Z33" s="11">
        <f>PharmaProduction[[#This Row],[Actual_Units]]/PharmaProduction[[#This Row],[Labor_Hours]]</f>
        <v>183.76801801801804</v>
      </c>
      <c r="AA33" s="12">
        <f>PharmaProduction[[#This Row],[Energy_kWh]]/PharmaProduction[[#This Row],[Actual_Units]]</f>
        <v>0.52633191572806493</v>
      </c>
      <c r="AB33" s="12">
        <f>PharmaProduction[[#This Row],[Run_Hours]]+PharmaProduction[[#This Row],[Downtime_hr]]</f>
        <v>8.09</v>
      </c>
    </row>
    <row r="34" spans="1:28" x14ac:dyDescent="0.25">
      <c r="A34" s="9">
        <v>30</v>
      </c>
      <c r="B34" s="8">
        <v>46037</v>
      </c>
      <c r="C34" s="9" t="s">
        <v>35</v>
      </c>
      <c r="D34" s="9" t="s">
        <v>38</v>
      </c>
      <c r="E34" s="9" t="s">
        <v>39</v>
      </c>
      <c r="F34" s="9">
        <v>10761</v>
      </c>
      <c r="G34" s="9">
        <v>6895.3</v>
      </c>
      <c r="H34" s="9">
        <v>6785.2</v>
      </c>
      <c r="I34" s="9">
        <v>110.1</v>
      </c>
      <c r="J34" s="9">
        <v>7008.9</v>
      </c>
      <c r="K34" s="9">
        <v>2.15</v>
      </c>
      <c r="L34" s="9" t="s">
        <v>45</v>
      </c>
      <c r="M34" s="9" t="s">
        <v>34</v>
      </c>
      <c r="N34" s="9" t="s">
        <v>33</v>
      </c>
      <c r="O34" s="9">
        <v>0</v>
      </c>
      <c r="P34" s="9">
        <v>50.1</v>
      </c>
      <c r="Q34" s="9">
        <v>3557</v>
      </c>
      <c r="R34" s="9">
        <v>7.64</v>
      </c>
      <c r="S34" s="10">
        <f>PharmaProduction[[#This Row],[Actual_Units]]/PharmaProduction[[#This Row],[Planned_Units]]</f>
        <v>0.64076758665551525</v>
      </c>
      <c r="T34" s="10">
        <f>(8-PharmaProduction[[#This Row],[Downtime_hr]])/8</f>
        <v>0.73124999999999996</v>
      </c>
      <c r="U34" s="10">
        <f>((PharmaProduction[[#This Row],[Actual_Units]]/(8-PharmaProduction[[#This Row],[Downtime_hr]]))*8)/(PharmaProduction[[#This Row],[Planned_Units]])</f>
        <v>0.87626336636651669</v>
      </c>
      <c r="V34" s="10">
        <f>PharmaProduction[[#This Row],[Good_Units]]/PharmaProduction[[#This Row],[Actual_Units]]</f>
        <v>0.98403260191724795</v>
      </c>
      <c r="W34" s="10">
        <f>PharmaProduction[[#This Row],[Availability_%]]*PharmaProduction[[#This Row],[Performance_%]]*PharmaProduction[[#This Row],[Quality_%]]</f>
        <v>0.63053619552086237</v>
      </c>
      <c r="X34" s="10">
        <f>PharmaProduction[[#This Row],[Good_Units]]/PharmaProduction[[#This Row],[Planned_Units]]</f>
        <v>0.63053619552086237</v>
      </c>
      <c r="Y34" s="10">
        <f>PharmaProduction[[#This Row],[Rejected_Units]]/PharmaProduction[[#This Row],[Actual_Units]]</f>
        <v>1.5967398082752018E-2</v>
      </c>
      <c r="Z34" s="11">
        <f>PharmaProduction[[#This Row],[Actual_Units]]/PharmaProduction[[#This Row],[Labor_Hours]]</f>
        <v>137.63073852295409</v>
      </c>
      <c r="AA34" s="12">
        <f>PharmaProduction[[#This Row],[Energy_kWh]]/PharmaProduction[[#This Row],[Actual_Units]]</f>
        <v>0.5158586283410439</v>
      </c>
      <c r="AB34" s="12">
        <f>PharmaProduction[[#This Row],[Run_Hours]]+PharmaProduction[[#This Row],[Downtime_hr]]</f>
        <v>9.7899999999999991</v>
      </c>
    </row>
    <row r="35" spans="1:28" x14ac:dyDescent="0.25">
      <c r="A35" s="9">
        <v>31</v>
      </c>
      <c r="B35" s="8">
        <v>46038</v>
      </c>
      <c r="C35" s="9" t="s">
        <v>30</v>
      </c>
      <c r="D35" s="9" t="s">
        <v>36</v>
      </c>
      <c r="E35" s="9" t="s">
        <v>39</v>
      </c>
      <c r="F35" s="9">
        <v>10353</v>
      </c>
      <c r="G35" s="9">
        <v>7070.6</v>
      </c>
      <c r="H35" s="9">
        <v>6974.5</v>
      </c>
      <c r="I35" s="9">
        <v>96.1</v>
      </c>
      <c r="J35" s="9">
        <v>7186.9</v>
      </c>
      <c r="K35" s="9">
        <v>1.71</v>
      </c>
      <c r="L35" s="9" t="s">
        <v>33</v>
      </c>
      <c r="M35" s="9" t="s">
        <v>34</v>
      </c>
      <c r="N35" s="9" t="s">
        <v>33</v>
      </c>
      <c r="O35" s="9">
        <v>0</v>
      </c>
      <c r="P35" s="9">
        <v>44.7</v>
      </c>
      <c r="Q35" s="9">
        <v>3901.4</v>
      </c>
      <c r="R35" s="9">
        <v>7.81</v>
      </c>
      <c r="S35" s="10">
        <f>PharmaProduction[[#This Row],[Actual_Units]]/PharmaProduction[[#This Row],[Planned_Units]]</f>
        <v>0.68295180141021927</v>
      </c>
      <c r="T35" s="10">
        <f>(8-PharmaProduction[[#This Row],[Downtime_hr]])/8</f>
        <v>0.78625</v>
      </c>
      <c r="U35" s="10">
        <f>((PharmaProduction[[#This Row],[Actual_Units]]/(8-PharmaProduction[[#This Row],[Downtime_hr]]))*8)/(PharmaProduction[[#This Row],[Planned_Units]])</f>
        <v>0.86861914328803713</v>
      </c>
      <c r="V35" s="10">
        <f>PharmaProduction[[#This Row],[Good_Units]]/PharmaProduction[[#This Row],[Actual_Units]]</f>
        <v>0.9864085084716997</v>
      </c>
      <c r="W35" s="10">
        <f>PharmaProduction[[#This Row],[Availability_%]]*PharmaProduction[[#This Row],[Performance_%]]*PharmaProduction[[#This Row],[Quality_%]]</f>
        <v>0.67366946778711478</v>
      </c>
      <c r="X35" s="10">
        <f>PharmaProduction[[#This Row],[Good_Units]]/PharmaProduction[[#This Row],[Planned_Units]]</f>
        <v>0.6736694677871149</v>
      </c>
      <c r="Y35" s="10">
        <f>PharmaProduction[[#This Row],[Rejected_Units]]/PharmaProduction[[#This Row],[Actual_Units]]</f>
        <v>1.3591491528300284E-2</v>
      </c>
      <c r="Z35" s="11">
        <f>PharmaProduction[[#This Row],[Actual_Units]]/PharmaProduction[[#This Row],[Labor_Hours]]</f>
        <v>158.17897091722594</v>
      </c>
      <c r="AA35" s="12">
        <f>PharmaProduction[[#This Row],[Energy_kWh]]/PharmaProduction[[#This Row],[Actual_Units]]</f>
        <v>0.55177778406358724</v>
      </c>
      <c r="AB35" s="12">
        <f>PharmaProduction[[#This Row],[Run_Hours]]+PharmaProduction[[#This Row],[Downtime_hr]]</f>
        <v>9.52</v>
      </c>
    </row>
    <row r="36" spans="1:28" x14ac:dyDescent="0.25">
      <c r="A36" s="9">
        <v>32</v>
      </c>
      <c r="B36" s="8">
        <v>46038</v>
      </c>
      <c r="C36" s="9" t="s">
        <v>35</v>
      </c>
      <c r="D36" s="9" t="s">
        <v>36</v>
      </c>
      <c r="E36" s="9" t="s">
        <v>32</v>
      </c>
      <c r="F36" s="9">
        <v>11737</v>
      </c>
      <c r="G36" s="9">
        <v>7688</v>
      </c>
      <c r="H36" s="9">
        <v>7580.4</v>
      </c>
      <c r="I36" s="9">
        <v>107.7</v>
      </c>
      <c r="J36" s="9">
        <v>7722.1</v>
      </c>
      <c r="K36" s="9">
        <v>3.87</v>
      </c>
      <c r="L36" s="9" t="s">
        <v>43</v>
      </c>
      <c r="M36" s="9" t="s">
        <v>34</v>
      </c>
      <c r="N36" s="9" t="s">
        <v>44</v>
      </c>
      <c r="O36" s="9">
        <v>1040.28</v>
      </c>
      <c r="P36" s="9">
        <v>49.3</v>
      </c>
      <c r="Q36" s="9">
        <v>4211.3999999999996</v>
      </c>
      <c r="R36" s="9">
        <v>7.01</v>
      </c>
      <c r="S36" s="10">
        <f>PharmaProduction[[#This Row],[Actual_Units]]/PharmaProduction[[#This Row],[Planned_Units]]</f>
        <v>0.65502257817159415</v>
      </c>
      <c r="T36" s="10">
        <f>(8-PharmaProduction[[#This Row],[Downtime_hr]])/8</f>
        <v>0.51624999999999999</v>
      </c>
      <c r="U36" s="10">
        <f>((PharmaProduction[[#This Row],[Actual_Units]]/(8-PharmaProduction[[#This Row],[Downtime_hr]]))*8)/(PharmaProduction[[#This Row],[Planned_Units]])</f>
        <v>1.268808868128996</v>
      </c>
      <c r="V36" s="10">
        <f>PharmaProduction[[#This Row],[Good_Units]]/PharmaProduction[[#This Row],[Actual_Units]]</f>
        <v>0.98600416233090526</v>
      </c>
      <c r="W36" s="10">
        <f>PharmaProduction[[#This Row],[Availability_%]]*PharmaProduction[[#This Row],[Performance_%]]*PharmaProduction[[#This Row],[Quality_%]]</f>
        <v>0.64585498849791256</v>
      </c>
      <c r="X36" s="10">
        <f>PharmaProduction[[#This Row],[Good_Units]]/PharmaProduction[[#This Row],[Planned_Units]]</f>
        <v>0.64585498849791256</v>
      </c>
      <c r="Y36" s="10">
        <f>PharmaProduction[[#This Row],[Rejected_Units]]/PharmaProduction[[#This Row],[Actual_Units]]</f>
        <v>1.4008844953173777E-2</v>
      </c>
      <c r="Z36" s="11">
        <f>PharmaProduction[[#This Row],[Actual_Units]]/PharmaProduction[[#This Row],[Labor_Hours]]</f>
        <v>155.94320486815417</v>
      </c>
      <c r="AA36" s="12">
        <f>PharmaProduction[[#This Row],[Energy_kWh]]/PharmaProduction[[#This Row],[Actual_Units]]</f>
        <v>0.54778876170655566</v>
      </c>
      <c r="AB36" s="12">
        <f>PharmaProduction[[#This Row],[Run_Hours]]+PharmaProduction[[#This Row],[Downtime_hr]]</f>
        <v>10.879999999999999</v>
      </c>
    </row>
    <row r="37" spans="1:28" x14ac:dyDescent="0.25">
      <c r="A37" s="9">
        <v>33</v>
      </c>
      <c r="B37" s="8">
        <v>46039</v>
      </c>
      <c r="C37" s="9" t="s">
        <v>30</v>
      </c>
      <c r="D37" s="9" t="s">
        <v>31</v>
      </c>
      <c r="E37" s="9" t="s">
        <v>32</v>
      </c>
      <c r="F37" s="9">
        <v>9891</v>
      </c>
      <c r="G37" s="9">
        <v>6301.4</v>
      </c>
      <c r="H37" s="9">
        <v>6212</v>
      </c>
      <c r="I37" s="9">
        <v>89.5</v>
      </c>
      <c r="J37" s="9">
        <v>6332.9</v>
      </c>
      <c r="K37" s="9">
        <v>2.42</v>
      </c>
      <c r="L37" s="9" t="s">
        <v>33</v>
      </c>
      <c r="M37" s="9" t="s">
        <v>34</v>
      </c>
      <c r="N37" s="9" t="s">
        <v>33</v>
      </c>
      <c r="O37" s="9">
        <v>0</v>
      </c>
      <c r="P37" s="9">
        <v>45.5</v>
      </c>
      <c r="Q37" s="9">
        <v>3170.2</v>
      </c>
      <c r="R37" s="9">
        <v>6.94</v>
      </c>
      <c r="S37" s="10">
        <f>PharmaProduction[[#This Row],[Actual_Units]]/PharmaProduction[[#This Row],[Planned_Units]]</f>
        <v>0.63708421797593773</v>
      </c>
      <c r="T37" s="10">
        <f>(8-PharmaProduction[[#This Row],[Downtime_hr]])/8</f>
        <v>0.69750000000000001</v>
      </c>
      <c r="U37" s="10">
        <f>((PharmaProduction[[#This Row],[Actual_Units]]/(8-PharmaProduction[[#This Row],[Downtime_hr]]))*8)/(PharmaProduction[[#This Row],[Planned_Units]])</f>
        <v>0.91338239136335142</v>
      </c>
      <c r="V37" s="10">
        <f>PharmaProduction[[#This Row],[Good_Units]]/PharmaProduction[[#This Row],[Actual_Units]]</f>
        <v>0.9858126765480687</v>
      </c>
      <c r="W37" s="10">
        <f>PharmaProduction[[#This Row],[Availability_%]]*PharmaProduction[[#This Row],[Performance_%]]*PharmaProduction[[#This Row],[Quality_%]]</f>
        <v>0.62804569810939226</v>
      </c>
      <c r="X37" s="10">
        <f>PharmaProduction[[#This Row],[Good_Units]]/PharmaProduction[[#This Row],[Planned_Units]]</f>
        <v>0.62804569810939237</v>
      </c>
      <c r="Y37" s="10">
        <f>PharmaProduction[[#This Row],[Rejected_Units]]/PharmaProduction[[#This Row],[Actual_Units]]</f>
        <v>1.4203192941251152E-2</v>
      </c>
      <c r="Z37" s="11">
        <f>PharmaProduction[[#This Row],[Actual_Units]]/PharmaProduction[[#This Row],[Labor_Hours]]</f>
        <v>138.49230769230769</v>
      </c>
      <c r="AA37" s="12">
        <f>PharmaProduction[[#This Row],[Energy_kWh]]/PharmaProduction[[#This Row],[Actual_Units]]</f>
        <v>0.50309455041736761</v>
      </c>
      <c r="AB37" s="12">
        <f>PharmaProduction[[#This Row],[Run_Hours]]+PharmaProduction[[#This Row],[Downtime_hr]]</f>
        <v>9.36</v>
      </c>
    </row>
    <row r="38" spans="1:28" x14ac:dyDescent="0.25">
      <c r="A38" s="9">
        <v>34</v>
      </c>
      <c r="B38" s="8">
        <v>46039</v>
      </c>
      <c r="C38" s="9" t="s">
        <v>35</v>
      </c>
      <c r="D38" s="9" t="s">
        <v>38</v>
      </c>
      <c r="E38" s="9" t="s">
        <v>32</v>
      </c>
      <c r="F38" s="9">
        <v>10232</v>
      </c>
      <c r="G38" s="9">
        <v>6523.9</v>
      </c>
      <c r="H38" s="9">
        <v>6456.5</v>
      </c>
      <c r="I38" s="9">
        <v>67.3</v>
      </c>
      <c r="J38" s="9">
        <v>6664.6</v>
      </c>
      <c r="K38" s="9">
        <v>4.24</v>
      </c>
      <c r="L38" s="9" t="s">
        <v>40</v>
      </c>
      <c r="M38" s="9" t="s">
        <v>34</v>
      </c>
      <c r="N38" s="9" t="s">
        <v>33</v>
      </c>
      <c r="O38" s="9">
        <v>0</v>
      </c>
      <c r="P38" s="9">
        <v>41.4</v>
      </c>
      <c r="Q38" s="9">
        <v>3361.2</v>
      </c>
      <c r="R38" s="9">
        <v>6.95</v>
      </c>
      <c r="S38" s="10">
        <f>PharmaProduction[[#This Row],[Actual_Units]]/PharmaProduction[[#This Row],[Planned_Units]]</f>
        <v>0.63759773260359653</v>
      </c>
      <c r="T38" s="10">
        <f>(8-PharmaProduction[[#This Row],[Downtime_hr]])/8</f>
        <v>0.47</v>
      </c>
      <c r="U38" s="10">
        <f>((PharmaProduction[[#This Row],[Actual_Units]]/(8-PharmaProduction[[#This Row],[Downtime_hr]]))*8)/(PharmaProduction[[#This Row],[Planned_Units]])</f>
        <v>1.3565909204331841</v>
      </c>
      <c r="V38" s="10">
        <f>PharmaProduction[[#This Row],[Good_Units]]/PharmaProduction[[#This Row],[Actual_Units]]</f>
        <v>0.98966875641870666</v>
      </c>
      <c r="W38" s="10">
        <f>PharmaProduction[[#This Row],[Availability_%]]*PharmaProduction[[#This Row],[Performance_%]]*PharmaProduction[[#This Row],[Quality_%]]</f>
        <v>0.63101055512118842</v>
      </c>
      <c r="X38" s="10">
        <f>PharmaProduction[[#This Row],[Good_Units]]/PharmaProduction[[#This Row],[Planned_Units]]</f>
        <v>0.63101055512118842</v>
      </c>
      <c r="Y38" s="10">
        <f>PharmaProduction[[#This Row],[Rejected_Units]]/PharmaProduction[[#This Row],[Actual_Units]]</f>
        <v>1.0315915326721747E-2</v>
      </c>
      <c r="Z38" s="11">
        <f>PharmaProduction[[#This Row],[Actual_Units]]/PharmaProduction[[#This Row],[Labor_Hours]]</f>
        <v>157.58212560386474</v>
      </c>
      <c r="AA38" s="12">
        <f>PharmaProduction[[#This Row],[Energy_kWh]]/PharmaProduction[[#This Row],[Actual_Units]]</f>
        <v>0.51521329266236449</v>
      </c>
      <c r="AB38" s="12">
        <f>PharmaProduction[[#This Row],[Run_Hours]]+PharmaProduction[[#This Row],[Downtime_hr]]</f>
        <v>11.190000000000001</v>
      </c>
    </row>
    <row r="39" spans="1:28" x14ac:dyDescent="0.25">
      <c r="A39" s="9">
        <v>35</v>
      </c>
      <c r="B39" s="8">
        <v>46040</v>
      </c>
      <c r="C39" s="9" t="s">
        <v>30</v>
      </c>
      <c r="D39" s="9" t="s">
        <v>36</v>
      </c>
      <c r="E39" s="9" t="s">
        <v>39</v>
      </c>
      <c r="F39" s="9">
        <v>11840</v>
      </c>
      <c r="G39" s="9">
        <v>9286.7000000000007</v>
      </c>
      <c r="H39" s="9">
        <v>9167.4</v>
      </c>
      <c r="I39" s="9">
        <v>119.4</v>
      </c>
      <c r="J39" s="9">
        <v>9304.9</v>
      </c>
      <c r="K39" s="9">
        <v>0.75</v>
      </c>
      <c r="L39" s="9" t="s">
        <v>33</v>
      </c>
      <c r="M39" s="9" t="s">
        <v>34</v>
      </c>
      <c r="N39" s="9" t="s">
        <v>33</v>
      </c>
      <c r="O39" s="9">
        <v>0</v>
      </c>
      <c r="P39" s="9">
        <v>49.2</v>
      </c>
      <c r="Q39" s="9">
        <v>4773.6000000000004</v>
      </c>
      <c r="R39" s="9">
        <v>7.17</v>
      </c>
      <c r="S39" s="10">
        <f>PharmaProduction[[#This Row],[Actual_Units]]/PharmaProduction[[#This Row],[Planned_Units]]</f>
        <v>0.78434966216216218</v>
      </c>
      <c r="T39" s="10">
        <f>(8-PharmaProduction[[#This Row],[Downtime_hr]])/8</f>
        <v>0.90625</v>
      </c>
      <c r="U39" s="10">
        <f>((PharmaProduction[[#This Row],[Actual_Units]]/(8-PharmaProduction[[#This Row],[Downtime_hr]]))*8)/(PharmaProduction[[#This Row],[Planned_Units]])</f>
        <v>0.86548928238583422</v>
      </c>
      <c r="V39" s="10">
        <f>PharmaProduction[[#This Row],[Good_Units]]/PharmaProduction[[#This Row],[Actual_Units]]</f>
        <v>0.98715367137949961</v>
      </c>
      <c r="W39" s="10">
        <f>PharmaProduction[[#This Row],[Availability_%]]*PharmaProduction[[#This Row],[Performance_%]]*PharmaProduction[[#This Row],[Quality_%]]</f>
        <v>0.77427364864864867</v>
      </c>
      <c r="X39" s="10">
        <f>PharmaProduction[[#This Row],[Good_Units]]/PharmaProduction[[#This Row],[Planned_Units]]</f>
        <v>0.77427364864864867</v>
      </c>
      <c r="Y39" s="10">
        <f>PharmaProduction[[#This Row],[Rejected_Units]]/PharmaProduction[[#This Row],[Actual_Units]]</f>
        <v>1.2857096708195591E-2</v>
      </c>
      <c r="Z39" s="11">
        <f>PharmaProduction[[#This Row],[Actual_Units]]/PharmaProduction[[#This Row],[Labor_Hours]]</f>
        <v>188.7540650406504</v>
      </c>
      <c r="AA39" s="12">
        <f>PharmaProduction[[#This Row],[Energy_kWh]]/PharmaProduction[[#This Row],[Actual_Units]]</f>
        <v>0.51402543422313629</v>
      </c>
      <c r="AB39" s="12">
        <f>PharmaProduction[[#This Row],[Run_Hours]]+PharmaProduction[[#This Row],[Downtime_hr]]</f>
        <v>7.92</v>
      </c>
    </row>
    <row r="40" spans="1:28" x14ac:dyDescent="0.25">
      <c r="A40" s="9">
        <v>36</v>
      </c>
      <c r="B40" s="8">
        <v>46040</v>
      </c>
      <c r="C40" s="9" t="s">
        <v>35</v>
      </c>
      <c r="D40" s="9" t="s">
        <v>38</v>
      </c>
      <c r="E40" s="9" t="s">
        <v>42</v>
      </c>
      <c r="F40" s="9">
        <v>11413</v>
      </c>
      <c r="G40" s="9">
        <v>7963.7</v>
      </c>
      <c r="H40" s="9">
        <v>7826.4</v>
      </c>
      <c r="I40" s="9">
        <v>137.30000000000001</v>
      </c>
      <c r="J40" s="9">
        <v>8060.9</v>
      </c>
      <c r="K40" s="9">
        <v>1.79</v>
      </c>
      <c r="L40" s="9" t="s">
        <v>43</v>
      </c>
      <c r="M40" s="9" t="s">
        <v>34</v>
      </c>
      <c r="N40" s="9" t="s">
        <v>33</v>
      </c>
      <c r="O40" s="9">
        <v>0</v>
      </c>
      <c r="P40" s="9">
        <v>43.2</v>
      </c>
      <c r="Q40" s="9">
        <v>3957.8</v>
      </c>
      <c r="R40" s="9">
        <v>6.64</v>
      </c>
      <c r="S40" s="10">
        <f>PharmaProduction[[#This Row],[Actual_Units]]/PharmaProduction[[#This Row],[Planned_Units]]</f>
        <v>0.69777446771225793</v>
      </c>
      <c r="T40" s="10">
        <f>(8-PharmaProduction[[#This Row],[Downtime_hr]])/8</f>
        <v>0.77625</v>
      </c>
      <c r="U40" s="10">
        <f>((PharmaProduction[[#This Row],[Actual_Units]]/(8-PharmaProduction[[#This Row],[Downtime_hr]]))*8)/(PharmaProduction[[#This Row],[Planned_Units]])</f>
        <v>0.89890430623157225</v>
      </c>
      <c r="V40" s="10">
        <f>PharmaProduction[[#This Row],[Good_Units]]/PharmaProduction[[#This Row],[Actual_Units]]</f>
        <v>0.98275927018848019</v>
      </c>
      <c r="W40" s="10">
        <f>PharmaProduction[[#This Row],[Availability_%]]*PharmaProduction[[#This Row],[Performance_%]]*PharmaProduction[[#This Row],[Quality_%]]</f>
        <v>0.6857443266450538</v>
      </c>
      <c r="X40" s="10">
        <f>PharmaProduction[[#This Row],[Good_Units]]/PharmaProduction[[#This Row],[Planned_Units]]</f>
        <v>0.6857443266450538</v>
      </c>
      <c r="Y40" s="10">
        <f>PharmaProduction[[#This Row],[Rejected_Units]]/PharmaProduction[[#This Row],[Actual_Units]]</f>
        <v>1.7240729811519771E-2</v>
      </c>
      <c r="Z40" s="11">
        <f>PharmaProduction[[#This Row],[Actual_Units]]/PharmaProduction[[#This Row],[Labor_Hours]]</f>
        <v>184.34490740740739</v>
      </c>
      <c r="AA40" s="12">
        <f>PharmaProduction[[#This Row],[Energy_kWh]]/PharmaProduction[[#This Row],[Actual_Units]]</f>
        <v>0.49698004696309506</v>
      </c>
      <c r="AB40" s="12">
        <f>PharmaProduction[[#This Row],[Run_Hours]]+PharmaProduction[[#This Row],[Downtime_hr]]</f>
        <v>8.43</v>
      </c>
    </row>
    <row r="41" spans="1:28" x14ac:dyDescent="0.25">
      <c r="A41" s="9">
        <v>37</v>
      </c>
      <c r="B41" s="8">
        <v>46041</v>
      </c>
      <c r="C41" s="9" t="s">
        <v>30</v>
      </c>
      <c r="D41" s="9" t="s">
        <v>36</v>
      </c>
      <c r="E41" s="9" t="s">
        <v>42</v>
      </c>
      <c r="F41" s="9">
        <v>11033</v>
      </c>
      <c r="G41" s="9">
        <v>9140.2000000000007</v>
      </c>
      <c r="H41" s="9">
        <v>9035.6</v>
      </c>
      <c r="I41" s="9">
        <v>104.5</v>
      </c>
      <c r="J41" s="9">
        <v>9289.7000000000007</v>
      </c>
      <c r="K41" s="9">
        <v>0.99</v>
      </c>
      <c r="L41" s="9" t="s">
        <v>33</v>
      </c>
      <c r="M41" s="9" t="s">
        <v>34</v>
      </c>
      <c r="N41" s="9" t="s">
        <v>44</v>
      </c>
      <c r="O41" s="9">
        <v>833.76</v>
      </c>
      <c r="P41" s="9">
        <v>50.1</v>
      </c>
      <c r="Q41" s="9">
        <v>4206.1000000000004</v>
      </c>
      <c r="R41" s="9">
        <v>7.68</v>
      </c>
      <c r="S41" s="10">
        <f>PharmaProduction[[#This Row],[Actual_Units]]/PharmaProduction[[#This Row],[Planned_Units]]</f>
        <v>0.82844194688661299</v>
      </c>
      <c r="T41" s="10">
        <f>(8-PharmaProduction[[#This Row],[Downtime_hr]])/8</f>
        <v>0.87624999999999997</v>
      </c>
      <c r="U41" s="10">
        <f>((PharmaProduction[[#This Row],[Actual_Units]]/(8-PharmaProduction[[#This Row],[Downtime_hr]]))*8)/(PharmaProduction[[#This Row],[Planned_Units]])</f>
        <v>0.94544016763094196</v>
      </c>
      <c r="V41" s="10">
        <f>PharmaProduction[[#This Row],[Good_Units]]/PharmaProduction[[#This Row],[Actual_Units]]</f>
        <v>0.9885560491017702</v>
      </c>
      <c r="W41" s="10">
        <f>PharmaProduction[[#This Row],[Availability_%]]*PharmaProduction[[#This Row],[Performance_%]]*PharmaProduction[[#This Row],[Quality_%]]</f>
        <v>0.81896129792440853</v>
      </c>
      <c r="X41" s="10">
        <f>PharmaProduction[[#This Row],[Good_Units]]/PharmaProduction[[#This Row],[Planned_Units]]</f>
        <v>0.81896129792440864</v>
      </c>
      <c r="Y41" s="10">
        <f>PharmaProduction[[#This Row],[Rejected_Units]]/PharmaProduction[[#This Row],[Actual_Units]]</f>
        <v>1.1433010218594778E-2</v>
      </c>
      <c r="Z41" s="11">
        <f>PharmaProduction[[#This Row],[Actual_Units]]/PharmaProduction[[#This Row],[Labor_Hours]]</f>
        <v>182.43912175648703</v>
      </c>
      <c r="AA41" s="12">
        <f>PharmaProduction[[#This Row],[Energy_kWh]]/PharmaProduction[[#This Row],[Actual_Units]]</f>
        <v>0.46017592612853109</v>
      </c>
      <c r="AB41" s="12">
        <f>PharmaProduction[[#This Row],[Run_Hours]]+PharmaProduction[[#This Row],[Downtime_hr]]</f>
        <v>8.67</v>
      </c>
    </row>
    <row r="42" spans="1:28" x14ac:dyDescent="0.25">
      <c r="A42" s="9">
        <v>38</v>
      </c>
      <c r="B42" s="8">
        <v>46041</v>
      </c>
      <c r="C42" s="9" t="s">
        <v>35</v>
      </c>
      <c r="D42" s="9" t="s">
        <v>36</v>
      </c>
      <c r="E42" s="9" t="s">
        <v>39</v>
      </c>
      <c r="F42" s="9">
        <v>10526</v>
      </c>
      <c r="G42" s="9">
        <v>6990.2</v>
      </c>
      <c r="H42" s="9">
        <v>6918.3</v>
      </c>
      <c r="I42" s="9">
        <v>71.900000000000006</v>
      </c>
      <c r="J42" s="9">
        <v>7004</v>
      </c>
      <c r="K42" s="9">
        <v>3.86</v>
      </c>
      <c r="L42" s="9" t="s">
        <v>33</v>
      </c>
      <c r="M42" s="9" t="s">
        <v>34</v>
      </c>
      <c r="N42" s="9" t="s">
        <v>33</v>
      </c>
      <c r="O42" s="9">
        <v>0</v>
      </c>
      <c r="P42" s="9">
        <v>36.200000000000003</v>
      </c>
      <c r="Q42" s="9">
        <v>3326.6</v>
      </c>
      <c r="R42" s="9">
        <v>7.26</v>
      </c>
      <c r="S42" s="10">
        <f>PharmaProduction[[#This Row],[Actual_Units]]/PharmaProduction[[#This Row],[Planned_Units]]</f>
        <v>0.66408892266768005</v>
      </c>
      <c r="T42" s="10">
        <f>(8-PharmaProduction[[#This Row],[Downtime_hr]])/8</f>
        <v>0.51750000000000007</v>
      </c>
      <c r="U42" s="10">
        <f>((PharmaProduction[[#This Row],[Actual_Units]]/(8-PharmaProduction[[#This Row],[Downtime_hr]]))*8)/(PharmaProduction[[#This Row],[Planned_Units]])</f>
        <v>1.2832636186815072</v>
      </c>
      <c r="V42" s="10">
        <f>PharmaProduction[[#This Row],[Good_Units]]/PharmaProduction[[#This Row],[Actual_Units]]</f>
        <v>0.98971417126834715</v>
      </c>
      <c r="W42" s="10">
        <f>PharmaProduction[[#This Row],[Availability_%]]*PharmaProduction[[#This Row],[Performance_%]]*PharmaProduction[[#This Row],[Quality_%]]</f>
        <v>0.65725821774653248</v>
      </c>
      <c r="X42" s="10">
        <f>PharmaProduction[[#This Row],[Good_Units]]/PharmaProduction[[#This Row],[Planned_Units]]</f>
        <v>0.65725821774653237</v>
      </c>
      <c r="Y42" s="10">
        <f>PharmaProduction[[#This Row],[Rejected_Units]]/PharmaProduction[[#This Row],[Actual_Units]]</f>
        <v>1.0285828731652886E-2</v>
      </c>
      <c r="Z42" s="11">
        <f>PharmaProduction[[#This Row],[Actual_Units]]/PharmaProduction[[#This Row],[Labor_Hours]]</f>
        <v>193.09944751381212</v>
      </c>
      <c r="AA42" s="12">
        <f>PharmaProduction[[#This Row],[Energy_kWh]]/PharmaProduction[[#This Row],[Actual_Units]]</f>
        <v>0.47589482418242685</v>
      </c>
      <c r="AB42" s="12">
        <f>PharmaProduction[[#This Row],[Run_Hours]]+PharmaProduction[[#This Row],[Downtime_hr]]</f>
        <v>11.12</v>
      </c>
    </row>
    <row r="43" spans="1:28" x14ac:dyDescent="0.25">
      <c r="A43" s="9">
        <v>39</v>
      </c>
      <c r="B43" s="8">
        <v>46042</v>
      </c>
      <c r="C43" s="9" t="s">
        <v>30</v>
      </c>
      <c r="D43" s="9" t="s">
        <v>38</v>
      </c>
      <c r="E43" s="9" t="s">
        <v>32</v>
      </c>
      <c r="F43" s="9">
        <v>11553</v>
      </c>
      <c r="G43" s="9">
        <v>7543.9</v>
      </c>
      <c r="H43" s="9">
        <v>7461.7</v>
      </c>
      <c r="I43" s="9">
        <v>82.2</v>
      </c>
      <c r="J43" s="9">
        <v>7564.8</v>
      </c>
      <c r="K43" s="9">
        <v>2.37</v>
      </c>
      <c r="L43" s="9" t="s">
        <v>33</v>
      </c>
      <c r="M43" s="9" t="s">
        <v>34</v>
      </c>
      <c r="N43" s="9" t="s">
        <v>33</v>
      </c>
      <c r="O43" s="9">
        <v>0</v>
      </c>
      <c r="P43" s="9">
        <v>45.3</v>
      </c>
      <c r="Q43" s="9">
        <v>3915.7</v>
      </c>
      <c r="R43" s="9">
        <v>7.01</v>
      </c>
      <c r="S43" s="10">
        <f>PharmaProduction[[#This Row],[Actual_Units]]/PharmaProduction[[#This Row],[Planned_Units]]</f>
        <v>0.65298190946074608</v>
      </c>
      <c r="T43" s="10">
        <f>(8-PharmaProduction[[#This Row],[Downtime_hr]])/8</f>
        <v>0.70374999999999999</v>
      </c>
      <c r="U43" s="10">
        <f>((PharmaProduction[[#This Row],[Actual_Units]]/(8-PharmaProduction[[#This Row],[Downtime_hr]]))*8)/(PharmaProduction[[#This Row],[Planned_Units]])</f>
        <v>0.92786061735097147</v>
      </c>
      <c r="V43" s="10">
        <f>PharmaProduction[[#This Row],[Good_Units]]/PharmaProduction[[#This Row],[Actual_Units]]</f>
        <v>0.98910377921234383</v>
      </c>
      <c r="W43" s="10">
        <f>PharmaProduction[[#This Row],[Availability_%]]*PharmaProduction[[#This Row],[Performance_%]]*PharmaProduction[[#This Row],[Quality_%]]</f>
        <v>0.64586687440491664</v>
      </c>
      <c r="X43" s="10">
        <f>PharmaProduction[[#This Row],[Good_Units]]/PharmaProduction[[#This Row],[Planned_Units]]</f>
        <v>0.64586687440491641</v>
      </c>
      <c r="Y43" s="10">
        <f>PharmaProduction[[#This Row],[Rejected_Units]]/PharmaProduction[[#This Row],[Actual_Units]]</f>
        <v>1.0896220787656253E-2</v>
      </c>
      <c r="Z43" s="11">
        <f>PharmaProduction[[#This Row],[Actual_Units]]/PharmaProduction[[#This Row],[Labor_Hours]]</f>
        <v>166.53200883002208</v>
      </c>
      <c r="AA43" s="12">
        <f>PharmaProduction[[#This Row],[Energy_kWh]]/PharmaProduction[[#This Row],[Actual_Units]]</f>
        <v>0.51905513063534781</v>
      </c>
      <c r="AB43" s="12">
        <f>PharmaProduction[[#This Row],[Run_Hours]]+PharmaProduction[[#This Row],[Downtime_hr]]</f>
        <v>9.379999999999999</v>
      </c>
    </row>
    <row r="44" spans="1:28" x14ac:dyDescent="0.25">
      <c r="A44" s="9">
        <v>40</v>
      </c>
      <c r="B44" s="8">
        <v>46042</v>
      </c>
      <c r="C44" s="9" t="s">
        <v>35</v>
      </c>
      <c r="D44" s="9" t="s">
        <v>38</v>
      </c>
      <c r="E44" s="9" t="s">
        <v>32</v>
      </c>
      <c r="F44" s="9">
        <v>11561</v>
      </c>
      <c r="G44" s="9">
        <v>7908.6</v>
      </c>
      <c r="H44" s="9">
        <v>7811.7</v>
      </c>
      <c r="I44" s="9">
        <v>96.9</v>
      </c>
      <c r="J44" s="9">
        <v>8152.9</v>
      </c>
      <c r="K44" s="9">
        <v>1.93</v>
      </c>
      <c r="L44" s="9" t="s">
        <v>43</v>
      </c>
      <c r="M44" s="9" t="s">
        <v>34</v>
      </c>
      <c r="N44" s="9" t="s">
        <v>37</v>
      </c>
      <c r="O44" s="9">
        <v>199.51</v>
      </c>
      <c r="P44" s="9">
        <v>42.6</v>
      </c>
      <c r="Q44" s="9">
        <v>4373.3</v>
      </c>
      <c r="R44" s="9">
        <v>7.12</v>
      </c>
      <c r="S44" s="10">
        <f>PharmaProduction[[#This Row],[Actual_Units]]/PharmaProduction[[#This Row],[Planned_Units]]</f>
        <v>0.68407577199204228</v>
      </c>
      <c r="T44" s="10">
        <f>(8-PharmaProduction[[#This Row],[Downtime_hr]])/8</f>
        <v>0.75875000000000004</v>
      </c>
      <c r="U44" s="10">
        <f>((PharmaProduction[[#This Row],[Actual_Units]]/(8-PharmaProduction[[#This Row],[Downtime_hr]]))*8)/(PharmaProduction[[#This Row],[Planned_Units]])</f>
        <v>0.90158256605211506</v>
      </c>
      <c r="V44" s="10">
        <f>PharmaProduction[[#This Row],[Good_Units]]/PharmaProduction[[#This Row],[Actual_Units]]</f>
        <v>0.98774751536302241</v>
      </c>
      <c r="W44" s="10">
        <f>PharmaProduction[[#This Row],[Availability_%]]*PharmaProduction[[#This Row],[Performance_%]]*PharmaProduction[[#This Row],[Quality_%]]</f>
        <v>0.67569414410518136</v>
      </c>
      <c r="X44" s="10">
        <f>PharmaProduction[[#This Row],[Good_Units]]/PharmaProduction[[#This Row],[Planned_Units]]</f>
        <v>0.67569414410518125</v>
      </c>
      <c r="Y44" s="10">
        <f>PharmaProduction[[#This Row],[Rejected_Units]]/PharmaProduction[[#This Row],[Actual_Units]]</f>
        <v>1.2252484636977468E-2</v>
      </c>
      <c r="Z44" s="11">
        <f>PharmaProduction[[#This Row],[Actual_Units]]/PharmaProduction[[#This Row],[Labor_Hours]]</f>
        <v>185.64788732394368</v>
      </c>
      <c r="AA44" s="12">
        <f>PharmaProduction[[#This Row],[Energy_kWh]]/PharmaProduction[[#This Row],[Actual_Units]]</f>
        <v>0.55298029992666209</v>
      </c>
      <c r="AB44" s="12">
        <f>PharmaProduction[[#This Row],[Run_Hours]]+PharmaProduction[[#This Row],[Downtime_hr]]</f>
        <v>9.0500000000000007</v>
      </c>
    </row>
    <row r="45" spans="1:28" x14ac:dyDescent="0.25">
      <c r="A45" s="9">
        <v>41</v>
      </c>
      <c r="B45" s="8">
        <v>46043</v>
      </c>
      <c r="C45" s="9" t="s">
        <v>30</v>
      </c>
      <c r="D45" s="9" t="s">
        <v>31</v>
      </c>
      <c r="E45" s="9" t="s">
        <v>42</v>
      </c>
      <c r="F45" s="9">
        <v>11889</v>
      </c>
      <c r="G45" s="9">
        <v>8458.9</v>
      </c>
      <c r="H45" s="9">
        <v>8392.7999999999993</v>
      </c>
      <c r="I45" s="9">
        <v>66.099999999999994</v>
      </c>
      <c r="J45" s="9">
        <v>8559.7999999999993</v>
      </c>
      <c r="K45" s="9">
        <v>2.19</v>
      </c>
      <c r="L45" s="9" t="s">
        <v>33</v>
      </c>
      <c r="M45" s="9" t="s">
        <v>34</v>
      </c>
      <c r="N45" s="9" t="s">
        <v>33</v>
      </c>
      <c r="O45" s="9">
        <v>0</v>
      </c>
      <c r="P45" s="9">
        <v>36.6</v>
      </c>
      <c r="Q45" s="9">
        <v>4086.9</v>
      </c>
      <c r="R45" s="9">
        <v>7.85</v>
      </c>
      <c r="S45" s="10">
        <f>PharmaProduction[[#This Row],[Actual_Units]]/PharmaProduction[[#This Row],[Planned_Units]]</f>
        <v>0.71148961224661444</v>
      </c>
      <c r="T45" s="10">
        <f>(8-PharmaProduction[[#This Row],[Downtime_hr]])/8</f>
        <v>0.72625000000000006</v>
      </c>
      <c r="U45" s="10">
        <f>((PharmaProduction[[#This Row],[Actual_Units]]/(8-PharmaProduction[[#This Row],[Downtime_hr]]))*8)/(PharmaProduction[[#This Row],[Planned_Units]])</f>
        <v>0.97967588605385802</v>
      </c>
      <c r="V45" s="10">
        <f>PharmaProduction[[#This Row],[Good_Units]]/PharmaProduction[[#This Row],[Actual_Units]]</f>
        <v>0.99218574519145508</v>
      </c>
      <c r="W45" s="10">
        <f>PharmaProduction[[#This Row],[Availability_%]]*PharmaProduction[[#This Row],[Performance_%]]*PharmaProduction[[#This Row],[Quality_%]]</f>
        <v>0.70592985112288653</v>
      </c>
      <c r="X45" s="10">
        <f>PharmaProduction[[#This Row],[Good_Units]]/PharmaProduction[[#This Row],[Planned_Units]]</f>
        <v>0.70592985112288664</v>
      </c>
      <c r="Y45" s="10">
        <f>PharmaProduction[[#This Row],[Rejected_Units]]/PharmaProduction[[#This Row],[Actual_Units]]</f>
        <v>7.8142548085448453E-3</v>
      </c>
      <c r="Z45" s="11">
        <f>PharmaProduction[[#This Row],[Actual_Units]]/PharmaProduction[[#This Row],[Labor_Hours]]</f>
        <v>231.11748633879779</v>
      </c>
      <c r="AA45" s="12">
        <f>PharmaProduction[[#This Row],[Energy_kWh]]/PharmaProduction[[#This Row],[Actual_Units]]</f>
        <v>0.48314792703543019</v>
      </c>
      <c r="AB45" s="12">
        <f>PharmaProduction[[#This Row],[Run_Hours]]+PharmaProduction[[#This Row],[Downtime_hr]]</f>
        <v>10.039999999999999</v>
      </c>
    </row>
    <row r="46" spans="1:28" x14ac:dyDescent="0.25">
      <c r="A46" s="9">
        <v>42</v>
      </c>
      <c r="B46" s="8">
        <v>46043</v>
      </c>
      <c r="C46" s="9" t="s">
        <v>35</v>
      </c>
      <c r="D46" s="9" t="s">
        <v>36</v>
      </c>
      <c r="E46" s="9" t="s">
        <v>42</v>
      </c>
      <c r="F46" s="9">
        <v>10520</v>
      </c>
      <c r="G46" s="9">
        <v>8333.5</v>
      </c>
      <c r="H46" s="9">
        <v>8176.9</v>
      </c>
      <c r="I46" s="9">
        <v>156.6</v>
      </c>
      <c r="J46" s="9">
        <v>8407</v>
      </c>
      <c r="K46" s="9">
        <v>1.23</v>
      </c>
      <c r="L46" s="9" t="s">
        <v>33</v>
      </c>
      <c r="M46" s="9" t="s">
        <v>34</v>
      </c>
      <c r="N46" s="9" t="s">
        <v>33</v>
      </c>
      <c r="O46" s="9">
        <v>0</v>
      </c>
      <c r="P46" s="9">
        <v>49</v>
      </c>
      <c r="Q46" s="9">
        <v>4408.7</v>
      </c>
      <c r="R46" s="9">
        <v>6.75</v>
      </c>
      <c r="S46" s="10">
        <f>PharmaProduction[[#This Row],[Actual_Units]]/PharmaProduction[[#This Row],[Planned_Units]]</f>
        <v>0.79215779467680614</v>
      </c>
      <c r="T46" s="10">
        <f>(8-PharmaProduction[[#This Row],[Downtime_hr]])/8</f>
        <v>0.84624999999999995</v>
      </c>
      <c r="U46" s="10">
        <f>((PharmaProduction[[#This Row],[Actual_Units]]/(8-PharmaProduction[[#This Row],[Downtime_hr]]))*8)/(PharmaProduction[[#This Row],[Planned_Units]])</f>
        <v>0.9360801118780574</v>
      </c>
      <c r="V46" s="10">
        <f>PharmaProduction[[#This Row],[Good_Units]]/PharmaProduction[[#This Row],[Actual_Units]]</f>
        <v>0.98120837583248333</v>
      </c>
      <c r="W46" s="10">
        <f>PharmaProduction[[#This Row],[Availability_%]]*PharmaProduction[[#This Row],[Performance_%]]*PharmaProduction[[#This Row],[Quality_%]]</f>
        <v>0.77727186311787066</v>
      </c>
      <c r="X46" s="10">
        <f>PharmaProduction[[#This Row],[Good_Units]]/PharmaProduction[[#This Row],[Planned_Units]]</f>
        <v>0.77727186311787066</v>
      </c>
      <c r="Y46" s="10">
        <f>PharmaProduction[[#This Row],[Rejected_Units]]/PharmaProduction[[#This Row],[Actual_Units]]</f>
        <v>1.879162416751665E-2</v>
      </c>
      <c r="Z46" s="11">
        <f>PharmaProduction[[#This Row],[Actual_Units]]/PharmaProduction[[#This Row],[Labor_Hours]]</f>
        <v>170.07142857142858</v>
      </c>
      <c r="AA46" s="12">
        <f>PharmaProduction[[#This Row],[Energy_kWh]]/PharmaProduction[[#This Row],[Actual_Units]]</f>
        <v>0.5290334193316133</v>
      </c>
      <c r="AB46" s="12">
        <f>PharmaProduction[[#This Row],[Run_Hours]]+PharmaProduction[[#This Row],[Downtime_hr]]</f>
        <v>7.98</v>
      </c>
    </row>
    <row r="47" spans="1:28" x14ac:dyDescent="0.25">
      <c r="A47" s="9">
        <v>43</v>
      </c>
      <c r="B47" s="8">
        <v>46044</v>
      </c>
      <c r="C47" s="9" t="s">
        <v>30</v>
      </c>
      <c r="D47" s="9" t="s">
        <v>31</v>
      </c>
      <c r="E47" s="9" t="s">
        <v>42</v>
      </c>
      <c r="F47" s="9">
        <v>11310</v>
      </c>
      <c r="G47" s="9">
        <v>8569.2999999999993</v>
      </c>
      <c r="H47" s="9">
        <v>8441.7999999999993</v>
      </c>
      <c r="I47" s="9">
        <v>127.5</v>
      </c>
      <c r="J47" s="9">
        <v>8632.1</v>
      </c>
      <c r="K47" s="9">
        <v>1.48</v>
      </c>
      <c r="L47" s="9" t="s">
        <v>33</v>
      </c>
      <c r="M47" s="9" t="s">
        <v>34</v>
      </c>
      <c r="N47" s="9" t="s">
        <v>33</v>
      </c>
      <c r="O47" s="9">
        <v>0</v>
      </c>
      <c r="P47" s="9">
        <v>35.9</v>
      </c>
      <c r="Q47" s="9">
        <v>4417.6000000000004</v>
      </c>
      <c r="R47" s="9">
        <v>6.64</v>
      </c>
      <c r="S47" s="10">
        <f>PharmaProduction[[#This Row],[Actual_Units]]/PharmaProduction[[#This Row],[Planned_Units]]</f>
        <v>0.75767462422634835</v>
      </c>
      <c r="T47" s="10">
        <f>(8-PharmaProduction[[#This Row],[Downtime_hr]])/8</f>
        <v>0.81499999999999995</v>
      </c>
      <c r="U47" s="10">
        <f>((PharmaProduction[[#This Row],[Actual_Units]]/(8-PharmaProduction[[#This Row],[Downtime_hr]]))*8)/(PharmaProduction[[#This Row],[Planned_Units]])</f>
        <v>0.92966211561515133</v>
      </c>
      <c r="V47" s="10">
        <f>PharmaProduction[[#This Row],[Good_Units]]/PharmaProduction[[#This Row],[Actual_Units]]</f>
        <v>0.98512130512410578</v>
      </c>
      <c r="W47" s="10">
        <f>PharmaProduction[[#This Row],[Availability_%]]*PharmaProduction[[#This Row],[Performance_%]]*PharmaProduction[[#This Row],[Quality_%]]</f>
        <v>0.74640141467727661</v>
      </c>
      <c r="X47" s="10">
        <f>PharmaProduction[[#This Row],[Good_Units]]/PharmaProduction[[#This Row],[Planned_Units]]</f>
        <v>0.74640141467727672</v>
      </c>
      <c r="Y47" s="10">
        <f>PharmaProduction[[#This Row],[Rejected_Units]]/PharmaProduction[[#This Row],[Actual_Units]]</f>
        <v>1.4878694875894181E-2</v>
      </c>
      <c r="Z47" s="11">
        <f>PharmaProduction[[#This Row],[Actual_Units]]/PharmaProduction[[#This Row],[Labor_Hours]]</f>
        <v>238.69916434540389</v>
      </c>
      <c r="AA47" s="12">
        <f>PharmaProduction[[#This Row],[Energy_kWh]]/PharmaProduction[[#This Row],[Actual_Units]]</f>
        <v>0.51551468614705998</v>
      </c>
      <c r="AB47" s="12">
        <f>PharmaProduction[[#This Row],[Run_Hours]]+PharmaProduction[[#This Row],[Downtime_hr]]</f>
        <v>8.1199999999999992</v>
      </c>
    </row>
    <row r="48" spans="1:28" x14ac:dyDescent="0.25">
      <c r="A48" s="9">
        <v>44</v>
      </c>
      <c r="B48" s="8">
        <v>46044</v>
      </c>
      <c r="C48" s="9" t="s">
        <v>35</v>
      </c>
      <c r="D48" s="9" t="s">
        <v>38</v>
      </c>
      <c r="E48" s="9" t="s">
        <v>32</v>
      </c>
      <c r="F48" s="9">
        <v>11053</v>
      </c>
      <c r="G48" s="9">
        <v>7657.3</v>
      </c>
      <c r="H48" s="9">
        <v>7504.3</v>
      </c>
      <c r="I48" s="9">
        <v>153</v>
      </c>
      <c r="J48" s="9">
        <v>7659.4</v>
      </c>
      <c r="K48" s="9">
        <v>2.1</v>
      </c>
      <c r="L48" s="9" t="s">
        <v>33</v>
      </c>
      <c r="M48" s="9" t="s">
        <v>34</v>
      </c>
      <c r="N48" s="9" t="s">
        <v>33</v>
      </c>
      <c r="O48" s="9">
        <v>0</v>
      </c>
      <c r="P48" s="9">
        <v>37.1</v>
      </c>
      <c r="Q48" s="9">
        <v>3645.1</v>
      </c>
      <c r="R48" s="9">
        <v>6.8</v>
      </c>
      <c r="S48" s="10">
        <f>PharmaProduction[[#This Row],[Actual_Units]]/PharmaProduction[[#This Row],[Planned_Units]]</f>
        <v>0.69278024065864474</v>
      </c>
      <c r="T48" s="10">
        <f>(8-PharmaProduction[[#This Row],[Downtime_hr]])/8</f>
        <v>0.73750000000000004</v>
      </c>
      <c r="U48" s="10">
        <f>((PharmaProduction[[#This Row],[Actual_Units]]/(8-PharmaProduction[[#This Row],[Downtime_hr]]))*8)/(PharmaProduction[[#This Row],[Planned_Units]])</f>
        <v>0.93936303818121303</v>
      </c>
      <c r="V48" s="10">
        <f>PharmaProduction[[#This Row],[Good_Units]]/PharmaProduction[[#This Row],[Actual_Units]]</f>
        <v>0.98001906677288342</v>
      </c>
      <c r="W48" s="10">
        <f>PharmaProduction[[#This Row],[Availability_%]]*PharmaProduction[[#This Row],[Performance_%]]*PharmaProduction[[#This Row],[Quality_%]]</f>
        <v>0.67893784492897846</v>
      </c>
      <c r="X48" s="10">
        <f>PharmaProduction[[#This Row],[Good_Units]]/PharmaProduction[[#This Row],[Planned_Units]]</f>
        <v>0.67893784492897857</v>
      </c>
      <c r="Y48" s="10">
        <f>PharmaProduction[[#This Row],[Rejected_Units]]/PharmaProduction[[#This Row],[Actual_Units]]</f>
        <v>1.9980933227116606E-2</v>
      </c>
      <c r="Z48" s="11">
        <f>PharmaProduction[[#This Row],[Actual_Units]]/PharmaProduction[[#This Row],[Labor_Hours]]</f>
        <v>206.39622641509433</v>
      </c>
      <c r="AA48" s="12">
        <f>PharmaProduction[[#This Row],[Energy_kWh]]/PharmaProduction[[#This Row],[Actual_Units]]</f>
        <v>0.47602940984420095</v>
      </c>
      <c r="AB48" s="12">
        <f>PharmaProduction[[#This Row],[Run_Hours]]+PharmaProduction[[#This Row],[Downtime_hr]]</f>
        <v>8.9</v>
      </c>
    </row>
    <row r="49" spans="1:28" x14ac:dyDescent="0.25">
      <c r="A49" s="9">
        <v>45</v>
      </c>
      <c r="B49" s="8">
        <v>46045</v>
      </c>
      <c r="C49" s="9" t="s">
        <v>30</v>
      </c>
      <c r="D49" s="9" t="s">
        <v>38</v>
      </c>
      <c r="E49" s="9" t="s">
        <v>32</v>
      </c>
      <c r="F49" s="9">
        <v>9172</v>
      </c>
      <c r="G49" s="9">
        <v>5777.7</v>
      </c>
      <c r="H49" s="9">
        <v>5734.5</v>
      </c>
      <c r="I49" s="9">
        <v>43.3</v>
      </c>
      <c r="J49" s="9">
        <v>5819.2</v>
      </c>
      <c r="K49" s="9">
        <v>3.82</v>
      </c>
      <c r="L49" s="9" t="s">
        <v>46</v>
      </c>
      <c r="M49" s="9" t="s">
        <v>34</v>
      </c>
      <c r="N49" s="9" t="s">
        <v>47</v>
      </c>
      <c r="O49" s="9">
        <v>1420.77</v>
      </c>
      <c r="P49" s="9">
        <v>42.7</v>
      </c>
      <c r="Q49" s="9">
        <v>2886.9</v>
      </c>
      <c r="R49" s="9">
        <v>7.99</v>
      </c>
      <c r="S49" s="10">
        <f>PharmaProduction[[#This Row],[Actual_Units]]/PharmaProduction[[#This Row],[Planned_Units]]</f>
        <v>0.62992804186655038</v>
      </c>
      <c r="T49" s="10">
        <f>(8-PharmaProduction[[#This Row],[Downtime_hr]])/8</f>
        <v>0.52249999999999996</v>
      </c>
      <c r="U49" s="10">
        <f>((PharmaProduction[[#This Row],[Actual_Units]]/(8-PharmaProduction[[#This Row],[Downtime_hr]]))*8)/(PharmaProduction[[#This Row],[Planned_Units]])</f>
        <v>1.2056039078785654</v>
      </c>
      <c r="V49" s="10">
        <f>PharmaProduction[[#This Row],[Good_Units]]/PharmaProduction[[#This Row],[Actual_Units]]</f>
        <v>0.99252297627083441</v>
      </c>
      <c r="W49" s="10">
        <f>PharmaProduction[[#This Row],[Availability_%]]*PharmaProduction[[#This Row],[Performance_%]]*PharmaProduction[[#This Row],[Quality_%]]</f>
        <v>0.62521805494984739</v>
      </c>
      <c r="X49" s="10">
        <f>PharmaProduction[[#This Row],[Good_Units]]/PharmaProduction[[#This Row],[Planned_Units]]</f>
        <v>0.62521805494984739</v>
      </c>
      <c r="Y49" s="10">
        <f>PharmaProduction[[#This Row],[Rejected_Units]]/PharmaProduction[[#This Row],[Actual_Units]]</f>
        <v>7.4943316544645788E-3</v>
      </c>
      <c r="Z49" s="11">
        <f>PharmaProduction[[#This Row],[Actual_Units]]/PharmaProduction[[#This Row],[Labor_Hours]]</f>
        <v>135.30913348946135</v>
      </c>
      <c r="AA49" s="12">
        <f>PharmaProduction[[#This Row],[Energy_kWh]]/PharmaProduction[[#This Row],[Actual_Units]]</f>
        <v>0.49966249545666963</v>
      </c>
      <c r="AB49" s="12">
        <f>PharmaProduction[[#This Row],[Run_Hours]]+PharmaProduction[[#This Row],[Downtime_hr]]</f>
        <v>11.81</v>
      </c>
    </row>
    <row r="50" spans="1:28" x14ac:dyDescent="0.25">
      <c r="A50" s="9">
        <v>46</v>
      </c>
      <c r="B50" s="8">
        <v>46045</v>
      </c>
      <c r="C50" s="9" t="s">
        <v>35</v>
      </c>
      <c r="D50" s="9" t="s">
        <v>36</v>
      </c>
      <c r="E50" s="9" t="s">
        <v>39</v>
      </c>
      <c r="F50" s="9">
        <v>11256</v>
      </c>
      <c r="G50" s="9">
        <v>7617.4</v>
      </c>
      <c r="H50" s="9">
        <v>7584.6</v>
      </c>
      <c r="I50" s="9">
        <v>32.700000000000003</v>
      </c>
      <c r="J50" s="9">
        <v>7680.9</v>
      </c>
      <c r="K50" s="9">
        <v>2.36</v>
      </c>
      <c r="L50" s="9" t="s">
        <v>43</v>
      </c>
      <c r="M50" s="9" t="s">
        <v>34</v>
      </c>
      <c r="N50" s="9" t="s">
        <v>33</v>
      </c>
      <c r="O50" s="9">
        <v>0</v>
      </c>
      <c r="P50" s="9">
        <v>49.9</v>
      </c>
      <c r="Q50" s="9">
        <v>3958.4</v>
      </c>
      <c r="R50" s="9">
        <v>6.87</v>
      </c>
      <c r="S50" s="10">
        <f>PharmaProduction[[#This Row],[Actual_Units]]/PharmaProduction[[#This Row],[Planned_Units]]</f>
        <v>0.67674129353233825</v>
      </c>
      <c r="T50" s="10">
        <f>(8-PharmaProduction[[#This Row],[Downtime_hr]])/8</f>
        <v>0.70500000000000007</v>
      </c>
      <c r="U50" s="10">
        <f>((PharmaProduction[[#This Row],[Actual_Units]]/(8-PharmaProduction[[#This Row],[Downtime_hr]]))*8)/(PharmaProduction[[#This Row],[Planned_Units]])</f>
        <v>0.95991672841466424</v>
      </c>
      <c r="V50" s="10">
        <f>PharmaProduction[[#This Row],[Good_Units]]/PharmaProduction[[#This Row],[Actual_Units]]</f>
        <v>0.99569406884238731</v>
      </c>
      <c r="W50" s="10">
        <f>PharmaProduction[[#This Row],[Availability_%]]*PharmaProduction[[#This Row],[Performance_%]]*PharmaProduction[[#This Row],[Quality_%]]</f>
        <v>0.67382729211087433</v>
      </c>
      <c r="X50" s="10">
        <f>PharmaProduction[[#This Row],[Good_Units]]/PharmaProduction[[#This Row],[Planned_Units]]</f>
        <v>0.67382729211087422</v>
      </c>
      <c r="Y50" s="10">
        <f>PharmaProduction[[#This Row],[Rejected_Units]]/PharmaProduction[[#This Row],[Actual_Units]]</f>
        <v>4.2928033187176733E-3</v>
      </c>
      <c r="Z50" s="11">
        <f>PharmaProduction[[#This Row],[Actual_Units]]/PharmaProduction[[#This Row],[Labor_Hours]]</f>
        <v>152.65330661322645</v>
      </c>
      <c r="AA50" s="12">
        <f>PharmaProduction[[#This Row],[Energy_kWh]]/PharmaProduction[[#This Row],[Actual_Units]]</f>
        <v>0.5196523748260562</v>
      </c>
      <c r="AB50" s="12">
        <f>PharmaProduction[[#This Row],[Run_Hours]]+PharmaProduction[[#This Row],[Downtime_hr]]</f>
        <v>9.23</v>
      </c>
    </row>
    <row r="51" spans="1:28" x14ac:dyDescent="0.25">
      <c r="A51" s="9">
        <v>47</v>
      </c>
      <c r="B51" s="8">
        <v>46046</v>
      </c>
      <c r="C51" s="9" t="s">
        <v>30</v>
      </c>
      <c r="D51" s="9" t="s">
        <v>38</v>
      </c>
      <c r="E51" s="9" t="s">
        <v>42</v>
      </c>
      <c r="F51" s="9">
        <v>9043</v>
      </c>
      <c r="G51" s="9">
        <v>7483.2</v>
      </c>
      <c r="H51" s="9">
        <v>7412.7</v>
      </c>
      <c r="I51" s="9">
        <v>70.5</v>
      </c>
      <c r="J51" s="9">
        <v>7633.5</v>
      </c>
      <c r="K51" s="9">
        <v>1.07</v>
      </c>
      <c r="L51" s="9" t="s">
        <v>33</v>
      </c>
      <c r="M51" s="9" t="s">
        <v>34</v>
      </c>
      <c r="N51" s="9" t="s">
        <v>47</v>
      </c>
      <c r="O51" s="9">
        <v>1405.36</v>
      </c>
      <c r="P51" s="9">
        <v>41.9</v>
      </c>
      <c r="Q51" s="9">
        <v>3839</v>
      </c>
      <c r="R51" s="9">
        <v>7.82</v>
      </c>
      <c r="S51" s="10">
        <f>PharmaProduction[[#This Row],[Actual_Units]]/PharmaProduction[[#This Row],[Planned_Units]]</f>
        <v>0.82751299347561647</v>
      </c>
      <c r="T51" s="10">
        <f>(8-PharmaProduction[[#This Row],[Downtime_hr]])/8</f>
        <v>0.86624999999999996</v>
      </c>
      <c r="U51" s="10">
        <f>((PharmaProduction[[#This Row],[Actual_Units]]/(8-PharmaProduction[[#This Row],[Downtime_hr]]))*8)/(PharmaProduction[[#This Row],[Planned_Units]])</f>
        <v>0.95528195495020674</v>
      </c>
      <c r="V51" s="10">
        <f>PharmaProduction[[#This Row],[Good_Units]]/PharmaProduction[[#This Row],[Actual_Units]]</f>
        <v>0.99057889672867228</v>
      </c>
      <c r="W51" s="10">
        <f>PharmaProduction[[#This Row],[Availability_%]]*PharmaProduction[[#This Row],[Performance_%]]*PharmaProduction[[#This Row],[Quality_%]]</f>
        <v>0.81971690810571729</v>
      </c>
      <c r="X51" s="10">
        <f>PharmaProduction[[#This Row],[Good_Units]]/PharmaProduction[[#This Row],[Planned_Units]]</f>
        <v>0.81971690810571707</v>
      </c>
      <c r="Y51" s="10">
        <f>PharmaProduction[[#This Row],[Rejected_Units]]/PharmaProduction[[#This Row],[Actual_Units]]</f>
        <v>9.4211032713277746E-3</v>
      </c>
      <c r="Z51" s="11">
        <f>PharmaProduction[[#This Row],[Actual_Units]]/PharmaProduction[[#This Row],[Labor_Hours]]</f>
        <v>178.59665871121717</v>
      </c>
      <c r="AA51" s="12">
        <f>PharmaProduction[[#This Row],[Energy_kWh]]/PharmaProduction[[#This Row],[Actual_Units]]</f>
        <v>0.51301582210818897</v>
      </c>
      <c r="AB51" s="12">
        <f>PharmaProduction[[#This Row],[Run_Hours]]+PharmaProduction[[#This Row],[Downtime_hr]]</f>
        <v>8.89</v>
      </c>
    </row>
    <row r="52" spans="1:28" x14ac:dyDescent="0.25">
      <c r="A52" s="9">
        <v>48</v>
      </c>
      <c r="B52" s="8">
        <v>46046</v>
      </c>
      <c r="C52" s="9" t="s">
        <v>35</v>
      </c>
      <c r="D52" s="9" t="s">
        <v>36</v>
      </c>
      <c r="E52" s="9" t="s">
        <v>39</v>
      </c>
      <c r="F52" s="9">
        <v>10185</v>
      </c>
      <c r="G52" s="9">
        <v>8809.5</v>
      </c>
      <c r="H52" s="9">
        <v>7990.6</v>
      </c>
      <c r="I52" s="9">
        <v>818.9</v>
      </c>
      <c r="J52" s="9">
        <v>8998.5</v>
      </c>
      <c r="K52" s="9">
        <v>0.27</v>
      </c>
      <c r="L52" s="9" t="s">
        <v>33</v>
      </c>
      <c r="M52" s="9" t="s">
        <v>41</v>
      </c>
      <c r="N52" s="9" t="s">
        <v>33</v>
      </c>
      <c r="O52" s="9">
        <v>0</v>
      </c>
      <c r="P52" s="9">
        <v>39.4</v>
      </c>
      <c r="Q52" s="9">
        <v>4274.8999999999996</v>
      </c>
      <c r="R52" s="9">
        <v>7.76</v>
      </c>
      <c r="S52" s="10">
        <f>PharmaProduction[[#This Row],[Actual_Units]]/PharmaProduction[[#This Row],[Planned_Units]]</f>
        <v>0.86494845360824746</v>
      </c>
      <c r="T52" s="10">
        <f>(8-PharmaProduction[[#This Row],[Downtime_hr]])/8</f>
        <v>0.96625000000000005</v>
      </c>
      <c r="U52" s="10">
        <f>((PharmaProduction[[#This Row],[Actual_Units]]/(8-PharmaProduction[[#This Row],[Downtime_hr]]))*8)/(PharmaProduction[[#This Row],[Planned_Units]])</f>
        <v>0.89516010722716421</v>
      </c>
      <c r="V52" s="10">
        <f>PharmaProduction[[#This Row],[Good_Units]]/PharmaProduction[[#This Row],[Actual_Units]]</f>
        <v>0.90704353255008796</v>
      </c>
      <c r="W52" s="10">
        <f>PharmaProduction[[#This Row],[Availability_%]]*PharmaProduction[[#This Row],[Performance_%]]*PharmaProduction[[#This Row],[Quality_%]]</f>
        <v>0.78454590083456066</v>
      </c>
      <c r="X52" s="10">
        <f>PharmaProduction[[#This Row],[Good_Units]]/PharmaProduction[[#This Row],[Planned_Units]]</f>
        <v>0.78454590083456066</v>
      </c>
      <c r="Y52" s="10">
        <f>PharmaProduction[[#This Row],[Rejected_Units]]/PharmaProduction[[#This Row],[Actual_Units]]</f>
        <v>9.2956467449912025E-2</v>
      </c>
      <c r="Z52" s="11">
        <f>PharmaProduction[[#This Row],[Actual_Units]]/PharmaProduction[[#This Row],[Labor_Hours]]</f>
        <v>223.59137055837564</v>
      </c>
      <c r="AA52" s="12">
        <f>PharmaProduction[[#This Row],[Energy_kWh]]/PharmaProduction[[#This Row],[Actual_Units]]</f>
        <v>0.48526023043305516</v>
      </c>
      <c r="AB52" s="12">
        <f>PharmaProduction[[#This Row],[Run_Hours]]+PharmaProduction[[#This Row],[Downtime_hr]]</f>
        <v>8.0299999999999994</v>
      </c>
    </row>
    <row r="53" spans="1:28" x14ac:dyDescent="0.25">
      <c r="A53" s="9">
        <v>49</v>
      </c>
      <c r="B53" s="8">
        <v>46047</v>
      </c>
      <c r="C53" s="9" t="s">
        <v>30</v>
      </c>
      <c r="D53" s="9" t="s">
        <v>38</v>
      </c>
      <c r="E53" s="9" t="s">
        <v>42</v>
      </c>
      <c r="F53" s="9">
        <v>11065</v>
      </c>
      <c r="G53" s="9">
        <v>8549</v>
      </c>
      <c r="H53" s="9">
        <v>8453.2999999999993</v>
      </c>
      <c r="I53" s="9">
        <v>95.7</v>
      </c>
      <c r="J53" s="9">
        <v>8668.1</v>
      </c>
      <c r="K53" s="9">
        <v>1.1499999999999999</v>
      </c>
      <c r="L53" s="9" t="s">
        <v>33</v>
      </c>
      <c r="M53" s="9" t="s">
        <v>34</v>
      </c>
      <c r="N53" s="9" t="s">
        <v>33</v>
      </c>
      <c r="O53" s="9">
        <v>0</v>
      </c>
      <c r="P53" s="9">
        <v>48.4</v>
      </c>
      <c r="Q53" s="9">
        <v>4520</v>
      </c>
      <c r="R53" s="9">
        <v>6.68</v>
      </c>
      <c r="S53" s="10">
        <f>PharmaProduction[[#This Row],[Actual_Units]]/PharmaProduction[[#This Row],[Planned_Units]]</f>
        <v>0.77261635788522365</v>
      </c>
      <c r="T53" s="10">
        <f>(8-PharmaProduction[[#This Row],[Downtime_hr]])/8</f>
        <v>0.85624999999999996</v>
      </c>
      <c r="U53" s="10">
        <f>((PharmaProduction[[#This Row],[Actual_Units]]/(8-PharmaProduction[[#This Row],[Downtime_hr]]))*8)/(PharmaProduction[[#This Row],[Planned_Units]])</f>
        <v>0.90232567344259706</v>
      </c>
      <c r="V53" s="10">
        <f>PharmaProduction[[#This Row],[Good_Units]]/PharmaProduction[[#This Row],[Actual_Units]]</f>
        <v>0.98880570826997305</v>
      </c>
      <c r="W53" s="10">
        <f>PharmaProduction[[#This Row],[Availability_%]]*PharmaProduction[[#This Row],[Performance_%]]*PharmaProduction[[#This Row],[Quality_%]]</f>
        <v>0.7639674649796655</v>
      </c>
      <c r="X53" s="10">
        <f>PharmaProduction[[#This Row],[Good_Units]]/PharmaProduction[[#This Row],[Planned_Units]]</f>
        <v>0.7639674649796655</v>
      </c>
      <c r="Y53" s="10">
        <f>PharmaProduction[[#This Row],[Rejected_Units]]/PharmaProduction[[#This Row],[Actual_Units]]</f>
        <v>1.1194291730026904E-2</v>
      </c>
      <c r="Z53" s="11">
        <f>PharmaProduction[[#This Row],[Actual_Units]]/PharmaProduction[[#This Row],[Labor_Hours]]</f>
        <v>176.63223140495867</v>
      </c>
      <c r="AA53" s="12">
        <f>PharmaProduction[[#This Row],[Energy_kWh]]/PharmaProduction[[#This Row],[Actual_Units]]</f>
        <v>0.52871680898350681</v>
      </c>
      <c r="AB53" s="12">
        <f>PharmaProduction[[#This Row],[Run_Hours]]+PharmaProduction[[#This Row],[Downtime_hr]]</f>
        <v>7.83</v>
      </c>
    </row>
    <row r="54" spans="1:28" x14ac:dyDescent="0.25">
      <c r="A54" s="9">
        <v>50</v>
      </c>
      <c r="B54" s="8">
        <v>46047</v>
      </c>
      <c r="C54" s="9" t="s">
        <v>35</v>
      </c>
      <c r="D54" s="9" t="s">
        <v>36</v>
      </c>
      <c r="E54" s="9" t="s">
        <v>39</v>
      </c>
      <c r="F54" s="9">
        <v>10318</v>
      </c>
      <c r="G54" s="9">
        <v>6920.4</v>
      </c>
      <c r="H54" s="9">
        <v>6841.9</v>
      </c>
      <c r="I54" s="9">
        <v>78.599999999999994</v>
      </c>
      <c r="J54" s="9">
        <v>7023.2</v>
      </c>
      <c r="K54" s="9">
        <v>2.83</v>
      </c>
      <c r="L54" s="9" t="s">
        <v>33</v>
      </c>
      <c r="M54" s="9" t="s">
        <v>34</v>
      </c>
      <c r="N54" s="9" t="s">
        <v>44</v>
      </c>
      <c r="O54" s="9">
        <v>613.61</v>
      </c>
      <c r="P54" s="9">
        <v>38.299999999999997</v>
      </c>
      <c r="Q54" s="9">
        <v>3458.8</v>
      </c>
      <c r="R54" s="9">
        <v>7.07</v>
      </c>
      <c r="S54" s="10">
        <f>PharmaProduction[[#This Row],[Actual_Units]]/PharmaProduction[[#This Row],[Planned_Units]]</f>
        <v>0.67071137817406468</v>
      </c>
      <c r="T54" s="10">
        <f>(8-PharmaProduction[[#This Row],[Downtime_hr]])/8</f>
        <v>0.64624999999999999</v>
      </c>
      <c r="U54" s="10">
        <f>((PharmaProduction[[#This Row],[Actual_Units]]/(8-PharmaProduction[[#This Row],[Downtime_hr]]))*8)/(PharmaProduction[[#This Row],[Planned_Units]])</f>
        <v>1.037851262164897</v>
      </c>
      <c r="V54" s="10">
        <f>PharmaProduction[[#This Row],[Good_Units]]/PharmaProduction[[#This Row],[Actual_Units]]</f>
        <v>0.98865672504479507</v>
      </c>
      <c r="W54" s="10">
        <f>PharmaProduction[[#This Row],[Availability_%]]*PharmaProduction[[#This Row],[Performance_%]]*PharmaProduction[[#This Row],[Quality_%]]</f>
        <v>0.66310331459585181</v>
      </c>
      <c r="X54" s="10">
        <f>PharmaProduction[[#This Row],[Good_Units]]/PharmaProduction[[#This Row],[Planned_Units]]</f>
        <v>0.66310331459585192</v>
      </c>
      <c r="Y54" s="10">
        <f>PharmaProduction[[#This Row],[Rejected_Units]]/PharmaProduction[[#This Row],[Actual_Units]]</f>
        <v>1.1357724986994971E-2</v>
      </c>
      <c r="Z54" s="11">
        <f>PharmaProduction[[#This Row],[Actual_Units]]/PharmaProduction[[#This Row],[Labor_Hours]]</f>
        <v>180.68929503916451</v>
      </c>
      <c r="AA54" s="12">
        <f>PharmaProduction[[#This Row],[Energy_kWh]]/PharmaProduction[[#This Row],[Actual_Units]]</f>
        <v>0.49979769955493908</v>
      </c>
      <c r="AB54" s="12">
        <f>PharmaProduction[[#This Row],[Run_Hours]]+PharmaProduction[[#This Row],[Downtime_hr]]</f>
        <v>9.9</v>
      </c>
    </row>
    <row r="55" spans="1:28" x14ac:dyDescent="0.25">
      <c r="A55" s="9">
        <v>51</v>
      </c>
      <c r="B55" s="8">
        <v>46048</v>
      </c>
      <c r="C55" s="9" t="s">
        <v>30</v>
      </c>
      <c r="D55" s="9" t="s">
        <v>36</v>
      </c>
      <c r="E55" s="9" t="s">
        <v>42</v>
      </c>
      <c r="F55" s="9">
        <v>10310</v>
      </c>
      <c r="G55" s="9">
        <v>7710.6</v>
      </c>
      <c r="H55" s="9">
        <v>7523.7</v>
      </c>
      <c r="I55" s="9">
        <v>186.9</v>
      </c>
      <c r="J55" s="9">
        <v>7834</v>
      </c>
      <c r="K55" s="9">
        <v>1.22</v>
      </c>
      <c r="L55" s="9" t="s">
        <v>33</v>
      </c>
      <c r="M55" s="9" t="s">
        <v>34</v>
      </c>
      <c r="N55" s="9" t="s">
        <v>37</v>
      </c>
      <c r="O55" s="9">
        <v>288.57</v>
      </c>
      <c r="P55" s="9">
        <v>46</v>
      </c>
      <c r="Q55" s="9">
        <v>3903.7</v>
      </c>
      <c r="R55" s="9">
        <v>6.78</v>
      </c>
      <c r="S55" s="10">
        <f>PharmaProduction[[#This Row],[Actual_Units]]/PharmaProduction[[#This Row],[Planned_Units]]</f>
        <v>0.74787584869059165</v>
      </c>
      <c r="T55" s="10">
        <f>(8-PharmaProduction[[#This Row],[Downtime_hr]])/8</f>
        <v>0.84750000000000003</v>
      </c>
      <c r="U55" s="10">
        <f>((PharmaProduction[[#This Row],[Actual_Units]]/(8-PharmaProduction[[#This Row],[Downtime_hr]]))*8)/(PharmaProduction[[#This Row],[Planned_Units]])</f>
        <v>0.88244937898594888</v>
      </c>
      <c r="V55" s="10">
        <f>PharmaProduction[[#This Row],[Good_Units]]/PharmaProduction[[#This Row],[Actual_Units]]</f>
        <v>0.97576064119523764</v>
      </c>
      <c r="W55" s="10">
        <f>PharmaProduction[[#This Row],[Availability_%]]*PharmaProduction[[#This Row],[Performance_%]]*PharmaProduction[[#This Row],[Quality_%]]</f>
        <v>0.72974781765276431</v>
      </c>
      <c r="X55" s="10">
        <f>PharmaProduction[[#This Row],[Good_Units]]/PharmaProduction[[#This Row],[Planned_Units]]</f>
        <v>0.72974781765276431</v>
      </c>
      <c r="Y55" s="10">
        <f>PharmaProduction[[#This Row],[Rejected_Units]]/PharmaProduction[[#This Row],[Actual_Units]]</f>
        <v>2.4239358804762273E-2</v>
      </c>
      <c r="Z55" s="11">
        <f>PharmaProduction[[#This Row],[Actual_Units]]/PharmaProduction[[#This Row],[Labor_Hours]]</f>
        <v>167.6217391304348</v>
      </c>
      <c r="AA55" s="12">
        <f>PharmaProduction[[#This Row],[Energy_kWh]]/PharmaProduction[[#This Row],[Actual_Units]]</f>
        <v>0.50627707312012027</v>
      </c>
      <c r="AB55" s="12">
        <f>PharmaProduction[[#This Row],[Run_Hours]]+PharmaProduction[[#This Row],[Downtime_hr]]</f>
        <v>8</v>
      </c>
    </row>
    <row r="56" spans="1:28" x14ac:dyDescent="0.25">
      <c r="A56" s="9">
        <v>52</v>
      </c>
      <c r="B56" s="8">
        <v>46048</v>
      </c>
      <c r="C56" s="9" t="s">
        <v>35</v>
      </c>
      <c r="D56" s="9" t="s">
        <v>31</v>
      </c>
      <c r="E56" s="9" t="s">
        <v>39</v>
      </c>
      <c r="F56" s="9">
        <v>9364</v>
      </c>
      <c r="G56" s="9">
        <v>6854.5</v>
      </c>
      <c r="H56" s="9">
        <v>6768.3</v>
      </c>
      <c r="I56" s="9">
        <v>86.2</v>
      </c>
      <c r="J56" s="9">
        <v>7043.4</v>
      </c>
      <c r="K56" s="9">
        <v>2.2200000000000002</v>
      </c>
      <c r="L56" s="9" t="s">
        <v>33</v>
      </c>
      <c r="M56" s="9" t="s">
        <v>34</v>
      </c>
      <c r="N56" s="9" t="s">
        <v>33</v>
      </c>
      <c r="O56" s="9">
        <v>0</v>
      </c>
      <c r="P56" s="9">
        <v>47.2</v>
      </c>
      <c r="Q56" s="9">
        <v>3607.8</v>
      </c>
      <c r="R56" s="9">
        <v>7.06</v>
      </c>
      <c r="S56" s="10">
        <f>PharmaProduction[[#This Row],[Actual_Units]]/PharmaProduction[[#This Row],[Planned_Units]]</f>
        <v>0.73200555318240068</v>
      </c>
      <c r="T56" s="10">
        <f>(8-PharmaProduction[[#This Row],[Downtime_hr]])/8</f>
        <v>0.72249999999999992</v>
      </c>
      <c r="U56" s="10">
        <f>((PharmaProduction[[#This Row],[Actual_Units]]/(8-PharmaProduction[[#This Row],[Downtime_hr]]))*8)/(PharmaProduction[[#This Row],[Planned_Units]])</f>
        <v>1.0131564749929423</v>
      </c>
      <c r="V56" s="10">
        <f>PharmaProduction[[#This Row],[Good_Units]]/PharmaProduction[[#This Row],[Actual_Units]]</f>
        <v>0.98742431978991907</v>
      </c>
      <c r="W56" s="10">
        <f>PharmaProduction[[#This Row],[Availability_%]]*PharmaProduction[[#This Row],[Performance_%]]*PharmaProduction[[#This Row],[Quality_%]]</f>
        <v>0.72280008543357543</v>
      </c>
      <c r="X56" s="10">
        <f>PharmaProduction[[#This Row],[Good_Units]]/PharmaProduction[[#This Row],[Planned_Units]]</f>
        <v>0.72280008543357543</v>
      </c>
      <c r="Y56" s="10">
        <f>PharmaProduction[[#This Row],[Rejected_Units]]/PharmaProduction[[#This Row],[Actual_Units]]</f>
        <v>1.2575680210080969E-2</v>
      </c>
      <c r="Z56" s="11">
        <f>PharmaProduction[[#This Row],[Actual_Units]]/PharmaProduction[[#This Row],[Labor_Hours]]</f>
        <v>145.22245762711864</v>
      </c>
      <c r="AA56" s="12">
        <f>PharmaProduction[[#This Row],[Energy_kWh]]/PharmaProduction[[#This Row],[Actual_Units]]</f>
        <v>0.52634036034721721</v>
      </c>
      <c r="AB56" s="12">
        <f>PharmaProduction[[#This Row],[Run_Hours]]+PharmaProduction[[#This Row],[Downtime_hr]]</f>
        <v>9.2799999999999994</v>
      </c>
    </row>
    <row r="57" spans="1:28" x14ac:dyDescent="0.25">
      <c r="A57" s="9">
        <v>53</v>
      </c>
      <c r="B57" s="8">
        <v>46049</v>
      </c>
      <c r="C57" s="9" t="s">
        <v>30</v>
      </c>
      <c r="D57" s="9" t="s">
        <v>38</v>
      </c>
      <c r="E57" s="9" t="s">
        <v>32</v>
      </c>
      <c r="F57" s="9">
        <v>9768</v>
      </c>
      <c r="G57" s="9">
        <v>6460.1</v>
      </c>
      <c r="H57" s="9">
        <v>6348.3</v>
      </c>
      <c r="I57" s="9">
        <v>111.8</v>
      </c>
      <c r="J57" s="9">
        <v>6617.9</v>
      </c>
      <c r="K57" s="9">
        <v>2.83</v>
      </c>
      <c r="L57" s="9" t="s">
        <v>33</v>
      </c>
      <c r="M57" s="9" t="s">
        <v>34</v>
      </c>
      <c r="N57" s="9" t="s">
        <v>33</v>
      </c>
      <c r="O57" s="9">
        <v>0</v>
      </c>
      <c r="P57" s="9">
        <v>44.6</v>
      </c>
      <c r="Q57" s="9">
        <v>3117.3</v>
      </c>
      <c r="R57" s="9">
        <v>6.93</v>
      </c>
      <c r="S57" s="10">
        <f>PharmaProduction[[#This Row],[Actual_Units]]/PharmaProduction[[#This Row],[Planned_Units]]</f>
        <v>0.66135339885339894</v>
      </c>
      <c r="T57" s="10">
        <f>(8-PharmaProduction[[#This Row],[Downtime_hr]])/8</f>
        <v>0.64624999999999999</v>
      </c>
      <c r="U57" s="10">
        <f>((PharmaProduction[[#This Row],[Actual_Units]]/(8-PharmaProduction[[#This Row],[Downtime_hr]]))*8)/(PharmaProduction[[#This Row],[Planned_Units]])</f>
        <v>1.0233708299472324</v>
      </c>
      <c r="V57" s="10">
        <f>PharmaProduction[[#This Row],[Good_Units]]/PharmaProduction[[#This Row],[Actual_Units]]</f>
        <v>0.98269376635036609</v>
      </c>
      <c r="W57" s="10">
        <f>PharmaProduction[[#This Row],[Availability_%]]*PharmaProduction[[#This Row],[Performance_%]]*PharmaProduction[[#This Row],[Quality_%]]</f>
        <v>0.64990786240786247</v>
      </c>
      <c r="X57" s="10">
        <f>PharmaProduction[[#This Row],[Good_Units]]/PharmaProduction[[#This Row],[Planned_Units]]</f>
        <v>0.64990786240786247</v>
      </c>
      <c r="Y57" s="10">
        <f>PharmaProduction[[#This Row],[Rejected_Units]]/PharmaProduction[[#This Row],[Actual_Units]]</f>
        <v>1.7306233649633906E-2</v>
      </c>
      <c r="Z57" s="11">
        <f>PharmaProduction[[#This Row],[Actual_Units]]/PharmaProduction[[#This Row],[Labor_Hours]]</f>
        <v>144.84529147982065</v>
      </c>
      <c r="AA57" s="12">
        <f>PharmaProduction[[#This Row],[Energy_kWh]]/PharmaProduction[[#This Row],[Actual_Units]]</f>
        <v>0.48254670980325381</v>
      </c>
      <c r="AB57" s="12">
        <f>PharmaProduction[[#This Row],[Run_Hours]]+PharmaProduction[[#This Row],[Downtime_hr]]</f>
        <v>9.76</v>
      </c>
    </row>
    <row r="58" spans="1:28" x14ac:dyDescent="0.25">
      <c r="A58" s="9">
        <v>54</v>
      </c>
      <c r="B58" s="8">
        <v>46049</v>
      </c>
      <c r="C58" s="9" t="s">
        <v>35</v>
      </c>
      <c r="D58" s="9" t="s">
        <v>38</v>
      </c>
      <c r="E58" s="9" t="s">
        <v>32</v>
      </c>
      <c r="F58" s="9">
        <v>9058</v>
      </c>
      <c r="G58" s="9">
        <v>5964.8</v>
      </c>
      <c r="H58" s="9">
        <v>5820.8</v>
      </c>
      <c r="I58" s="9">
        <v>144</v>
      </c>
      <c r="J58" s="9">
        <v>6131</v>
      </c>
      <c r="K58" s="9">
        <v>2.94</v>
      </c>
      <c r="L58" s="9" t="s">
        <v>46</v>
      </c>
      <c r="M58" s="9" t="s">
        <v>34</v>
      </c>
      <c r="N58" s="9" t="s">
        <v>33</v>
      </c>
      <c r="O58" s="9">
        <v>0</v>
      </c>
      <c r="P58" s="9">
        <v>34</v>
      </c>
      <c r="Q58" s="9">
        <v>3002.6</v>
      </c>
      <c r="R58" s="9">
        <v>7.31</v>
      </c>
      <c r="S58" s="10">
        <f>PharmaProduction[[#This Row],[Actual_Units]]/PharmaProduction[[#This Row],[Planned_Units]]</f>
        <v>0.65851181276219917</v>
      </c>
      <c r="T58" s="10">
        <f>(8-PharmaProduction[[#This Row],[Downtime_hr]])/8</f>
        <v>0.63250000000000006</v>
      </c>
      <c r="U58" s="10">
        <f>((PharmaProduction[[#This Row],[Actual_Units]]/(8-PharmaProduction[[#This Row],[Downtime_hr]]))*8)/(PharmaProduction[[#This Row],[Planned_Units]])</f>
        <v>1.041125395671461</v>
      </c>
      <c r="V58" s="10">
        <f>PharmaProduction[[#This Row],[Good_Units]]/PharmaProduction[[#This Row],[Actual_Units]]</f>
        <v>0.97585836909871249</v>
      </c>
      <c r="W58" s="10">
        <f>PharmaProduction[[#This Row],[Availability_%]]*PharmaProduction[[#This Row],[Performance_%]]*PharmaProduction[[#This Row],[Quality_%]]</f>
        <v>0.64261426363435636</v>
      </c>
      <c r="X58" s="10">
        <f>PharmaProduction[[#This Row],[Good_Units]]/PharmaProduction[[#This Row],[Planned_Units]]</f>
        <v>0.64261426363435636</v>
      </c>
      <c r="Y58" s="10">
        <f>PharmaProduction[[#This Row],[Rejected_Units]]/PharmaProduction[[#This Row],[Actual_Units]]</f>
        <v>2.4141630901287552E-2</v>
      </c>
      <c r="Z58" s="11">
        <f>PharmaProduction[[#This Row],[Actual_Units]]/PharmaProduction[[#This Row],[Labor_Hours]]</f>
        <v>175.43529411764706</v>
      </c>
      <c r="AA58" s="12">
        <f>PharmaProduction[[#This Row],[Energy_kWh]]/PharmaProduction[[#This Row],[Actual_Units]]</f>
        <v>0.50338653433476388</v>
      </c>
      <c r="AB58" s="12">
        <f>PharmaProduction[[#This Row],[Run_Hours]]+PharmaProduction[[#This Row],[Downtime_hr]]</f>
        <v>10.25</v>
      </c>
    </row>
    <row r="59" spans="1:28" x14ac:dyDescent="0.25">
      <c r="A59" s="9">
        <v>55</v>
      </c>
      <c r="B59" s="8">
        <v>46050</v>
      </c>
      <c r="C59" s="9" t="s">
        <v>30</v>
      </c>
      <c r="D59" s="9" t="s">
        <v>36</v>
      </c>
      <c r="E59" s="9" t="s">
        <v>32</v>
      </c>
      <c r="F59" s="9">
        <v>11472</v>
      </c>
      <c r="G59" s="9">
        <v>7722.3</v>
      </c>
      <c r="H59" s="9">
        <v>7676.6</v>
      </c>
      <c r="I59" s="9">
        <v>45.7</v>
      </c>
      <c r="J59" s="9">
        <v>7784.6</v>
      </c>
      <c r="K59" s="9">
        <v>2.17</v>
      </c>
      <c r="L59" s="9" t="s">
        <v>43</v>
      </c>
      <c r="M59" s="9" t="s">
        <v>34</v>
      </c>
      <c r="N59" s="9" t="s">
        <v>33</v>
      </c>
      <c r="O59" s="9">
        <v>0</v>
      </c>
      <c r="P59" s="9">
        <v>39.700000000000003</v>
      </c>
      <c r="Q59" s="9">
        <v>4249.3999999999996</v>
      </c>
      <c r="R59" s="9">
        <v>7.33</v>
      </c>
      <c r="S59" s="10">
        <f>PharmaProduction[[#This Row],[Actual_Units]]/PharmaProduction[[#This Row],[Planned_Units]]</f>
        <v>0.67314330543933054</v>
      </c>
      <c r="T59" s="10">
        <f>(8-PharmaProduction[[#This Row],[Downtime_hr]])/8</f>
        <v>0.72875000000000001</v>
      </c>
      <c r="U59" s="10">
        <f>((PharmaProduction[[#This Row],[Actual_Units]]/(8-PharmaProduction[[#This Row],[Downtime_hr]]))*8)/(PharmaProduction[[#This Row],[Planned_Units]])</f>
        <v>0.92369578790988749</v>
      </c>
      <c r="V59" s="10">
        <f>PharmaProduction[[#This Row],[Good_Units]]/PharmaProduction[[#This Row],[Actual_Units]]</f>
        <v>0.99408207399349935</v>
      </c>
      <c r="W59" s="10">
        <f>PharmaProduction[[#This Row],[Availability_%]]*PharmaProduction[[#This Row],[Performance_%]]*PharmaProduction[[#This Row],[Quality_%]]</f>
        <v>0.66915969316596935</v>
      </c>
      <c r="X59" s="10">
        <f>PharmaProduction[[#This Row],[Good_Units]]/PharmaProduction[[#This Row],[Planned_Units]]</f>
        <v>0.66915969316596935</v>
      </c>
      <c r="Y59" s="10">
        <f>PharmaProduction[[#This Row],[Rejected_Units]]/PharmaProduction[[#This Row],[Actual_Units]]</f>
        <v>5.9179260065006538E-3</v>
      </c>
      <c r="Z59" s="11">
        <f>PharmaProduction[[#This Row],[Actual_Units]]/PharmaProduction[[#This Row],[Labor_Hours]]</f>
        <v>194.51637279596977</v>
      </c>
      <c r="AA59" s="12">
        <f>PharmaProduction[[#This Row],[Energy_kWh]]/PharmaProduction[[#This Row],[Actual_Units]]</f>
        <v>0.55027647203553343</v>
      </c>
      <c r="AB59" s="12">
        <f>PharmaProduction[[#This Row],[Run_Hours]]+PharmaProduction[[#This Row],[Downtime_hr]]</f>
        <v>9.5</v>
      </c>
    </row>
    <row r="60" spans="1:28" x14ac:dyDescent="0.25">
      <c r="A60" s="9">
        <v>56</v>
      </c>
      <c r="B60" s="8">
        <v>46050</v>
      </c>
      <c r="C60" s="9" t="s">
        <v>35</v>
      </c>
      <c r="D60" s="9" t="s">
        <v>36</v>
      </c>
      <c r="E60" s="9" t="s">
        <v>32</v>
      </c>
      <c r="F60" s="9">
        <v>9619</v>
      </c>
      <c r="G60" s="9">
        <v>7186.1</v>
      </c>
      <c r="H60" s="9">
        <v>7127.7</v>
      </c>
      <c r="I60" s="9">
        <v>58.5</v>
      </c>
      <c r="J60" s="9">
        <v>7319.1</v>
      </c>
      <c r="K60" s="9">
        <v>1.51</v>
      </c>
      <c r="L60" s="9" t="s">
        <v>33</v>
      </c>
      <c r="M60" s="9" t="s">
        <v>34</v>
      </c>
      <c r="N60" s="9" t="s">
        <v>33</v>
      </c>
      <c r="O60" s="9">
        <v>0</v>
      </c>
      <c r="P60" s="9">
        <v>48.3</v>
      </c>
      <c r="Q60" s="9">
        <v>3698.6</v>
      </c>
      <c r="R60" s="9">
        <v>7.87</v>
      </c>
      <c r="S60" s="10">
        <f>PharmaProduction[[#This Row],[Actual_Units]]/PharmaProduction[[#This Row],[Planned_Units]]</f>
        <v>0.74707350036386322</v>
      </c>
      <c r="T60" s="10">
        <f>(8-PharmaProduction[[#This Row],[Downtime_hr]])/8</f>
        <v>0.81125000000000003</v>
      </c>
      <c r="U60" s="10">
        <f>((PharmaProduction[[#This Row],[Actual_Units]]/(8-PharmaProduction[[#This Row],[Downtime_hr]]))*8)/(PharmaProduction[[#This Row],[Planned_Units]])</f>
        <v>0.92089183403866037</v>
      </c>
      <c r="V60" s="10">
        <f>PharmaProduction[[#This Row],[Good_Units]]/PharmaProduction[[#This Row],[Actual_Units]]</f>
        <v>0.99187319964932297</v>
      </c>
      <c r="W60" s="10">
        <f>PharmaProduction[[#This Row],[Availability_%]]*PharmaProduction[[#This Row],[Performance_%]]*PharmaProduction[[#This Row],[Quality_%]]</f>
        <v>0.7410021831791247</v>
      </c>
      <c r="X60" s="10">
        <f>PharmaProduction[[#This Row],[Good_Units]]/PharmaProduction[[#This Row],[Planned_Units]]</f>
        <v>0.74100218317912458</v>
      </c>
      <c r="Y60" s="10">
        <f>PharmaProduction[[#This Row],[Rejected_Units]]/PharmaProduction[[#This Row],[Actual_Units]]</f>
        <v>8.1407161047021333E-3</v>
      </c>
      <c r="Z60" s="11">
        <f>PharmaProduction[[#This Row],[Actual_Units]]/PharmaProduction[[#This Row],[Labor_Hours]]</f>
        <v>148.78053830227745</v>
      </c>
      <c r="AA60" s="12">
        <f>PharmaProduction[[#This Row],[Energy_kWh]]/PharmaProduction[[#This Row],[Actual_Units]]</f>
        <v>0.51468807837352659</v>
      </c>
      <c r="AB60" s="12">
        <f>PharmaProduction[[#This Row],[Run_Hours]]+PharmaProduction[[#This Row],[Downtime_hr]]</f>
        <v>9.3800000000000008</v>
      </c>
    </row>
    <row r="61" spans="1:28" x14ac:dyDescent="0.25">
      <c r="A61" s="9">
        <v>57</v>
      </c>
      <c r="B61" s="8">
        <v>46051</v>
      </c>
      <c r="C61" s="9" t="s">
        <v>30</v>
      </c>
      <c r="D61" s="9" t="s">
        <v>38</v>
      </c>
      <c r="E61" s="9" t="s">
        <v>32</v>
      </c>
      <c r="F61" s="9">
        <v>11714</v>
      </c>
      <c r="G61" s="9">
        <v>8248.5</v>
      </c>
      <c r="H61" s="9">
        <v>8131.7</v>
      </c>
      <c r="I61" s="9">
        <v>116.8</v>
      </c>
      <c r="J61" s="9">
        <v>8407.9</v>
      </c>
      <c r="K61" s="9">
        <v>1.78</v>
      </c>
      <c r="L61" s="9" t="s">
        <v>33</v>
      </c>
      <c r="M61" s="9" t="s">
        <v>34</v>
      </c>
      <c r="N61" s="9" t="s">
        <v>33</v>
      </c>
      <c r="O61" s="9">
        <v>0</v>
      </c>
      <c r="P61" s="9">
        <v>33.1</v>
      </c>
      <c r="Q61" s="9">
        <v>4515.8</v>
      </c>
      <c r="R61" s="9">
        <v>7.94</v>
      </c>
      <c r="S61" s="10">
        <f>PharmaProduction[[#This Row],[Actual_Units]]/PharmaProduction[[#This Row],[Planned_Units]]</f>
        <v>0.70415741847362134</v>
      </c>
      <c r="T61" s="10">
        <f>(8-PharmaProduction[[#This Row],[Downtime_hr]])/8</f>
        <v>0.77749999999999997</v>
      </c>
      <c r="U61" s="10">
        <f>((PharmaProduction[[#This Row],[Actual_Units]]/(8-PharmaProduction[[#This Row],[Downtime_hr]]))*8)/(PharmaProduction[[#This Row],[Planned_Units]])</f>
        <v>0.90566870543231037</v>
      </c>
      <c r="V61" s="10">
        <f>PharmaProduction[[#This Row],[Good_Units]]/PharmaProduction[[#This Row],[Actual_Units]]</f>
        <v>0.98583984966963689</v>
      </c>
      <c r="W61" s="10">
        <f>PharmaProduction[[#This Row],[Availability_%]]*PharmaProduction[[#This Row],[Performance_%]]*PharmaProduction[[#This Row],[Quality_%]]</f>
        <v>0.69418644357179438</v>
      </c>
      <c r="X61" s="10">
        <f>PharmaProduction[[#This Row],[Good_Units]]/PharmaProduction[[#This Row],[Planned_Units]]</f>
        <v>0.69418644357179438</v>
      </c>
      <c r="Y61" s="10">
        <f>PharmaProduction[[#This Row],[Rejected_Units]]/PharmaProduction[[#This Row],[Actual_Units]]</f>
        <v>1.4160150330363096E-2</v>
      </c>
      <c r="Z61" s="11">
        <f>PharmaProduction[[#This Row],[Actual_Units]]/PharmaProduction[[#This Row],[Labor_Hours]]</f>
        <v>249.19939577039273</v>
      </c>
      <c r="AA61" s="12">
        <f>PharmaProduction[[#This Row],[Energy_kWh]]/PharmaProduction[[#This Row],[Actual_Units]]</f>
        <v>0.54746923683093895</v>
      </c>
      <c r="AB61" s="12">
        <f>PharmaProduction[[#This Row],[Run_Hours]]+PharmaProduction[[#This Row],[Downtime_hr]]</f>
        <v>9.7200000000000006</v>
      </c>
    </row>
    <row r="62" spans="1:28" x14ac:dyDescent="0.25">
      <c r="A62" s="9">
        <v>58</v>
      </c>
      <c r="B62" s="8">
        <v>46051</v>
      </c>
      <c r="C62" s="9" t="s">
        <v>35</v>
      </c>
      <c r="D62" s="9" t="s">
        <v>31</v>
      </c>
      <c r="E62" s="9" t="s">
        <v>42</v>
      </c>
      <c r="F62" s="9">
        <v>11569</v>
      </c>
      <c r="G62" s="9">
        <v>7904.2</v>
      </c>
      <c r="H62" s="9">
        <v>7769.9</v>
      </c>
      <c r="I62" s="9">
        <v>134.30000000000001</v>
      </c>
      <c r="J62" s="9">
        <v>8056.4</v>
      </c>
      <c r="K62" s="9">
        <v>2.6</v>
      </c>
      <c r="L62" s="9" t="s">
        <v>33</v>
      </c>
      <c r="M62" s="9" t="s">
        <v>34</v>
      </c>
      <c r="N62" s="9" t="s">
        <v>33</v>
      </c>
      <c r="O62" s="9">
        <v>0</v>
      </c>
      <c r="P62" s="9">
        <v>40.700000000000003</v>
      </c>
      <c r="Q62" s="9">
        <v>4081</v>
      </c>
      <c r="R62" s="9">
        <v>6.68</v>
      </c>
      <c r="S62" s="10">
        <f>PharmaProduction[[#This Row],[Actual_Units]]/PharmaProduction[[#This Row],[Planned_Units]]</f>
        <v>0.6832224047022214</v>
      </c>
      <c r="T62" s="10">
        <f>(8-PharmaProduction[[#This Row],[Downtime_hr]])/8</f>
        <v>0.67500000000000004</v>
      </c>
      <c r="U62" s="10">
        <f>((PharmaProduction[[#This Row],[Actual_Units]]/(8-PharmaProduction[[#This Row],[Downtime_hr]]))*8)/(PharmaProduction[[#This Row],[Planned_Units]])</f>
        <v>1.0121813402995872</v>
      </c>
      <c r="V62" s="10">
        <f>PharmaProduction[[#This Row],[Good_Units]]/PharmaProduction[[#This Row],[Actual_Units]]</f>
        <v>0.98300903317223753</v>
      </c>
      <c r="W62" s="10">
        <f>PharmaProduction[[#This Row],[Availability_%]]*PharmaProduction[[#This Row],[Performance_%]]*PharmaProduction[[#This Row],[Quality_%]]</f>
        <v>0.67161379548794187</v>
      </c>
      <c r="X62" s="10">
        <f>PharmaProduction[[#This Row],[Good_Units]]/PharmaProduction[[#This Row],[Planned_Units]]</f>
        <v>0.67161379548794187</v>
      </c>
      <c r="Y62" s="10">
        <f>PharmaProduction[[#This Row],[Rejected_Units]]/PharmaProduction[[#This Row],[Actual_Units]]</f>
        <v>1.6990966827762456E-2</v>
      </c>
      <c r="Z62" s="11">
        <f>PharmaProduction[[#This Row],[Actual_Units]]/PharmaProduction[[#This Row],[Labor_Hours]]</f>
        <v>194.2063882063882</v>
      </c>
      <c r="AA62" s="12">
        <f>PharmaProduction[[#This Row],[Energy_kWh]]/PharmaProduction[[#This Row],[Actual_Units]]</f>
        <v>0.51630778573416669</v>
      </c>
      <c r="AB62" s="12">
        <f>PharmaProduction[[#This Row],[Run_Hours]]+PharmaProduction[[#This Row],[Downtime_hr]]</f>
        <v>9.2799999999999994</v>
      </c>
    </row>
    <row r="63" spans="1:28" x14ac:dyDescent="0.25">
      <c r="A63" s="9">
        <v>59</v>
      </c>
      <c r="B63" s="8">
        <v>46052</v>
      </c>
      <c r="C63" s="9" t="s">
        <v>30</v>
      </c>
      <c r="D63" s="9" t="s">
        <v>38</v>
      </c>
      <c r="E63" s="9" t="s">
        <v>42</v>
      </c>
      <c r="F63" s="9">
        <v>11427</v>
      </c>
      <c r="G63" s="9">
        <v>7376.1</v>
      </c>
      <c r="H63" s="9">
        <v>7250.5</v>
      </c>
      <c r="I63" s="9">
        <v>125.6</v>
      </c>
      <c r="J63" s="9">
        <v>7457.5</v>
      </c>
      <c r="K63" s="9">
        <v>3.78</v>
      </c>
      <c r="L63" s="9" t="s">
        <v>48</v>
      </c>
      <c r="M63" s="9" t="s">
        <v>34</v>
      </c>
      <c r="N63" s="9" t="s">
        <v>33</v>
      </c>
      <c r="O63" s="9">
        <v>0</v>
      </c>
      <c r="P63" s="9">
        <v>43.2</v>
      </c>
      <c r="Q63" s="9">
        <v>4369.8999999999996</v>
      </c>
      <c r="R63" s="9">
        <v>6.57</v>
      </c>
      <c r="S63" s="10">
        <f>PharmaProduction[[#This Row],[Actual_Units]]/PharmaProduction[[#This Row],[Planned_Units]]</f>
        <v>0.64549750590706223</v>
      </c>
      <c r="T63" s="10">
        <f>(8-PharmaProduction[[#This Row],[Downtime_hr]])/8</f>
        <v>0.52750000000000008</v>
      </c>
      <c r="U63" s="10">
        <f>((PharmaProduction[[#This Row],[Actual_Units]]/(8-PharmaProduction[[#This Row],[Downtime_hr]]))*8)/(PharmaProduction[[#This Row],[Planned_Units]])</f>
        <v>1.2236919543261842</v>
      </c>
      <c r="V63" s="10">
        <f>PharmaProduction[[#This Row],[Good_Units]]/PharmaProduction[[#This Row],[Actual_Units]]</f>
        <v>0.98297203129024824</v>
      </c>
      <c r="W63" s="10">
        <f>PharmaProduction[[#This Row],[Availability_%]]*PharmaProduction[[#This Row],[Performance_%]]*PharmaProduction[[#This Row],[Quality_%]]</f>
        <v>0.63450599457425394</v>
      </c>
      <c r="X63" s="10">
        <f>PharmaProduction[[#This Row],[Good_Units]]/PharmaProduction[[#This Row],[Planned_Units]]</f>
        <v>0.63450599457425394</v>
      </c>
      <c r="Y63" s="10">
        <f>PharmaProduction[[#This Row],[Rejected_Units]]/PharmaProduction[[#This Row],[Actual_Units]]</f>
        <v>1.7027968709751765E-2</v>
      </c>
      <c r="Z63" s="11">
        <f>PharmaProduction[[#This Row],[Actual_Units]]/PharmaProduction[[#This Row],[Labor_Hours]]</f>
        <v>170.74305555555554</v>
      </c>
      <c r="AA63" s="12">
        <f>PharmaProduction[[#This Row],[Energy_kWh]]/PharmaProduction[[#This Row],[Actual_Units]]</f>
        <v>0.59244044956006559</v>
      </c>
      <c r="AB63" s="12">
        <f>PharmaProduction[[#This Row],[Run_Hours]]+PharmaProduction[[#This Row],[Downtime_hr]]</f>
        <v>10.35</v>
      </c>
    </row>
    <row r="64" spans="1:28" x14ac:dyDescent="0.25">
      <c r="A64" s="9">
        <v>60</v>
      </c>
      <c r="B64" s="8">
        <v>46052</v>
      </c>
      <c r="C64" s="9" t="s">
        <v>35</v>
      </c>
      <c r="D64" s="9" t="s">
        <v>31</v>
      </c>
      <c r="E64" s="9" t="s">
        <v>32</v>
      </c>
      <c r="F64" s="9">
        <v>11012</v>
      </c>
      <c r="G64" s="9">
        <v>6745.2</v>
      </c>
      <c r="H64" s="9">
        <v>6649.4</v>
      </c>
      <c r="I64" s="9">
        <v>95.9</v>
      </c>
      <c r="J64" s="9">
        <v>6697.1</v>
      </c>
      <c r="K64" s="9">
        <v>3.18</v>
      </c>
      <c r="L64" s="9" t="s">
        <v>33</v>
      </c>
      <c r="M64" s="9" t="s">
        <v>34</v>
      </c>
      <c r="N64" s="9" t="s">
        <v>33</v>
      </c>
      <c r="O64" s="9">
        <v>0</v>
      </c>
      <c r="P64" s="9">
        <v>37.700000000000003</v>
      </c>
      <c r="Q64" s="9">
        <v>3636.2</v>
      </c>
      <c r="R64" s="9">
        <v>7.77</v>
      </c>
      <c r="S64" s="10">
        <f>PharmaProduction[[#This Row],[Actual_Units]]/PharmaProduction[[#This Row],[Planned_Units]]</f>
        <v>0.61253178350889936</v>
      </c>
      <c r="T64" s="10">
        <f>(8-PharmaProduction[[#This Row],[Downtime_hr]])/8</f>
        <v>0.60250000000000004</v>
      </c>
      <c r="U64" s="10">
        <f>((PharmaProduction[[#This Row],[Actual_Units]]/(8-PharmaProduction[[#This Row],[Downtime_hr]]))*8)/(PharmaProduction[[#This Row],[Planned_Units]])</f>
        <v>1.0166502630853103</v>
      </c>
      <c r="V64" s="10">
        <f>PharmaProduction[[#This Row],[Good_Units]]/PharmaProduction[[#This Row],[Actual_Units]]</f>
        <v>0.98579730771511587</v>
      </c>
      <c r="W64" s="10">
        <f>PharmaProduction[[#This Row],[Availability_%]]*PharmaProduction[[#This Row],[Performance_%]]*PharmaProduction[[#This Row],[Quality_%]]</f>
        <v>0.60383218307301134</v>
      </c>
      <c r="X64" s="10">
        <f>PharmaProduction[[#This Row],[Good_Units]]/PharmaProduction[[#This Row],[Planned_Units]]</f>
        <v>0.60383218307301123</v>
      </c>
      <c r="Y64" s="10">
        <f>PharmaProduction[[#This Row],[Rejected_Units]]/PharmaProduction[[#This Row],[Actual_Units]]</f>
        <v>1.4217517642175178E-2</v>
      </c>
      <c r="Z64" s="11">
        <f>PharmaProduction[[#This Row],[Actual_Units]]/PharmaProduction[[#This Row],[Labor_Hours]]</f>
        <v>178.91777188328911</v>
      </c>
      <c r="AA64" s="12">
        <f>PharmaProduction[[#This Row],[Energy_kWh]]/PharmaProduction[[#This Row],[Actual_Units]]</f>
        <v>0.53907964181936785</v>
      </c>
      <c r="AB64" s="12">
        <f>PharmaProduction[[#This Row],[Run_Hours]]+PharmaProduction[[#This Row],[Downtime_hr]]</f>
        <v>10.95</v>
      </c>
    </row>
    <row r="65" spans="1:28" x14ac:dyDescent="0.25">
      <c r="A65" s="9">
        <v>61</v>
      </c>
      <c r="B65" s="8">
        <v>46053</v>
      </c>
      <c r="C65" s="9" t="s">
        <v>30</v>
      </c>
      <c r="D65" s="9" t="s">
        <v>38</v>
      </c>
      <c r="E65" s="9" t="s">
        <v>39</v>
      </c>
      <c r="F65" s="9">
        <v>10964</v>
      </c>
      <c r="G65" s="9">
        <v>7137</v>
      </c>
      <c r="H65" s="9">
        <v>7037.7</v>
      </c>
      <c r="I65" s="9">
        <v>99.3</v>
      </c>
      <c r="J65" s="9">
        <v>7283.2</v>
      </c>
      <c r="K65" s="9">
        <v>2.19</v>
      </c>
      <c r="L65" s="9" t="s">
        <v>33</v>
      </c>
      <c r="M65" s="9" t="s">
        <v>34</v>
      </c>
      <c r="N65" s="9" t="s">
        <v>33</v>
      </c>
      <c r="O65" s="9">
        <v>0</v>
      </c>
      <c r="P65" s="9">
        <v>45.6</v>
      </c>
      <c r="Q65" s="9">
        <v>3867.4</v>
      </c>
      <c r="R65" s="9">
        <v>6.97</v>
      </c>
      <c r="S65" s="10">
        <f>PharmaProduction[[#This Row],[Actual_Units]]/PharmaProduction[[#This Row],[Planned_Units]]</f>
        <v>0.65094855892010217</v>
      </c>
      <c r="T65" s="10">
        <f>(8-PharmaProduction[[#This Row],[Downtime_hr]])/8</f>
        <v>0.72625000000000006</v>
      </c>
      <c r="U65" s="10">
        <f>((PharmaProduction[[#This Row],[Actual_Units]]/(8-PharmaProduction[[#This Row],[Downtime_hr]]))*8)/(PharmaProduction[[#This Row],[Planned_Units]])</f>
        <v>0.8963147110775932</v>
      </c>
      <c r="V65" s="10">
        <f>PharmaProduction[[#This Row],[Good_Units]]/PharmaProduction[[#This Row],[Actual_Units]]</f>
        <v>0.98608659100462381</v>
      </c>
      <c r="W65" s="10">
        <f>PharmaProduction[[#This Row],[Availability_%]]*PharmaProduction[[#This Row],[Performance_%]]*PharmaProduction[[#This Row],[Quality_%]]</f>
        <v>0.64189164538489596</v>
      </c>
      <c r="X65" s="10">
        <f>PharmaProduction[[#This Row],[Good_Units]]/PharmaProduction[[#This Row],[Planned_Units]]</f>
        <v>0.64189164538489596</v>
      </c>
      <c r="Y65" s="10">
        <f>PharmaProduction[[#This Row],[Rejected_Units]]/PharmaProduction[[#This Row],[Actual_Units]]</f>
        <v>1.3913408995376209E-2</v>
      </c>
      <c r="Z65" s="11">
        <f>PharmaProduction[[#This Row],[Actual_Units]]/PharmaProduction[[#This Row],[Labor_Hours]]</f>
        <v>156.51315789473685</v>
      </c>
      <c r="AA65" s="12">
        <f>PharmaProduction[[#This Row],[Energy_kWh]]/PharmaProduction[[#This Row],[Actual_Units]]</f>
        <v>0.54188034188034184</v>
      </c>
      <c r="AB65" s="12">
        <f>PharmaProduction[[#This Row],[Run_Hours]]+PharmaProduction[[#This Row],[Downtime_hr]]</f>
        <v>9.16</v>
      </c>
    </row>
    <row r="66" spans="1:28" x14ac:dyDescent="0.25">
      <c r="A66" s="9">
        <v>62</v>
      </c>
      <c r="B66" s="8">
        <v>46053</v>
      </c>
      <c r="C66" s="9" t="s">
        <v>35</v>
      </c>
      <c r="D66" s="9" t="s">
        <v>36</v>
      </c>
      <c r="E66" s="9" t="s">
        <v>32</v>
      </c>
      <c r="F66" s="9">
        <v>9260</v>
      </c>
      <c r="G66" s="9">
        <v>5915.1</v>
      </c>
      <c r="H66" s="9">
        <v>5888.4</v>
      </c>
      <c r="I66" s="9">
        <v>26.7</v>
      </c>
      <c r="J66" s="9">
        <v>6037.3</v>
      </c>
      <c r="K66" s="9">
        <v>3.69</v>
      </c>
      <c r="L66" s="9" t="s">
        <v>40</v>
      </c>
      <c r="M66" s="9" t="s">
        <v>34</v>
      </c>
      <c r="N66" s="9" t="s">
        <v>37</v>
      </c>
      <c r="O66" s="9">
        <v>286.97000000000003</v>
      </c>
      <c r="P66" s="9">
        <v>51</v>
      </c>
      <c r="Q66" s="9">
        <v>3093.2</v>
      </c>
      <c r="R66" s="9">
        <v>6.58</v>
      </c>
      <c r="S66" s="10">
        <f>PharmaProduction[[#This Row],[Actual_Units]]/PharmaProduction[[#This Row],[Planned_Units]]</f>
        <v>0.63877969762419007</v>
      </c>
      <c r="T66" s="10">
        <f>(8-PharmaProduction[[#This Row],[Downtime_hr]])/8</f>
        <v>0.53875000000000006</v>
      </c>
      <c r="U66" s="10">
        <f>((PharmaProduction[[#This Row],[Actual_Units]]/(8-PharmaProduction[[#This Row],[Downtime_hr]]))*8)/(PharmaProduction[[#This Row],[Planned_Units]])</f>
        <v>1.1856699723882878</v>
      </c>
      <c r="V66" s="10">
        <f>PharmaProduction[[#This Row],[Good_Units]]/PharmaProduction[[#This Row],[Actual_Units]]</f>
        <v>0.99548612872140785</v>
      </c>
      <c r="W66" s="10">
        <f>PharmaProduction[[#This Row],[Availability_%]]*PharmaProduction[[#This Row],[Performance_%]]*PharmaProduction[[#This Row],[Quality_%]]</f>
        <v>0.63589632829373643</v>
      </c>
      <c r="X66" s="10">
        <f>PharmaProduction[[#This Row],[Good_Units]]/PharmaProduction[[#This Row],[Planned_Units]]</f>
        <v>0.63589632829373643</v>
      </c>
      <c r="Y66" s="10">
        <f>PharmaProduction[[#This Row],[Rejected_Units]]/PharmaProduction[[#This Row],[Actual_Units]]</f>
        <v>4.5138712785920774E-3</v>
      </c>
      <c r="Z66" s="11">
        <f>PharmaProduction[[#This Row],[Actual_Units]]/PharmaProduction[[#This Row],[Labor_Hours]]</f>
        <v>115.98235294117647</v>
      </c>
      <c r="AA66" s="12">
        <f>PharmaProduction[[#This Row],[Energy_kWh]]/PharmaProduction[[#This Row],[Actual_Units]]</f>
        <v>0.52293283291913906</v>
      </c>
      <c r="AB66" s="12">
        <f>PharmaProduction[[#This Row],[Run_Hours]]+PharmaProduction[[#This Row],[Downtime_hr]]</f>
        <v>10.27</v>
      </c>
    </row>
    <row r="67" spans="1:28" x14ac:dyDescent="0.25">
      <c r="A67" s="9">
        <v>63</v>
      </c>
      <c r="B67" s="8">
        <v>46054</v>
      </c>
      <c r="C67" s="9" t="s">
        <v>30</v>
      </c>
      <c r="D67" s="9" t="s">
        <v>38</v>
      </c>
      <c r="E67" s="9" t="s">
        <v>39</v>
      </c>
      <c r="F67" s="9">
        <v>10954</v>
      </c>
      <c r="G67" s="9">
        <v>9067.5</v>
      </c>
      <c r="H67" s="9">
        <v>9017.2999999999993</v>
      </c>
      <c r="I67" s="9">
        <v>50.2</v>
      </c>
      <c r="J67" s="9">
        <v>9290.2000000000007</v>
      </c>
      <c r="K67" s="9">
        <v>0.76</v>
      </c>
      <c r="L67" s="9" t="s">
        <v>33</v>
      </c>
      <c r="M67" s="9" t="s">
        <v>34</v>
      </c>
      <c r="N67" s="9" t="s">
        <v>33</v>
      </c>
      <c r="O67" s="9">
        <v>0</v>
      </c>
      <c r="P67" s="9">
        <v>45.2</v>
      </c>
      <c r="Q67" s="9">
        <v>4671.1000000000004</v>
      </c>
      <c r="R67" s="9">
        <v>6.86</v>
      </c>
      <c r="S67" s="10">
        <f>PharmaProduction[[#This Row],[Actual_Units]]/PharmaProduction[[#This Row],[Planned_Units]]</f>
        <v>0.82777980646339233</v>
      </c>
      <c r="T67" s="10">
        <f>(8-PharmaProduction[[#This Row],[Downtime_hr]])/8</f>
        <v>0.90500000000000003</v>
      </c>
      <c r="U67" s="10">
        <f>((PharmaProduction[[#This Row],[Actual_Units]]/(8-PharmaProduction[[#This Row],[Downtime_hr]]))*8)/(PharmaProduction[[#This Row],[Planned_Units]])</f>
        <v>0.9146738192965661</v>
      </c>
      <c r="V67" s="10">
        <f>PharmaProduction[[#This Row],[Good_Units]]/PharmaProduction[[#This Row],[Actual_Units]]</f>
        <v>0.99446374414116345</v>
      </c>
      <c r="W67" s="10">
        <f>PharmaProduction[[#This Row],[Availability_%]]*PharmaProduction[[#This Row],[Performance_%]]*PharmaProduction[[#This Row],[Quality_%]]</f>
        <v>0.82319700566003284</v>
      </c>
      <c r="X67" s="10">
        <f>PharmaProduction[[#This Row],[Good_Units]]/PharmaProduction[[#This Row],[Planned_Units]]</f>
        <v>0.82319700566003284</v>
      </c>
      <c r="Y67" s="10">
        <f>PharmaProduction[[#This Row],[Rejected_Units]]/PharmaProduction[[#This Row],[Actual_Units]]</f>
        <v>5.536255858836504E-3</v>
      </c>
      <c r="Z67" s="11">
        <f>PharmaProduction[[#This Row],[Actual_Units]]/PharmaProduction[[#This Row],[Labor_Hours]]</f>
        <v>200.60840707964601</v>
      </c>
      <c r="AA67" s="12">
        <f>PharmaProduction[[#This Row],[Energy_kWh]]/PharmaProduction[[#This Row],[Actual_Units]]</f>
        <v>0.51514750482492422</v>
      </c>
      <c r="AB67" s="12">
        <f>PharmaProduction[[#This Row],[Run_Hours]]+PharmaProduction[[#This Row],[Downtime_hr]]</f>
        <v>7.62</v>
      </c>
    </row>
    <row r="68" spans="1:28" x14ac:dyDescent="0.25">
      <c r="A68" s="9">
        <v>64</v>
      </c>
      <c r="B68" s="8">
        <v>46054</v>
      </c>
      <c r="C68" s="9" t="s">
        <v>35</v>
      </c>
      <c r="D68" s="9" t="s">
        <v>36</v>
      </c>
      <c r="E68" s="9" t="s">
        <v>32</v>
      </c>
      <c r="F68" s="9">
        <v>9798</v>
      </c>
      <c r="G68" s="9">
        <v>8304</v>
      </c>
      <c r="H68" s="9">
        <v>8248.2000000000007</v>
      </c>
      <c r="I68" s="9">
        <v>55.8</v>
      </c>
      <c r="J68" s="9">
        <v>8370.2000000000007</v>
      </c>
      <c r="K68" s="9">
        <v>1.03</v>
      </c>
      <c r="L68" s="9" t="s">
        <v>45</v>
      </c>
      <c r="M68" s="9" t="s">
        <v>34</v>
      </c>
      <c r="N68" s="9" t="s">
        <v>33</v>
      </c>
      <c r="O68" s="9">
        <v>0</v>
      </c>
      <c r="P68" s="9">
        <v>36.700000000000003</v>
      </c>
      <c r="Q68" s="9">
        <v>4595.1000000000004</v>
      </c>
      <c r="R68" s="9">
        <v>6.86</v>
      </c>
      <c r="S68" s="10">
        <f>PharmaProduction[[#This Row],[Actual_Units]]/PharmaProduction[[#This Row],[Planned_Units]]</f>
        <v>0.84751990202082061</v>
      </c>
      <c r="T68" s="10">
        <f>(8-PharmaProduction[[#This Row],[Downtime_hr]])/8</f>
        <v>0.87124999999999997</v>
      </c>
      <c r="U68" s="10">
        <f>((PharmaProduction[[#This Row],[Actual_Units]]/(8-PharmaProduction[[#This Row],[Downtime_hr]]))*8)/(PharmaProduction[[#This Row],[Planned_Units]])</f>
        <v>0.9727631587039548</v>
      </c>
      <c r="V68" s="10">
        <f>PharmaProduction[[#This Row],[Good_Units]]/PharmaProduction[[#This Row],[Actual_Units]]</f>
        <v>0.99328034682080935</v>
      </c>
      <c r="W68" s="10">
        <f>PharmaProduction[[#This Row],[Availability_%]]*PharmaProduction[[#This Row],[Performance_%]]*PharmaProduction[[#This Row],[Quality_%]]</f>
        <v>0.8418248622167791</v>
      </c>
      <c r="X68" s="10">
        <f>PharmaProduction[[#This Row],[Good_Units]]/PharmaProduction[[#This Row],[Planned_Units]]</f>
        <v>0.84182486221677899</v>
      </c>
      <c r="Y68" s="10">
        <f>PharmaProduction[[#This Row],[Rejected_Units]]/PharmaProduction[[#This Row],[Actual_Units]]</f>
        <v>6.7196531791907507E-3</v>
      </c>
      <c r="Z68" s="11">
        <f>PharmaProduction[[#This Row],[Actual_Units]]/PharmaProduction[[#This Row],[Labor_Hours]]</f>
        <v>226.26702997275203</v>
      </c>
      <c r="AA68" s="12">
        <f>PharmaProduction[[#This Row],[Energy_kWh]]/PharmaProduction[[#This Row],[Actual_Units]]</f>
        <v>0.55335982658959537</v>
      </c>
      <c r="AB68" s="12">
        <f>PharmaProduction[[#This Row],[Run_Hours]]+PharmaProduction[[#This Row],[Downtime_hr]]</f>
        <v>7.8900000000000006</v>
      </c>
    </row>
    <row r="69" spans="1:28" x14ac:dyDescent="0.25">
      <c r="A69" s="9">
        <v>65</v>
      </c>
      <c r="B69" s="8">
        <v>46055</v>
      </c>
      <c r="C69" s="9" t="s">
        <v>30</v>
      </c>
      <c r="D69" s="9" t="s">
        <v>36</v>
      </c>
      <c r="E69" s="9" t="s">
        <v>32</v>
      </c>
      <c r="F69" s="9">
        <v>9437</v>
      </c>
      <c r="G69" s="9">
        <v>6613.8</v>
      </c>
      <c r="H69" s="9">
        <v>6550.2</v>
      </c>
      <c r="I69" s="9">
        <v>63.6</v>
      </c>
      <c r="J69" s="9">
        <v>6661.1</v>
      </c>
      <c r="K69" s="9">
        <v>1.73</v>
      </c>
      <c r="L69" s="9" t="s">
        <v>33</v>
      </c>
      <c r="M69" s="9" t="s">
        <v>34</v>
      </c>
      <c r="N69" s="9" t="s">
        <v>33</v>
      </c>
      <c r="O69" s="9">
        <v>0</v>
      </c>
      <c r="P69" s="9">
        <v>32.299999999999997</v>
      </c>
      <c r="Q69" s="9">
        <v>3396.5</v>
      </c>
      <c r="R69" s="9">
        <v>6.88</v>
      </c>
      <c r="S69" s="10">
        <f>PharmaProduction[[#This Row],[Actual_Units]]/PharmaProduction[[#This Row],[Planned_Units]]</f>
        <v>0.70083713044399709</v>
      </c>
      <c r="T69" s="10">
        <f>(8-PharmaProduction[[#This Row],[Downtime_hr]])/8</f>
        <v>0.78374999999999995</v>
      </c>
      <c r="U69" s="10">
        <f>((PharmaProduction[[#This Row],[Actual_Units]]/(8-PharmaProduction[[#This Row],[Downtime_hr]]))*8)/(PharmaProduction[[#This Row],[Planned_Units]])</f>
        <v>0.89421005479297877</v>
      </c>
      <c r="V69" s="10">
        <f>PharmaProduction[[#This Row],[Good_Units]]/PharmaProduction[[#This Row],[Actual_Units]]</f>
        <v>0.99038374308264532</v>
      </c>
      <c r="W69" s="10">
        <f>PharmaProduction[[#This Row],[Availability_%]]*PharmaProduction[[#This Row],[Performance_%]]*PharmaProduction[[#This Row],[Quality_%]]</f>
        <v>0.69409770054042597</v>
      </c>
      <c r="X69" s="10">
        <f>PharmaProduction[[#This Row],[Good_Units]]/PharmaProduction[[#This Row],[Planned_Units]]</f>
        <v>0.69409770054042597</v>
      </c>
      <c r="Y69" s="10">
        <f>PharmaProduction[[#This Row],[Rejected_Units]]/PharmaProduction[[#This Row],[Actual_Units]]</f>
        <v>9.6162569173546229E-3</v>
      </c>
      <c r="Z69" s="11">
        <f>PharmaProduction[[#This Row],[Actual_Units]]/PharmaProduction[[#This Row],[Labor_Hours]]</f>
        <v>204.76160990712077</v>
      </c>
      <c r="AA69" s="12">
        <f>PharmaProduction[[#This Row],[Energy_kWh]]/PharmaProduction[[#This Row],[Actual_Units]]</f>
        <v>0.51354743112885182</v>
      </c>
      <c r="AB69" s="12">
        <f>PharmaProduction[[#This Row],[Run_Hours]]+PharmaProduction[[#This Row],[Downtime_hr]]</f>
        <v>8.61</v>
      </c>
    </row>
    <row r="70" spans="1:28" x14ac:dyDescent="0.25">
      <c r="A70" s="9">
        <v>66</v>
      </c>
      <c r="B70" s="8">
        <v>46055</v>
      </c>
      <c r="C70" s="9" t="s">
        <v>35</v>
      </c>
      <c r="D70" s="9" t="s">
        <v>38</v>
      </c>
      <c r="E70" s="9" t="s">
        <v>42</v>
      </c>
      <c r="F70" s="9">
        <v>9451</v>
      </c>
      <c r="G70" s="9">
        <v>6774.8</v>
      </c>
      <c r="H70" s="9">
        <v>6660.3</v>
      </c>
      <c r="I70" s="9">
        <v>114.5</v>
      </c>
      <c r="J70" s="9">
        <v>6815.5</v>
      </c>
      <c r="K70" s="9">
        <v>1.68</v>
      </c>
      <c r="L70" s="9" t="s">
        <v>33</v>
      </c>
      <c r="M70" s="9" t="s">
        <v>34</v>
      </c>
      <c r="N70" s="9" t="s">
        <v>33</v>
      </c>
      <c r="O70" s="9">
        <v>0</v>
      </c>
      <c r="P70" s="9">
        <v>51.5</v>
      </c>
      <c r="Q70" s="9">
        <v>3833.8</v>
      </c>
      <c r="R70" s="9">
        <v>7.41</v>
      </c>
      <c r="S70" s="10">
        <f>PharmaProduction[[#This Row],[Actual_Units]]/PharmaProduction[[#This Row],[Planned_Units]]</f>
        <v>0.71683419743942445</v>
      </c>
      <c r="T70" s="10">
        <f>(8-PharmaProduction[[#This Row],[Downtime_hr]])/8</f>
        <v>0.79</v>
      </c>
      <c r="U70" s="10">
        <f>((PharmaProduction[[#This Row],[Actual_Units]]/(8-PharmaProduction[[#This Row],[Downtime_hr]]))*8)/(PharmaProduction[[#This Row],[Planned_Units]])</f>
        <v>0.90738506004990438</v>
      </c>
      <c r="V70" s="10">
        <f>PharmaProduction[[#This Row],[Good_Units]]/PharmaProduction[[#This Row],[Actual_Units]]</f>
        <v>0.98309913207769972</v>
      </c>
      <c r="W70" s="10">
        <f>PharmaProduction[[#This Row],[Availability_%]]*PharmaProduction[[#This Row],[Performance_%]]*PharmaProduction[[#This Row],[Quality_%]]</f>
        <v>0.70471907734631256</v>
      </c>
      <c r="X70" s="10">
        <f>PharmaProduction[[#This Row],[Good_Units]]/PharmaProduction[[#This Row],[Planned_Units]]</f>
        <v>0.70471907734631256</v>
      </c>
      <c r="Y70" s="10">
        <f>PharmaProduction[[#This Row],[Rejected_Units]]/PharmaProduction[[#This Row],[Actual_Units]]</f>
        <v>1.6900867922300288E-2</v>
      </c>
      <c r="Z70" s="11">
        <f>PharmaProduction[[#This Row],[Actual_Units]]/PharmaProduction[[#This Row],[Labor_Hours]]</f>
        <v>131.54951456310681</v>
      </c>
      <c r="AA70" s="12">
        <f>PharmaProduction[[#This Row],[Energy_kWh]]/PharmaProduction[[#This Row],[Actual_Units]]</f>
        <v>0.56589124402196378</v>
      </c>
      <c r="AB70" s="12">
        <f>PharmaProduction[[#This Row],[Run_Hours]]+PharmaProduction[[#This Row],[Downtime_hr]]</f>
        <v>9.09</v>
      </c>
    </row>
    <row r="71" spans="1:28" x14ac:dyDescent="0.25">
      <c r="A71" s="9">
        <v>67</v>
      </c>
      <c r="B71" s="8">
        <v>46056</v>
      </c>
      <c r="C71" s="9" t="s">
        <v>30</v>
      </c>
      <c r="D71" s="9" t="s">
        <v>36</v>
      </c>
      <c r="E71" s="9" t="s">
        <v>39</v>
      </c>
      <c r="F71" s="9">
        <v>9587</v>
      </c>
      <c r="G71" s="9">
        <v>7392.8</v>
      </c>
      <c r="H71" s="9">
        <v>7306.6</v>
      </c>
      <c r="I71" s="9">
        <v>86.2</v>
      </c>
      <c r="J71" s="9">
        <v>7423.6</v>
      </c>
      <c r="K71" s="9">
        <v>1.49</v>
      </c>
      <c r="L71" s="9" t="s">
        <v>48</v>
      </c>
      <c r="M71" s="9" t="s">
        <v>34</v>
      </c>
      <c r="N71" s="9" t="s">
        <v>47</v>
      </c>
      <c r="O71" s="9">
        <v>1916.28</v>
      </c>
      <c r="P71" s="9">
        <v>33</v>
      </c>
      <c r="Q71" s="9">
        <v>3550.6</v>
      </c>
      <c r="R71" s="9">
        <v>7.79</v>
      </c>
      <c r="S71" s="10">
        <f>PharmaProduction[[#This Row],[Actual_Units]]/PharmaProduction[[#This Row],[Planned_Units]]</f>
        <v>0.77112756858245546</v>
      </c>
      <c r="T71" s="10">
        <f>(8-PharmaProduction[[#This Row],[Downtime_hr]])/8</f>
        <v>0.81374999999999997</v>
      </c>
      <c r="U71" s="10">
        <f>((PharmaProduction[[#This Row],[Actual_Units]]/(8-PharmaProduction[[#This Row],[Downtime_hr]]))*8)/(PharmaProduction[[#This Row],[Planned_Units]])</f>
        <v>0.94762220409518338</v>
      </c>
      <c r="V71" s="10">
        <f>PharmaProduction[[#This Row],[Good_Units]]/PharmaProduction[[#This Row],[Actual_Units]]</f>
        <v>0.98834000649280385</v>
      </c>
      <c r="W71" s="10">
        <f>PharmaProduction[[#This Row],[Availability_%]]*PharmaProduction[[#This Row],[Performance_%]]*PharmaProduction[[#This Row],[Quality_%]]</f>
        <v>0.76213622613956411</v>
      </c>
      <c r="X71" s="10">
        <f>PharmaProduction[[#This Row],[Good_Units]]/PharmaProduction[[#This Row],[Planned_Units]]</f>
        <v>0.762136226139564</v>
      </c>
      <c r="Y71" s="10">
        <f>PharmaProduction[[#This Row],[Rejected_Units]]/PharmaProduction[[#This Row],[Actual_Units]]</f>
        <v>1.1659993507196192E-2</v>
      </c>
      <c r="Z71" s="11">
        <f>PharmaProduction[[#This Row],[Actual_Units]]/PharmaProduction[[#This Row],[Labor_Hours]]</f>
        <v>224.02424242424243</v>
      </c>
      <c r="AA71" s="12">
        <f>PharmaProduction[[#This Row],[Energy_kWh]]/PharmaProduction[[#This Row],[Actual_Units]]</f>
        <v>0.4802781084298236</v>
      </c>
      <c r="AB71" s="12">
        <f>PharmaProduction[[#This Row],[Run_Hours]]+PharmaProduction[[#This Row],[Downtime_hr]]</f>
        <v>9.2799999999999994</v>
      </c>
    </row>
    <row r="72" spans="1:28" x14ac:dyDescent="0.25">
      <c r="A72" s="9">
        <v>68</v>
      </c>
      <c r="B72" s="8">
        <v>46056</v>
      </c>
      <c r="C72" s="9" t="s">
        <v>35</v>
      </c>
      <c r="D72" s="9" t="s">
        <v>38</v>
      </c>
      <c r="E72" s="9" t="s">
        <v>39</v>
      </c>
      <c r="F72" s="9">
        <v>10505</v>
      </c>
      <c r="G72" s="9">
        <v>7031.7</v>
      </c>
      <c r="H72" s="9">
        <v>6911.1</v>
      </c>
      <c r="I72" s="9">
        <v>120.6</v>
      </c>
      <c r="J72" s="9">
        <v>7218.7</v>
      </c>
      <c r="K72" s="9">
        <v>2.86</v>
      </c>
      <c r="L72" s="9" t="s">
        <v>33</v>
      </c>
      <c r="M72" s="9" t="s">
        <v>34</v>
      </c>
      <c r="N72" s="9" t="s">
        <v>33</v>
      </c>
      <c r="O72" s="9">
        <v>0</v>
      </c>
      <c r="P72" s="9">
        <v>37.9</v>
      </c>
      <c r="Q72" s="9">
        <v>3542.1</v>
      </c>
      <c r="R72" s="9">
        <v>6.58</v>
      </c>
      <c r="S72" s="10">
        <f>PharmaProduction[[#This Row],[Actual_Units]]/PharmaProduction[[#This Row],[Planned_Units]]</f>
        <v>0.66936696811042362</v>
      </c>
      <c r="T72" s="10">
        <f>(8-PharmaProduction[[#This Row],[Downtime_hr]])/8</f>
        <v>0.64250000000000007</v>
      </c>
      <c r="U72" s="10">
        <f>((PharmaProduction[[#This Row],[Actual_Units]]/(8-PharmaProduction[[#This Row],[Downtime_hr]]))*8)/(PharmaProduction[[#This Row],[Planned_Units]])</f>
        <v>1.0418162927788692</v>
      </c>
      <c r="V72" s="10">
        <f>PharmaProduction[[#This Row],[Good_Units]]/PharmaProduction[[#This Row],[Actual_Units]]</f>
        <v>0.98284909765774997</v>
      </c>
      <c r="W72" s="10">
        <f>PharmaProduction[[#This Row],[Availability_%]]*PharmaProduction[[#This Row],[Performance_%]]*PharmaProduction[[#This Row],[Quality_%]]</f>
        <v>0.6578867206092337</v>
      </c>
      <c r="X72" s="10">
        <f>PharmaProduction[[#This Row],[Good_Units]]/PharmaProduction[[#This Row],[Planned_Units]]</f>
        <v>0.6578867206092337</v>
      </c>
      <c r="Y72" s="10">
        <f>PharmaProduction[[#This Row],[Rejected_Units]]/PharmaProduction[[#This Row],[Actual_Units]]</f>
        <v>1.7150902342250095E-2</v>
      </c>
      <c r="Z72" s="11">
        <f>PharmaProduction[[#This Row],[Actual_Units]]/PharmaProduction[[#This Row],[Labor_Hours]]</f>
        <v>185.53298153034302</v>
      </c>
      <c r="AA72" s="12">
        <f>PharmaProduction[[#This Row],[Energy_kWh]]/PharmaProduction[[#This Row],[Actual_Units]]</f>
        <v>0.50373309441529079</v>
      </c>
      <c r="AB72" s="12">
        <f>PharmaProduction[[#This Row],[Run_Hours]]+PharmaProduction[[#This Row],[Downtime_hr]]</f>
        <v>9.44</v>
      </c>
    </row>
    <row r="73" spans="1:28" x14ac:dyDescent="0.25">
      <c r="A73" s="9">
        <v>69</v>
      </c>
      <c r="B73" s="8">
        <v>46057</v>
      </c>
      <c r="C73" s="9" t="s">
        <v>30</v>
      </c>
      <c r="D73" s="9" t="s">
        <v>36</v>
      </c>
      <c r="E73" s="9" t="s">
        <v>39</v>
      </c>
      <c r="F73" s="9">
        <v>9548</v>
      </c>
      <c r="G73" s="9">
        <v>8850.7999999999993</v>
      </c>
      <c r="H73" s="9">
        <v>8763.2999999999993</v>
      </c>
      <c r="I73" s="9">
        <v>87.5</v>
      </c>
      <c r="J73" s="9">
        <v>9227.2000000000007</v>
      </c>
      <c r="K73" s="9">
        <v>0</v>
      </c>
      <c r="L73" s="9" t="s">
        <v>33</v>
      </c>
      <c r="M73" s="9" t="s">
        <v>34</v>
      </c>
      <c r="N73" s="9" t="s">
        <v>44</v>
      </c>
      <c r="O73" s="9">
        <v>1083.97</v>
      </c>
      <c r="P73" s="9">
        <v>43.8</v>
      </c>
      <c r="Q73" s="9">
        <v>4478.8999999999996</v>
      </c>
      <c r="R73" s="9">
        <v>7.26</v>
      </c>
      <c r="S73" s="10">
        <f>PharmaProduction[[#This Row],[Actual_Units]]/PharmaProduction[[#This Row],[Planned_Units]]</f>
        <v>0.92697947214076237</v>
      </c>
      <c r="T73" s="10">
        <f>(8-PharmaProduction[[#This Row],[Downtime_hr]])/8</f>
        <v>1</v>
      </c>
      <c r="U73" s="10">
        <f>((PharmaProduction[[#This Row],[Actual_Units]]/(8-PharmaProduction[[#This Row],[Downtime_hr]]))*8)/(PharmaProduction[[#This Row],[Planned_Units]])</f>
        <v>0.92697947214076237</v>
      </c>
      <c r="V73" s="10">
        <f>PharmaProduction[[#This Row],[Good_Units]]/PharmaProduction[[#This Row],[Actual_Units]]</f>
        <v>0.99011388801012334</v>
      </c>
      <c r="W73" s="10">
        <f>PharmaProduction[[#This Row],[Availability_%]]*PharmaProduction[[#This Row],[Performance_%]]*PharmaProduction[[#This Row],[Quality_%]]</f>
        <v>0.91781524926686209</v>
      </c>
      <c r="X73" s="10">
        <f>PharmaProduction[[#This Row],[Good_Units]]/PharmaProduction[[#This Row],[Planned_Units]]</f>
        <v>0.91781524926686209</v>
      </c>
      <c r="Y73" s="10">
        <f>PharmaProduction[[#This Row],[Rejected_Units]]/PharmaProduction[[#This Row],[Actual_Units]]</f>
        <v>9.8861119898766229E-3</v>
      </c>
      <c r="Z73" s="11">
        <f>PharmaProduction[[#This Row],[Actual_Units]]/PharmaProduction[[#This Row],[Labor_Hours]]</f>
        <v>202.07305936073058</v>
      </c>
      <c r="AA73" s="12">
        <f>PharmaProduction[[#This Row],[Energy_kWh]]/PharmaProduction[[#This Row],[Actual_Units]]</f>
        <v>0.50604465133095311</v>
      </c>
      <c r="AB73" s="12">
        <f>PharmaProduction[[#This Row],[Run_Hours]]+PharmaProduction[[#This Row],[Downtime_hr]]</f>
        <v>7.26</v>
      </c>
    </row>
    <row r="74" spans="1:28" x14ac:dyDescent="0.25">
      <c r="A74" s="9">
        <v>70</v>
      </c>
      <c r="B74" s="8">
        <v>46057</v>
      </c>
      <c r="C74" s="9" t="s">
        <v>35</v>
      </c>
      <c r="D74" s="9" t="s">
        <v>36</v>
      </c>
      <c r="E74" s="9" t="s">
        <v>42</v>
      </c>
      <c r="F74" s="9">
        <v>11481</v>
      </c>
      <c r="G74" s="9">
        <v>7403.4</v>
      </c>
      <c r="H74" s="9">
        <v>7317.9</v>
      </c>
      <c r="I74" s="9">
        <v>85.4</v>
      </c>
      <c r="J74" s="9">
        <v>7526.7</v>
      </c>
      <c r="K74" s="9">
        <v>3.42</v>
      </c>
      <c r="L74" s="9" t="s">
        <v>33</v>
      </c>
      <c r="M74" s="9" t="s">
        <v>34</v>
      </c>
      <c r="N74" s="9" t="s">
        <v>47</v>
      </c>
      <c r="O74" s="9">
        <v>2137.96</v>
      </c>
      <c r="P74" s="9">
        <v>38.700000000000003</v>
      </c>
      <c r="Q74" s="9">
        <v>3587</v>
      </c>
      <c r="R74" s="9">
        <v>6.7</v>
      </c>
      <c r="S74" s="10">
        <f>PharmaProduction[[#This Row],[Actual_Units]]/PharmaProduction[[#This Row],[Planned_Units]]</f>
        <v>0.64483929971256859</v>
      </c>
      <c r="T74" s="10">
        <f>(8-PharmaProduction[[#This Row],[Downtime_hr]])/8</f>
        <v>0.57250000000000001</v>
      </c>
      <c r="U74" s="10">
        <f>((PharmaProduction[[#This Row],[Actual_Units]]/(8-PharmaProduction[[#This Row],[Downtime_hr]]))*8)/(PharmaProduction[[#This Row],[Planned_Units]])</f>
        <v>1.1263568553931329</v>
      </c>
      <c r="V74" s="10">
        <f>PharmaProduction[[#This Row],[Good_Units]]/PharmaProduction[[#This Row],[Actual_Units]]</f>
        <v>0.98845125212740093</v>
      </c>
      <c r="W74" s="10">
        <f>PharmaProduction[[#This Row],[Availability_%]]*PharmaProduction[[#This Row],[Performance_%]]*PharmaProduction[[#This Row],[Quality_%]]</f>
        <v>0.63739221322184481</v>
      </c>
      <c r="X74" s="10">
        <f>PharmaProduction[[#This Row],[Good_Units]]/PharmaProduction[[#This Row],[Planned_Units]]</f>
        <v>0.63739221322184481</v>
      </c>
      <c r="Y74" s="10">
        <f>PharmaProduction[[#This Row],[Rejected_Units]]/PharmaProduction[[#This Row],[Actual_Units]]</f>
        <v>1.1535240565145745E-2</v>
      </c>
      <c r="Z74" s="11">
        <f>PharmaProduction[[#This Row],[Actual_Units]]/PharmaProduction[[#This Row],[Labor_Hours]]</f>
        <v>191.30232558139534</v>
      </c>
      <c r="AA74" s="12">
        <f>PharmaProduction[[#This Row],[Energy_kWh]]/PharmaProduction[[#This Row],[Actual_Units]]</f>
        <v>0.48450711835102794</v>
      </c>
      <c r="AB74" s="12">
        <f>PharmaProduction[[#This Row],[Run_Hours]]+PharmaProduction[[#This Row],[Downtime_hr]]</f>
        <v>10.120000000000001</v>
      </c>
    </row>
    <row r="75" spans="1:28" x14ac:dyDescent="0.25">
      <c r="A75" s="9">
        <v>71</v>
      </c>
      <c r="B75" s="8">
        <v>46058</v>
      </c>
      <c r="C75" s="9" t="s">
        <v>30</v>
      </c>
      <c r="D75" s="9" t="s">
        <v>31</v>
      </c>
      <c r="E75" s="9" t="s">
        <v>42</v>
      </c>
      <c r="F75" s="9">
        <v>10722</v>
      </c>
      <c r="G75" s="9">
        <v>8185.1</v>
      </c>
      <c r="H75" s="9">
        <v>8121.6</v>
      </c>
      <c r="I75" s="9">
        <v>63.5</v>
      </c>
      <c r="J75" s="9">
        <v>8252.2000000000007</v>
      </c>
      <c r="K75" s="9">
        <v>1.6</v>
      </c>
      <c r="L75" s="9" t="s">
        <v>33</v>
      </c>
      <c r="M75" s="9" t="s">
        <v>34</v>
      </c>
      <c r="N75" s="9" t="s">
        <v>33</v>
      </c>
      <c r="O75" s="9">
        <v>0</v>
      </c>
      <c r="P75" s="9">
        <v>52</v>
      </c>
      <c r="Q75" s="9">
        <v>4004.7</v>
      </c>
      <c r="R75" s="9">
        <v>7.12</v>
      </c>
      <c r="S75" s="10">
        <f>PharmaProduction[[#This Row],[Actual_Units]]/PharmaProduction[[#This Row],[Planned_Units]]</f>
        <v>0.76339302368961015</v>
      </c>
      <c r="T75" s="10">
        <f>(8-PharmaProduction[[#This Row],[Downtime_hr]])/8</f>
        <v>0.8</v>
      </c>
      <c r="U75" s="10">
        <f>((PharmaProduction[[#This Row],[Actual_Units]]/(8-PharmaProduction[[#This Row],[Downtime_hr]]))*8)/(PharmaProduction[[#This Row],[Planned_Units]])</f>
        <v>0.95424127961201266</v>
      </c>
      <c r="V75" s="10">
        <f>PharmaProduction[[#This Row],[Good_Units]]/PharmaProduction[[#This Row],[Actual_Units]]</f>
        <v>0.99224200070860469</v>
      </c>
      <c r="W75" s="10">
        <f>PharmaProduction[[#This Row],[Availability_%]]*PharmaProduction[[#This Row],[Performance_%]]*PharmaProduction[[#This Row],[Quality_%]]</f>
        <v>0.75747062115277008</v>
      </c>
      <c r="X75" s="10">
        <f>PharmaProduction[[#This Row],[Good_Units]]/PharmaProduction[[#This Row],[Planned_Units]]</f>
        <v>0.75747062115277008</v>
      </c>
      <c r="Y75" s="10">
        <f>PharmaProduction[[#This Row],[Rejected_Units]]/PharmaProduction[[#This Row],[Actual_Units]]</f>
        <v>7.7579992913953399E-3</v>
      </c>
      <c r="Z75" s="11">
        <f>PharmaProduction[[#This Row],[Actual_Units]]/PharmaProduction[[#This Row],[Labor_Hours]]</f>
        <v>157.40576923076924</v>
      </c>
      <c r="AA75" s="12">
        <f>PharmaProduction[[#This Row],[Energy_kWh]]/PharmaProduction[[#This Row],[Actual_Units]]</f>
        <v>0.48926708287009318</v>
      </c>
      <c r="AB75" s="12">
        <f>PharmaProduction[[#This Row],[Run_Hours]]+PharmaProduction[[#This Row],[Downtime_hr]]</f>
        <v>8.7200000000000006</v>
      </c>
    </row>
    <row r="76" spans="1:28" x14ac:dyDescent="0.25">
      <c r="A76" s="9">
        <v>72</v>
      </c>
      <c r="B76" s="8">
        <v>46058</v>
      </c>
      <c r="C76" s="9" t="s">
        <v>35</v>
      </c>
      <c r="D76" s="9" t="s">
        <v>38</v>
      </c>
      <c r="E76" s="9" t="s">
        <v>42</v>
      </c>
      <c r="F76" s="9">
        <v>9062</v>
      </c>
      <c r="G76" s="9">
        <v>6183.5</v>
      </c>
      <c r="H76" s="9">
        <v>6135.6</v>
      </c>
      <c r="I76" s="9">
        <v>47.9</v>
      </c>
      <c r="J76" s="9">
        <v>6284.3</v>
      </c>
      <c r="K76" s="9">
        <v>4.1500000000000004</v>
      </c>
      <c r="L76" s="9" t="s">
        <v>45</v>
      </c>
      <c r="M76" s="9" t="s">
        <v>34</v>
      </c>
      <c r="N76" s="9" t="s">
        <v>37</v>
      </c>
      <c r="O76" s="9">
        <v>171.58</v>
      </c>
      <c r="P76" s="9">
        <v>40.700000000000003</v>
      </c>
      <c r="Q76" s="9">
        <v>2963.9</v>
      </c>
      <c r="R76" s="9">
        <v>7.36</v>
      </c>
      <c r="S76" s="10">
        <f>PharmaProduction[[#This Row],[Actual_Units]]/PharmaProduction[[#This Row],[Planned_Units]]</f>
        <v>0.68235488854557491</v>
      </c>
      <c r="T76" s="10">
        <f>(8-PharmaProduction[[#This Row],[Downtime_hr]])/8</f>
        <v>0.48124999999999996</v>
      </c>
      <c r="U76" s="10">
        <f>((PharmaProduction[[#This Row],[Actual_Units]]/(8-PharmaProduction[[#This Row],[Downtime_hr]]))*8)/(PharmaProduction[[#This Row],[Planned_Units]])</f>
        <v>1.417880287886909</v>
      </c>
      <c r="V76" s="10">
        <f>PharmaProduction[[#This Row],[Good_Units]]/PharmaProduction[[#This Row],[Actual_Units]]</f>
        <v>0.99225357807067205</v>
      </c>
      <c r="W76" s="10">
        <f>PharmaProduction[[#This Row],[Availability_%]]*PharmaProduction[[#This Row],[Performance_%]]*PharmaProduction[[#This Row],[Quality_%]]</f>
        <v>0.67706907967336138</v>
      </c>
      <c r="X76" s="10">
        <f>PharmaProduction[[#This Row],[Good_Units]]/PharmaProduction[[#This Row],[Planned_Units]]</f>
        <v>0.67706907967336127</v>
      </c>
      <c r="Y76" s="10">
        <f>PharmaProduction[[#This Row],[Rejected_Units]]/PharmaProduction[[#This Row],[Actual_Units]]</f>
        <v>7.7464219293280501E-3</v>
      </c>
      <c r="Z76" s="11">
        <f>PharmaProduction[[#This Row],[Actual_Units]]/PharmaProduction[[#This Row],[Labor_Hours]]</f>
        <v>151.92874692874693</v>
      </c>
      <c r="AA76" s="12">
        <f>PharmaProduction[[#This Row],[Energy_kWh]]/PharmaProduction[[#This Row],[Actual_Units]]</f>
        <v>0.4793240074391526</v>
      </c>
      <c r="AB76" s="12">
        <f>PharmaProduction[[#This Row],[Run_Hours]]+PharmaProduction[[#This Row],[Downtime_hr]]</f>
        <v>11.510000000000002</v>
      </c>
    </row>
    <row r="77" spans="1:28" x14ac:dyDescent="0.25">
      <c r="A77" s="9">
        <v>73</v>
      </c>
      <c r="B77" s="8">
        <v>46059</v>
      </c>
      <c r="C77" s="9" t="s">
        <v>30</v>
      </c>
      <c r="D77" s="9" t="s">
        <v>36</v>
      </c>
      <c r="E77" s="9" t="s">
        <v>39</v>
      </c>
      <c r="F77" s="9">
        <v>9280</v>
      </c>
      <c r="G77" s="9">
        <v>7040.7</v>
      </c>
      <c r="H77" s="9">
        <v>6918</v>
      </c>
      <c r="I77" s="9">
        <v>122.7</v>
      </c>
      <c r="J77" s="9">
        <v>7043.1</v>
      </c>
      <c r="K77" s="9">
        <v>1.55</v>
      </c>
      <c r="L77" s="9" t="s">
        <v>33</v>
      </c>
      <c r="M77" s="9" t="s">
        <v>34</v>
      </c>
      <c r="N77" s="9" t="s">
        <v>33</v>
      </c>
      <c r="O77" s="9">
        <v>0</v>
      </c>
      <c r="P77" s="9">
        <v>43.6</v>
      </c>
      <c r="Q77" s="9">
        <v>3924.6</v>
      </c>
      <c r="R77" s="9">
        <v>7.93</v>
      </c>
      <c r="S77" s="10">
        <f>PharmaProduction[[#This Row],[Actual_Units]]/PharmaProduction[[#This Row],[Planned_Units]]</f>
        <v>0.7586961206896552</v>
      </c>
      <c r="T77" s="10">
        <f>(8-PharmaProduction[[#This Row],[Downtime_hr]])/8</f>
        <v>0.80625000000000002</v>
      </c>
      <c r="U77" s="10">
        <f>((PharmaProduction[[#This Row],[Actual_Units]]/(8-PharmaProduction[[#This Row],[Downtime_hr]]))*8)/(PharmaProduction[[#This Row],[Planned_Units]])</f>
        <v>0.94101844426623882</v>
      </c>
      <c r="V77" s="10">
        <f>PharmaProduction[[#This Row],[Good_Units]]/PharmaProduction[[#This Row],[Actual_Units]]</f>
        <v>0.98257275554987433</v>
      </c>
      <c r="W77" s="10">
        <f>PharmaProduction[[#This Row],[Availability_%]]*PharmaProduction[[#This Row],[Performance_%]]*PharmaProduction[[#This Row],[Quality_%]]</f>
        <v>0.74547413793103445</v>
      </c>
      <c r="X77" s="10">
        <f>PharmaProduction[[#This Row],[Good_Units]]/PharmaProduction[[#This Row],[Planned_Units]]</f>
        <v>0.74547413793103445</v>
      </c>
      <c r="Y77" s="10">
        <f>PharmaProduction[[#This Row],[Rejected_Units]]/PharmaProduction[[#This Row],[Actual_Units]]</f>
        <v>1.7427244450125699E-2</v>
      </c>
      <c r="Z77" s="11">
        <f>PharmaProduction[[#This Row],[Actual_Units]]/PharmaProduction[[#This Row],[Labor_Hours]]</f>
        <v>161.48394495412842</v>
      </c>
      <c r="AA77" s="12">
        <f>PharmaProduction[[#This Row],[Energy_kWh]]/PharmaProduction[[#This Row],[Actual_Units]]</f>
        <v>0.55741616600622101</v>
      </c>
      <c r="AB77" s="12">
        <f>PharmaProduction[[#This Row],[Run_Hours]]+PharmaProduction[[#This Row],[Downtime_hr]]</f>
        <v>9.48</v>
      </c>
    </row>
    <row r="78" spans="1:28" x14ac:dyDescent="0.25">
      <c r="A78" s="9">
        <v>74</v>
      </c>
      <c r="B78" s="8">
        <v>46059</v>
      </c>
      <c r="C78" s="9" t="s">
        <v>35</v>
      </c>
      <c r="D78" s="9" t="s">
        <v>36</v>
      </c>
      <c r="E78" s="9" t="s">
        <v>39</v>
      </c>
      <c r="F78" s="9">
        <v>11257</v>
      </c>
      <c r="G78" s="9">
        <v>7168.6</v>
      </c>
      <c r="H78" s="9">
        <v>7127.9</v>
      </c>
      <c r="I78" s="9">
        <v>40.700000000000003</v>
      </c>
      <c r="J78" s="9">
        <v>7272.7</v>
      </c>
      <c r="K78" s="9">
        <v>3.46</v>
      </c>
      <c r="L78" s="9" t="s">
        <v>33</v>
      </c>
      <c r="M78" s="9" t="s">
        <v>34</v>
      </c>
      <c r="N78" s="9" t="s">
        <v>44</v>
      </c>
      <c r="O78" s="9">
        <v>938.11</v>
      </c>
      <c r="P78" s="9">
        <v>42</v>
      </c>
      <c r="Q78" s="9">
        <v>3436.3</v>
      </c>
      <c r="R78" s="9">
        <v>7.3</v>
      </c>
      <c r="S78" s="10">
        <f>PharmaProduction[[#This Row],[Actual_Units]]/PharmaProduction[[#This Row],[Planned_Units]]</f>
        <v>0.6368126499067247</v>
      </c>
      <c r="T78" s="10">
        <f>(8-PharmaProduction[[#This Row],[Downtime_hr]])/8</f>
        <v>0.5675</v>
      </c>
      <c r="U78" s="10">
        <f>((PharmaProduction[[#This Row],[Actual_Units]]/(8-PharmaProduction[[#This Row],[Downtime_hr]]))*8)/(PharmaProduction[[#This Row],[Planned_Units]])</f>
        <v>1.1221368280294708</v>
      </c>
      <c r="V78" s="10">
        <f>PharmaProduction[[#This Row],[Good_Units]]/PharmaProduction[[#This Row],[Actual_Units]]</f>
        <v>0.9943224618475015</v>
      </c>
      <c r="W78" s="10">
        <f>PharmaProduction[[#This Row],[Availability_%]]*PharmaProduction[[#This Row],[Performance_%]]*PharmaProduction[[#This Row],[Quality_%]]</f>
        <v>0.63319712179088561</v>
      </c>
      <c r="X78" s="10">
        <f>PharmaProduction[[#This Row],[Good_Units]]/PharmaProduction[[#This Row],[Planned_Units]]</f>
        <v>0.63319712179088561</v>
      </c>
      <c r="Y78" s="10">
        <f>PharmaProduction[[#This Row],[Rejected_Units]]/PharmaProduction[[#This Row],[Actual_Units]]</f>
        <v>5.6775381524983961E-3</v>
      </c>
      <c r="Z78" s="11">
        <f>PharmaProduction[[#This Row],[Actual_Units]]/PharmaProduction[[#This Row],[Labor_Hours]]</f>
        <v>170.68095238095239</v>
      </c>
      <c r="AA78" s="12">
        <f>PharmaProduction[[#This Row],[Energy_kWh]]/PharmaProduction[[#This Row],[Actual_Units]]</f>
        <v>0.47935440671818763</v>
      </c>
      <c r="AB78" s="12">
        <f>PharmaProduction[[#This Row],[Run_Hours]]+PharmaProduction[[#This Row],[Downtime_hr]]</f>
        <v>10.76</v>
      </c>
    </row>
    <row r="79" spans="1:28" x14ac:dyDescent="0.25">
      <c r="A79" s="9">
        <v>75</v>
      </c>
      <c r="B79" s="8">
        <v>46060</v>
      </c>
      <c r="C79" s="9" t="s">
        <v>30</v>
      </c>
      <c r="D79" s="9" t="s">
        <v>31</v>
      </c>
      <c r="E79" s="9" t="s">
        <v>39</v>
      </c>
      <c r="F79" s="9">
        <v>10754</v>
      </c>
      <c r="G79" s="9">
        <v>6739.4</v>
      </c>
      <c r="H79" s="9">
        <v>6620.7</v>
      </c>
      <c r="I79" s="9">
        <v>118.6</v>
      </c>
      <c r="J79" s="9">
        <v>6852.6</v>
      </c>
      <c r="K79" s="9">
        <v>2.76</v>
      </c>
      <c r="L79" s="9" t="s">
        <v>33</v>
      </c>
      <c r="M79" s="9" t="s">
        <v>34</v>
      </c>
      <c r="N79" s="9" t="s">
        <v>37</v>
      </c>
      <c r="O79" s="9">
        <v>415.22</v>
      </c>
      <c r="P79" s="9">
        <v>34.299999999999997</v>
      </c>
      <c r="Q79" s="9">
        <v>3412.6</v>
      </c>
      <c r="R79" s="9">
        <v>7.38</v>
      </c>
      <c r="S79" s="10">
        <f>PharmaProduction[[#This Row],[Actual_Units]]/PharmaProduction[[#This Row],[Planned_Units]]</f>
        <v>0.62668774409522032</v>
      </c>
      <c r="T79" s="10">
        <f>(8-PharmaProduction[[#This Row],[Downtime_hr]])/8</f>
        <v>0.65500000000000003</v>
      </c>
      <c r="U79" s="10">
        <f>((PharmaProduction[[#This Row],[Actual_Units]]/(8-PharmaProduction[[#This Row],[Downtime_hr]]))*8)/(PharmaProduction[[#This Row],[Planned_Units]])</f>
        <v>0.95677518182476384</v>
      </c>
      <c r="V79" s="10">
        <f>PharmaProduction[[#This Row],[Good_Units]]/PharmaProduction[[#This Row],[Actual_Units]]</f>
        <v>0.98238715612665817</v>
      </c>
      <c r="W79" s="10">
        <f>PharmaProduction[[#This Row],[Availability_%]]*PharmaProduction[[#This Row],[Performance_%]]*PharmaProduction[[#This Row],[Quality_%]]</f>
        <v>0.61564999070113435</v>
      </c>
      <c r="X79" s="10">
        <f>PharmaProduction[[#This Row],[Good_Units]]/PharmaProduction[[#This Row],[Planned_Units]]</f>
        <v>0.61564999070113446</v>
      </c>
      <c r="Y79" s="10">
        <f>PharmaProduction[[#This Row],[Rejected_Units]]/PharmaProduction[[#This Row],[Actual_Units]]</f>
        <v>1.7598005757189068E-2</v>
      </c>
      <c r="Z79" s="11">
        <f>PharmaProduction[[#This Row],[Actual_Units]]/PharmaProduction[[#This Row],[Labor_Hours]]</f>
        <v>196.48396501457728</v>
      </c>
      <c r="AA79" s="12">
        <f>PharmaProduction[[#This Row],[Energy_kWh]]/PharmaProduction[[#This Row],[Actual_Units]]</f>
        <v>0.50636555182953968</v>
      </c>
      <c r="AB79" s="12">
        <f>PharmaProduction[[#This Row],[Run_Hours]]+PharmaProduction[[#This Row],[Downtime_hr]]</f>
        <v>10.14</v>
      </c>
    </row>
    <row r="80" spans="1:28" x14ac:dyDescent="0.25">
      <c r="A80" s="9">
        <v>76</v>
      </c>
      <c r="B80" s="8">
        <v>46060</v>
      </c>
      <c r="C80" s="9" t="s">
        <v>35</v>
      </c>
      <c r="D80" s="9" t="s">
        <v>36</v>
      </c>
      <c r="E80" s="9" t="s">
        <v>42</v>
      </c>
      <c r="F80" s="9">
        <v>11302</v>
      </c>
      <c r="G80" s="9">
        <v>9165.2999999999993</v>
      </c>
      <c r="H80" s="9">
        <v>9102.2999999999993</v>
      </c>
      <c r="I80" s="9">
        <v>62.9</v>
      </c>
      <c r="J80" s="9">
        <v>9402.9</v>
      </c>
      <c r="K80" s="9">
        <v>1.1299999999999999</v>
      </c>
      <c r="L80" s="9" t="s">
        <v>33</v>
      </c>
      <c r="M80" s="9" t="s">
        <v>34</v>
      </c>
      <c r="N80" s="9" t="s">
        <v>37</v>
      </c>
      <c r="O80" s="9">
        <v>183.76</v>
      </c>
      <c r="P80" s="9">
        <v>50.8</v>
      </c>
      <c r="Q80" s="9">
        <v>5109.8999999999996</v>
      </c>
      <c r="R80" s="9">
        <v>6.58</v>
      </c>
      <c r="S80" s="10">
        <f>PharmaProduction[[#This Row],[Actual_Units]]/PharmaProduction[[#This Row],[Planned_Units]]</f>
        <v>0.81094496549283301</v>
      </c>
      <c r="T80" s="10">
        <f>(8-PharmaProduction[[#This Row],[Downtime_hr]])/8</f>
        <v>0.85875000000000001</v>
      </c>
      <c r="U80" s="10">
        <f>((PharmaProduction[[#This Row],[Actual_Units]]/(8-PharmaProduction[[#This Row],[Downtime_hr]]))*8)/(PharmaProduction[[#This Row],[Planned_Units]])</f>
        <v>0.94433183754623939</v>
      </c>
      <c r="V80" s="10">
        <f>PharmaProduction[[#This Row],[Good_Units]]/PharmaProduction[[#This Row],[Actual_Units]]</f>
        <v>0.99312624791332527</v>
      </c>
      <c r="W80" s="10">
        <f>PharmaProduction[[#This Row],[Availability_%]]*PharmaProduction[[#This Row],[Performance_%]]*PharmaProduction[[#This Row],[Quality_%]]</f>
        <v>0.80537073084409838</v>
      </c>
      <c r="X80" s="10">
        <f>PharmaProduction[[#This Row],[Good_Units]]/PharmaProduction[[#This Row],[Planned_Units]]</f>
        <v>0.80537073084409827</v>
      </c>
      <c r="Y80" s="10">
        <f>PharmaProduction[[#This Row],[Rejected_Units]]/PharmaProduction[[#This Row],[Actual_Units]]</f>
        <v>6.8628413690768443E-3</v>
      </c>
      <c r="Z80" s="11">
        <f>PharmaProduction[[#This Row],[Actual_Units]]/PharmaProduction[[#This Row],[Labor_Hours]]</f>
        <v>180.41929133858267</v>
      </c>
      <c r="AA80" s="12">
        <f>PharmaProduction[[#This Row],[Energy_kWh]]/PharmaProduction[[#This Row],[Actual_Units]]</f>
        <v>0.55752675853490885</v>
      </c>
      <c r="AB80" s="12">
        <f>PharmaProduction[[#This Row],[Run_Hours]]+PharmaProduction[[#This Row],[Downtime_hr]]</f>
        <v>7.71</v>
      </c>
    </row>
    <row r="81" spans="1:28" x14ac:dyDescent="0.25">
      <c r="A81" s="9">
        <v>77</v>
      </c>
      <c r="B81" s="8">
        <v>46061</v>
      </c>
      <c r="C81" s="9" t="s">
        <v>30</v>
      </c>
      <c r="D81" s="9" t="s">
        <v>38</v>
      </c>
      <c r="E81" s="9" t="s">
        <v>32</v>
      </c>
      <c r="F81" s="9">
        <v>9423</v>
      </c>
      <c r="G81" s="9">
        <v>6521.2</v>
      </c>
      <c r="H81" s="9">
        <v>6412.1</v>
      </c>
      <c r="I81" s="9">
        <v>109.1</v>
      </c>
      <c r="J81" s="9">
        <v>6691.5</v>
      </c>
      <c r="K81" s="9">
        <v>1.71</v>
      </c>
      <c r="L81" s="9" t="s">
        <v>33</v>
      </c>
      <c r="M81" s="9" t="s">
        <v>34</v>
      </c>
      <c r="N81" s="9" t="s">
        <v>47</v>
      </c>
      <c r="O81" s="9">
        <v>1943.88</v>
      </c>
      <c r="P81" s="9">
        <v>41.5</v>
      </c>
      <c r="Q81" s="9">
        <v>3147.4</v>
      </c>
      <c r="R81" s="9">
        <v>7.98</v>
      </c>
      <c r="S81" s="10">
        <f>PharmaProduction[[#This Row],[Actual_Units]]/PharmaProduction[[#This Row],[Planned_Units]]</f>
        <v>0.69205136368460152</v>
      </c>
      <c r="T81" s="10">
        <f>(8-PharmaProduction[[#This Row],[Downtime_hr]])/8</f>
        <v>0.78625</v>
      </c>
      <c r="U81" s="10">
        <f>((PharmaProduction[[#This Row],[Actual_Units]]/(8-PharmaProduction[[#This Row],[Downtime_hr]]))*8)/(PharmaProduction[[#This Row],[Planned_Units]])</f>
        <v>0.88019251343033567</v>
      </c>
      <c r="V81" s="10">
        <f>PharmaProduction[[#This Row],[Good_Units]]/PharmaProduction[[#This Row],[Actual_Units]]</f>
        <v>0.98326995031589282</v>
      </c>
      <c r="W81" s="10">
        <f>PharmaProduction[[#This Row],[Availability_%]]*PharmaProduction[[#This Row],[Performance_%]]*PharmaProduction[[#This Row],[Quality_%]]</f>
        <v>0.68047330998620392</v>
      </c>
      <c r="X81" s="10">
        <f>PharmaProduction[[#This Row],[Good_Units]]/PharmaProduction[[#This Row],[Planned_Units]]</f>
        <v>0.68047330998620403</v>
      </c>
      <c r="Y81" s="10">
        <f>PharmaProduction[[#This Row],[Rejected_Units]]/PharmaProduction[[#This Row],[Actual_Units]]</f>
        <v>1.6730049684107219E-2</v>
      </c>
      <c r="Z81" s="11">
        <f>PharmaProduction[[#This Row],[Actual_Units]]/PharmaProduction[[#This Row],[Labor_Hours]]</f>
        <v>157.13734939759036</v>
      </c>
      <c r="AA81" s="12">
        <f>PharmaProduction[[#This Row],[Energy_kWh]]/PharmaProduction[[#This Row],[Actual_Units]]</f>
        <v>0.48264123167515183</v>
      </c>
      <c r="AB81" s="12">
        <f>PharmaProduction[[#This Row],[Run_Hours]]+PharmaProduction[[#This Row],[Downtime_hr]]</f>
        <v>9.6900000000000013</v>
      </c>
    </row>
    <row r="82" spans="1:28" x14ac:dyDescent="0.25">
      <c r="A82" s="9">
        <v>78</v>
      </c>
      <c r="B82" s="8">
        <v>46061</v>
      </c>
      <c r="C82" s="9" t="s">
        <v>35</v>
      </c>
      <c r="D82" s="9" t="s">
        <v>31</v>
      </c>
      <c r="E82" s="9" t="s">
        <v>39</v>
      </c>
      <c r="F82" s="9">
        <v>9695</v>
      </c>
      <c r="G82" s="9">
        <v>6649.2</v>
      </c>
      <c r="H82" s="9">
        <v>6544.7</v>
      </c>
      <c r="I82" s="9">
        <v>104.4</v>
      </c>
      <c r="J82" s="9">
        <v>6744</v>
      </c>
      <c r="K82" s="9">
        <v>2.19</v>
      </c>
      <c r="L82" s="9" t="s">
        <v>33</v>
      </c>
      <c r="M82" s="9" t="s">
        <v>34</v>
      </c>
      <c r="N82" s="9" t="s">
        <v>33</v>
      </c>
      <c r="O82" s="9">
        <v>0</v>
      </c>
      <c r="P82" s="9">
        <v>43</v>
      </c>
      <c r="Q82" s="9">
        <v>3291.2</v>
      </c>
      <c r="R82" s="9">
        <v>6.75</v>
      </c>
      <c r="S82" s="10">
        <f>PharmaProduction[[#This Row],[Actual_Units]]/PharmaProduction[[#This Row],[Planned_Units]]</f>
        <v>0.68583806085611143</v>
      </c>
      <c r="T82" s="10">
        <f>(8-PharmaProduction[[#This Row],[Downtime_hr]])/8</f>
        <v>0.72625000000000006</v>
      </c>
      <c r="U82" s="10">
        <f>((PharmaProduction[[#This Row],[Actual_Units]]/(8-PharmaProduction[[#This Row],[Downtime_hr]]))*8)/(PharmaProduction[[#This Row],[Planned_Units]])</f>
        <v>0.94435533336469724</v>
      </c>
      <c r="V82" s="10">
        <f>PharmaProduction[[#This Row],[Good_Units]]/PharmaProduction[[#This Row],[Actual_Units]]</f>
        <v>0.98428382361787881</v>
      </c>
      <c r="W82" s="10">
        <f>PharmaProduction[[#This Row],[Availability_%]]*PharmaProduction[[#This Row],[Performance_%]]*PharmaProduction[[#This Row],[Quality_%]]</f>
        <v>0.67505930892212485</v>
      </c>
      <c r="X82" s="10">
        <f>PharmaProduction[[#This Row],[Good_Units]]/PharmaProduction[[#This Row],[Planned_Units]]</f>
        <v>0.67505930892212473</v>
      </c>
      <c r="Y82" s="10">
        <f>PharmaProduction[[#This Row],[Rejected_Units]]/PharmaProduction[[#This Row],[Actual_Units]]</f>
        <v>1.5701136978884679E-2</v>
      </c>
      <c r="Z82" s="11">
        <f>PharmaProduction[[#This Row],[Actual_Units]]/PharmaProduction[[#This Row],[Labor_Hours]]</f>
        <v>154.63255813953489</v>
      </c>
      <c r="AA82" s="12">
        <f>PharmaProduction[[#This Row],[Energy_kWh]]/PharmaProduction[[#This Row],[Actual_Units]]</f>
        <v>0.49497683931901582</v>
      </c>
      <c r="AB82" s="12">
        <f>PharmaProduction[[#This Row],[Run_Hours]]+PharmaProduction[[#This Row],[Downtime_hr]]</f>
        <v>8.94</v>
      </c>
    </row>
    <row r="83" spans="1:28" x14ac:dyDescent="0.25">
      <c r="A83" s="9">
        <v>79</v>
      </c>
      <c r="B83" s="8">
        <v>46062</v>
      </c>
      <c r="C83" s="9" t="s">
        <v>30</v>
      </c>
      <c r="D83" s="9" t="s">
        <v>36</v>
      </c>
      <c r="E83" s="9" t="s">
        <v>42</v>
      </c>
      <c r="F83" s="9">
        <v>11747</v>
      </c>
      <c r="G83" s="9">
        <v>11241.7</v>
      </c>
      <c r="H83" s="9">
        <v>11055.6</v>
      </c>
      <c r="I83" s="9">
        <v>186.2</v>
      </c>
      <c r="J83" s="9">
        <v>11392.8</v>
      </c>
      <c r="K83" s="9">
        <v>0</v>
      </c>
      <c r="L83" s="9" t="s">
        <v>33</v>
      </c>
      <c r="M83" s="9" t="s">
        <v>34</v>
      </c>
      <c r="N83" s="9" t="s">
        <v>37</v>
      </c>
      <c r="O83" s="9">
        <v>368.08</v>
      </c>
      <c r="P83" s="9">
        <v>45.9</v>
      </c>
      <c r="Q83" s="9">
        <v>6254</v>
      </c>
      <c r="R83" s="9">
        <v>6.68</v>
      </c>
      <c r="S83" s="10">
        <f>PharmaProduction[[#This Row],[Actual_Units]]/PharmaProduction[[#This Row],[Planned_Units]]</f>
        <v>0.95698476206691074</v>
      </c>
      <c r="T83" s="10">
        <f>(8-PharmaProduction[[#This Row],[Downtime_hr]])/8</f>
        <v>1</v>
      </c>
      <c r="U83" s="10">
        <f>((PharmaProduction[[#This Row],[Actual_Units]]/(8-PharmaProduction[[#This Row],[Downtime_hr]]))*8)/(PharmaProduction[[#This Row],[Planned_Units]])</f>
        <v>0.95698476206691074</v>
      </c>
      <c r="V83" s="10">
        <f>PharmaProduction[[#This Row],[Good_Units]]/PharmaProduction[[#This Row],[Actual_Units]]</f>
        <v>0.98344556428298213</v>
      </c>
      <c r="W83" s="10">
        <f>PharmaProduction[[#This Row],[Availability_%]]*PharmaProduction[[#This Row],[Performance_%]]*PharmaProduction[[#This Row],[Quality_%]]</f>
        <v>0.94114241934110843</v>
      </c>
      <c r="X83" s="10">
        <f>PharmaProduction[[#This Row],[Good_Units]]/PharmaProduction[[#This Row],[Planned_Units]]</f>
        <v>0.94114241934110843</v>
      </c>
      <c r="Y83" s="10">
        <f>PharmaProduction[[#This Row],[Rejected_Units]]/PharmaProduction[[#This Row],[Actual_Units]]</f>
        <v>1.6563331168773406E-2</v>
      </c>
      <c r="Z83" s="11">
        <f>PharmaProduction[[#This Row],[Actual_Units]]/PharmaProduction[[#This Row],[Labor_Hours]]</f>
        <v>244.91721132897607</v>
      </c>
      <c r="AA83" s="12">
        <f>PharmaProduction[[#This Row],[Energy_kWh]]/PharmaProduction[[#This Row],[Actual_Units]]</f>
        <v>0.55632155279005846</v>
      </c>
      <c r="AB83" s="12">
        <f>PharmaProduction[[#This Row],[Run_Hours]]+PharmaProduction[[#This Row],[Downtime_hr]]</f>
        <v>6.68</v>
      </c>
    </row>
    <row r="84" spans="1:28" x14ac:dyDescent="0.25">
      <c r="A84" s="9">
        <v>80</v>
      </c>
      <c r="B84" s="8">
        <v>46062</v>
      </c>
      <c r="C84" s="9" t="s">
        <v>35</v>
      </c>
      <c r="D84" s="9" t="s">
        <v>38</v>
      </c>
      <c r="E84" s="9" t="s">
        <v>32</v>
      </c>
      <c r="F84" s="9">
        <v>9232</v>
      </c>
      <c r="G84" s="9">
        <v>6596.1</v>
      </c>
      <c r="H84" s="9">
        <v>6521.3</v>
      </c>
      <c r="I84" s="9">
        <v>74.8</v>
      </c>
      <c r="J84" s="9">
        <v>6775.5</v>
      </c>
      <c r="K84" s="9">
        <v>1.53</v>
      </c>
      <c r="L84" s="9" t="s">
        <v>33</v>
      </c>
      <c r="M84" s="9" t="s">
        <v>34</v>
      </c>
      <c r="N84" s="9" t="s">
        <v>33</v>
      </c>
      <c r="O84" s="9">
        <v>0</v>
      </c>
      <c r="P84" s="9">
        <v>34.4</v>
      </c>
      <c r="Q84" s="9">
        <v>3703.3</v>
      </c>
      <c r="R84" s="9">
        <v>6.95</v>
      </c>
      <c r="S84" s="10">
        <f>PharmaProduction[[#This Row],[Actual_Units]]/PharmaProduction[[#This Row],[Planned_Units]]</f>
        <v>0.7144822357019065</v>
      </c>
      <c r="T84" s="10">
        <f>(8-PharmaProduction[[#This Row],[Downtime_hr]])/8</f>
        <v>0.80874999999999997</v>
      </c>
      <c r="U84" s="10">
        <f>((PharmaProduction[[#This Row],[Actual_Units]]/(8-PharmaProduction[[#This Row],[Downtime_hr]]))*8)/(PharmaProduction[[#This Row],[Planned_Units]])</f>
        <v>0.88344016779215639</v>
      </c>
      <c r="V84" s="10">
        <f>PharmaProduction[[#This Row],[Good_Units]]/PharmaProduction[[#This Row],[Actual_Units]]</f>
        <v>0.98865996573732962</v>
      </c>
      <c r="W84" s="10">
        <f>PharmaProduction[[#This Row],[Availability_%]]*PharmaProduction[[#This Row],[Performance_%]]*PharmaProduction[[#This Row],[Quality_%]]</f>
        <v>0.7063799826689775</v>
      </c>
      <c r="X84" s="10">
        <f>PharmaProduction[[#This Row],[Good_Units]]/PharmaProduction[[#This Row],[Planned_Units]]</f>
        <v>0.7063799826689775</v>
      </c>
      <c r="Y84" s="10">
        <f>PharmaProduction[[#This Row],[Rejected_Units]]/PharmaProduction[[#This Row],[Actual_Units]]</f>
        <v>1.1340034262670365E-2</v>
      </c>
      <c r="Z84" s="11">
        <f>PharmaProduction[[#This Row],[Actual_Units]]/PharmaProduction[[#This Row],[Labor_Hours]]</f>
        <v>191.74709302325584</v>
      </c>
      <c r="AA84" s="12">
        <f>PharmaProduction[[#This Row],[Energy_kWh]]/PharmaProduction[[#This Row],[Actual_Units]]</f>
        <v>0.56143781931747549</v>
      </c>
      <c r="AB84" s="12">
        <f>PharmaProduction[[#This Row],[Run_Hours]]+PharmaProduction[[#This Row],[Downtime_hr]]</f>
        <v>8.48</v>
      </c>
    </row>
    <row r="85" spans="1:28" x14ac:dyDescent="0.25">
      <c r="A85" s="9">
        <v>81</v>
      </c>
      <c r="B85" s="8">
        <v>46063</v>
      </c>
      <c r="C85" s="9" t="s">
        <v>30</v>
      </c>
      <c r="D85" s="9" t="s">
        <v>36</v>
      </c>
      <c r="E85" s="9" t="s">
        <v>39</v>
      </c>
      <c r="F85" s="9">
        <v>11733</v>
      </c>
      <c r="G85" s="9">
        <v>7748.6</v>
      </c>
      <c r="H85" s="9">
        <v>7698.8</v>
      </c>
      <c r="I85" s="9">
        <v>49.8</v>
      </c>
      <c r="J85" s="9">
        <v>7871.5</v>
      </c>
      <c r="K85" s="9">
        <v>2.78</v>
      </c>
      <c r="L85" s="9" t="s">
        <v>33</v>
      </c>
      <c r="M85" s="9" t="s">
        <v>34</v>
      </c>
      <c r="N85" s="9" t="s">
        <v>37</v>
      </c>
      <c r="O85" s="9">
        <v>324.83</v>
      </c>
      <c r="P85" s="9">
        <v>39</v>
      </c>
      <c r="Q85" s="9">
        <v>3896.8</v>
      </c>
      <c r="R85" s="9">
        <v>6.61</v>
      </c>
      <c r="S85" s="10">
        <f>PharmaProduction[[#This Row],[Actual_Units]]/PharmaProduction[[#This Row],[Planned_Units]]</f>
        <v>0.6604108071252025</v>
      </c>
      <c r="T85" s="10">
        <f>(8-PharmaProduction[[#This Row],[Downtime_hr]])/8</f>
        <v>0.65250000000000008</v>
      </c>
      <c r="U85" s="10">
        <f>((PharmaProduction[[#This Row],[Actual_Units]]/(8-PharmaProduction[[#This Row],[Downtime_hr]]))*8)/(PharmaProduction[[#This Row],[Planned_Units]])</f>
        <v>1.012123842337475</v>
      </c>
      <c r="V85" s="10">
        <f>PharmaProduction[[#This Row],[Good_Units]]/PharmaProduction[[#This Row],[Actual_Units]]</f>
        <v>0.99357303254781504</v>
      </c>
      <c r="W85" s="10">
        <f>PharmaProduction[[#This Row],[Availability_%]]*PharmaProduction[[#This Row],[Performance_%]]*PharmaProduction[[#This Row],[Quality_%]]</f>
        <v>0.65616636836273767</v>
      </c>
      <c r="X85" s="10">
        <f>PharmaProduction[[#This Row],[Good_Units]]/PharmaProduction[[#This Row],[Planned_Units]]</f>
        <v>0.65616636836273756</v>
      </c>
      <c r="Y85" s="10">
        <f>PharmaProduction[[#This Row],[Rejected_Units]]/PharmaProduction[[#This Row],[Actual_Units]]</f>
        <v>6.4269674521849098E-3</v>
      </c>
      <c r="Z85" s="11">
        <f>PharmaProduction[[#This Row],[Actual_Units]]/PharmaProduction[[#This Row],[Labor_Hours]]</f>
        <v>198.6820512820513</v>
      </c>
      <c r="AA85" s="12">
        <f>PharmaProduction[[#This Row],[Energy_kWh]]/PharmaProduction[[#This Row],[Actual_Units]]</f>
        <v>0.50290375035490287</v>
      </c>
      <c r="AB85" s="12">
        <f>PharmaProduction[[#This Row],[Run_Hours]]+PharmaProduction[[#This Row],[Downtime_hr]]</f>
        <v>9.39</v>
      </c>
    </row>
    <row r="86" spans="1:28" x14ac:dyDescent="0.25">
      <c r="A86" s="9">
        <v>82</v>
      </c>
      <c r="B86" s="8">
        <v>46063</v>
      </c>
      <c r="C86" s="9" t="s">
        <v>35</v>
      </c>
      <c r="D86" s="9" t="s">
        <v>31</v>
      </c>
      <c r="E86" s="9" t="s">
        <v>42</v>
      </c>
      <c r="F86" s="9">
        <v>10443</v>
      </c>
      <c r="G86" s="9">
        <v>9358.7000000000007</v>
      </c>
      <c r="H86" s="9">
        <v>9229.4</v>
      </c>
      <c r="I86" s="9">
        <v>129.30000000000001</v>
      </c>
      <c r="J86" s="9">
        <v>9432.2999999999993</v>
      </c>
      <c r="K86" s="9">
        <v>0.75</v>
      </c>
      <c r="L86" s="9" t="s">
        <v>33</v>
      </c>
      <c r="M86" s="9" t="s">
        <v>34</v>
      </c>
      <c r="N86" s="9" t="s">
        <v>33</v>
      </c>
      <c r="O86" s="9">
        <v>0</v>
      </c>
      <c r="P86" s="9">
        <v>35.700000000000003</v>
      </c>
      <c r="Q86" s="9">
        <v>4490.7</v>
      </c>
      <c r="R86" s="9">
        <v>7.11</v>
      </c>
      <c r="S86" s="10">
        <f>PharmaProduction[[#This Row],[Actual_Units]]/PharmaProduction[[#This Row],[Planned_Units]]</f>
        <v>0.89616968304127176</v>
      </c>
      <c r="T86" s="10">
        <f>(8-PharmaProduction[[#This Row],[Downtime_hr]])/8</f>
        <v>0.90625</v>
      </c>
      <c r="U86" s="10">
        <f>((PharmaProduction[[#This Row],[Actual_Units]]/(8-PharmaProduction[[#This Row],[Downtime_hr]]))*8)/(PharmaProduction[[#This Row],[Planned_Units]])</f>
        <v>0.98887689163174819</v>
      </c>
      <c r="V86" s="10">
        <f>PharmaProduction[[#This Row],[Good_Units]]/PharmaProduction[[#This Row],[Actual_Units]]</f>
        <v>0.98618397854402839</v>
      </c>
      <c r="W86" s="10">
        <f>PharmaProduction[[#This Row],[Availability_%]]*PharmaProduction[[#This Row],[Performance_%]]*PharmaProduction[[#This Row],[Quality_%]]</f>
        <v>0.88378818347218224</v>
      </c>
      <c r="X86" s="10">
        <f>PharmaProduction[[#This Row],[Good_Units]]/PharmaProduction[[#This Row],[Planned_Units]]</f>
        <v>0.88378818347218224</v>
      </c>
      <c r="Y86" s="10">
        <f>PharmaProduction[[#This Row],[Rejected_Units]]/PharmaProduction[[#This Row],[Actual_Units]]</f>
        <v>1.3816021455971449E-2</v>
      </c>
      <c r="Z86" s="11">
        <f>PharmaProduction[[#This Row],[Actual_Units]]/PharmaProduction[[#This Row],[Labor_Hours]]</f>
        <v>262.1484593837535</v>
      </c>
      <c r="AA86" s="12">
        <f>PharmaProduction[[#This Row],[Energy_kWh]]/PharmaProduction[[#This Row],[Actual_Units]]</f>
        <v>0.47984228578755589</v>
      </c>
      <c r="AB86" s="12">
        <f>PharmaProduction[[#This Row],[Run_Hours]]+PharmaProduction[[#This Row],[Downtime_hr]]</f>
        <v>7.86</v>
      </c>
    </row>
    <row r="87" spans="1:28" x14ac:dyDescent="0.25">
      <c r="A87" s="9">
        <v>83</v>
      </c>
      <c r="B87" s="8">
        <v>46064</v>
      </c>
      <c r="C87" s="9" t="s">
        <v>30</v>
      </c>
      <c r="D87" s="9" t="s">
        <v>36</v>
      </c>
      <c r="E87" s="9" t="s">
        <v>39</v>
      </c>
      <c r="F87" s="9">
        <v>9056</v>
      </c>
      <c r="G87" s="9">
        <v>5742.9</v>
      </c>
      <c r="H87" s="9">
        <v>5672.6</v>
      </c>
      <c r="I87" s="9">
        <v>70.400000000000006</v>
      </c>
      <c r="J87" s="9">
        <v>5788.1</v>
      </c>
      <c r="K87" s="9">
        <v>2.5499999999999998</v>
      </c>
      <c r="L87" s="9" t="s">
        <v>33</v>
      </c>
      <c r="M87" s="9" t="s">
        <v>34</v>
      </c>
      <c r="N87" s="9" t="s">
        <v>33</v>
      </c>
      <c r="O87" s="9">
        <v>0</v>
      </c>
      <c r="P87" s="9">
        <v>38.4</v>
      </c>
      <c r="Q87" s="9">
        <v>2999.9</v>
      </c>
      <c r="R87" s="9">
        <v>7.92</v>
      </c>
      <c r="S87" s="10">
        <f>PharmaProduction[[#This Row],[Actual_Units]]/PharmaProduction[[#This Row],[Planned_Units]]</f>
        <v>0.63415415194346281</v>
      </c>
      <c r="T87" s="10">
        <f>(8-PharmaProduction[[#This Row],[Downtime_hr]])/8</f>
        <v>0.68125000000000002</v>
      </c>
      <c r="U87" s="10">
        <f>((PharmaProduction[[#This Row],[Actual_Units]]/(8-PharmaProduction[[#This Row],[Downtime_hr]]))*8)/(PharmaProduction[[#This Row],[Planned_Units]])</f>
        <v>0.93086847991700961</v>
      </c>
      <c r="V87" s="10">
        <f>PharmaProduction[[#This Row],[Good_Units]]/PharmaProduction[[#This Row],[Actual_Units]]</f>
        <v>0.98775879781991693</v>
      </c>
      <c r="W87" s="10">
        <f>PharmaProduction[[#This Row],[Availability_%]]*PharmaProduction[[#This Row],[Performance_%]]*PharmaProduction[[#This Row],[Quality_%]]</f>
        <v>0.6263913427561838</v>
      </c>
      <c r="X87" s="10">
        <f>PharmaProduction[[#This Row],[Good_Units]]/PharmaProduction[[#This Row],[Planned_Units]]</f>
        <v>0.6263913427561838</v>
      </c>
      <c r="Y87" s="10">
        <f>PharmaProduction[[#This Row],[Rejected_Units]]/PharmaProduction[[#This Row],[Actual_Units]]</f>
        <v>1.225861498546031E-2</v>
      </c>
      <c r="Z87" s="11">
        <f>PharmaProduction[[#This Row],[Actual_Units]]/PharmaProduction[[#This Row],[Labor_Hours]]</f>
        <v>149.5546875</v>
      </c>
      <c r="AA87" s="12">
        <f>PharmaProduction[[#This Row],[Energy_kWh]]/PharmaProduction[[#This Row],[Actual_Units]]</f>
        <v>0.52236674850685194</v>
      </c>
      <c r="AB87" s="12">
        <f>PharmaProduction[[#This Row],[Run_Hours]]+PharmaProduction[[#This Row],[Downtime_hr]]</f>
        <v>10.469999999999999</v>
      </c>
    </row>
    <row r="88" spans="1:28" x14ac:dyDescent="0.25">
      <c r="A88" s="9">
        <v>84</v>
      </c>
      <c r="B88" s="8">
        <v>46064</v>
      </c>
      <c r="C88" s="9" t="s">
        <v>35</v>
      </c>
      <c r="D88" s="9" t="s">
        <v>36</v>
      </c>
      <c r="E88" s="9" t="s">
        <v>39</v>
      </c>
      <c r="F88" s="9">
        <v>11508</v>
      </c>
      <c r="G88" s="9">
        <v>9584.7999999999993</v>
      </c>
      <c r="H88" s="9">
        <v>9505.7999999999993</v>
      </c>
      <c r="I88" s="9">
        <v>79</v>
      </c>
      <c r="J88" s="9">
        <v>9731.1</v>
      </c>
      <c r="K88" s="9">
        <v>0.57999999999999996</v>
      </c>
      <c r="L88" s="9" t="s">
        <v>33</v>
      </c>
      <c r="M88" s="9" t="s">
        <v>34</v>
      </c>
      <c r="N88" s="9" t="s">
        <v>33</v>
      </c>
      <c r="O88" s="9">
        <v>0</v>
      </c>
      <c r="P88" s="9">
        <v>32.200000000000003</v>
      </c>
      <c r="Q88" s="9">
        <v>5002.2</v>
      </c>
      <c r="R88" s="9">
        <v>7.93</v>
      </c>
      <c r="S88" s="10">
        <f>PharmaProduction[[#This Row],[Actual_Units]]/PharmaProduction[[#This Row],[Planned_Units]]</f>
        <v>0.83288147375738608</v>
      </c>
      <c r="T88" s="10">
        <f>(8-PharmaProduction[[#This Row],[Downtime_hr]])/8</f>
        <v>0.92749999999999999</v>
      </c>
      <c r="U88" s="10">
        <f>((PharmaProduction[[#This Row],[Actual_Units]]/(8-PharmaProduction[[#This Row],[Downtime_hr]]))*8)/(PharmaProduction[[#This Row],[Planned_Units]])</f>
        <v>0.89798541645001195</v>
      </c>
      <c r="V88" s="10">
        <f>PharmaProduction[[#This Row],[Good_Units]]/PharmaProduction[[#This Row],[Actual_Units]]</f>
        <v>0.99175778315666474</v>
      </c>
      <c r="W88" s="10">
        <f>PharmaProduction[[#This Row],[Availability_%]]*PharmaProduction[[#This Row],[Performance_%]]*PharmaProduction[[#This Row],[Quality_%]]</f>
        <v>0.82601668404588102</v>
      </c>
      <c r="X88" s="10">
        <f>PharmaProduction[[#This Row],[Good_Units]]/PharmaProduction[[#This Row],[Planned_Units]]</f>
        <v>0.82601668404588102</v>
      </c>
      <c r="Y88" s="10">
        <f>PharmaProduction[[#This Row],[Rejected_Units]]/PharmaProduction[[#This Row],[Actual_Units]]</f>
        <v>8.2422168433352819E-3</v>
      </c>
      <c r="Z88" s="11">
        <f>PharmaProduction[[#This Row],[Actual_Units]]/PharmaProduction[[#This Row],[Labor_Hours]]</f>
        <v>297.66459627329186</v>
      </c>
      <c r="AA88" s="12">
        <f>PharmaProduction[[#This Row],[Energy_kWh]]/PharmaProduction[[#This Row],[Actual_Units]]</f>
        <v>0.52188882397128789</v>
      </c>
      <c r="AB88" s="12">
        <f>PharmaProduction[[#This Row],[Run_Hours]]+PharmaProduction[[#This Row],[Downtime_hr]]</f>
        <v>8.51</v>
      </c>
    </row>
    <row r="89" spans="1:28" x14ac:dyDescent="0.25">
      <c r="A89" s="9">
        <v>85</v>
      </c>
      <c r="B89" s="8">
        <v>46065</v>
      </c>
      <c r="C89" s="9" t="s">
        <v>30</v>
      </c>
      <c r="D89" s="9" t="s">
        <v>38</v>
      </c>
      <c r="E89" s="9" t="s">
        <v>42</v>
      </c>
      <c r="F89" s="9">
        <v>11585</v>
      </c>
      <c r="G89" s="9">
        <v>8921</v>
      </c>
      <c r="H89" s="9">
        <v>8753.5</v>
      </c>
      <c r="I89" s="9">
        <v>167.5</v>
      </c>
      <c r="J89" s="9">
        <v>9091.2000000000007</v>
      </c>
      <c r="K89" s="9">
        <v>1.93</v>
      </c>
      <c r="L89" s="9" t="s">
        <v>33</v>
      </c>
      <c r="M89" s="9" t="s">
        <v>34</v>
      </c>
      <c r="N89" s="9" t="s">
        <v>44</v>
      </c>
      <c r="O89" s="9">
        <v>760.26</v>
      </c>
      <c r="P89" s="9">
        <v>51.3</v>
      </c>
      <c r="Q89" s="9">
        <v>4777.6000000000004</v>
      </c>
      <c r="R89" s="9">
        <v>7.44</v>
      </c>
      <c r="S89" s="10">
        <f>PharmaProduction[[#This Row],[Actual_Units]]/PharmaProduction[[#This Row],[Planned_Units]]</f>
        <v>0.77004747518342687</v>
      </c>
      <c r="T89" s="10">
        <f>(8-PharmaProduction[[#This Row],[Downtime_hr]])/8</f>
        <v>0.75875000000000004</v>
      </c>
      <c r="U89" s="10">
        <f>((PharmaProduction[[#This Row],[Actual_Units]]/(8-PharmaProduction[[#This Row],[Downtime_hr]]))*8)/(PharmaProduction[[#This Row],[Planned_Units]])</f>
        <v>1.0148895883801341</v>
      </c>
      <c r="V89" s="10">
        <f>PharmaProduction[[#This Row],[Good_Units]]/PharmaProduction[[#This Row],[Actual_Units]]</f>
        <v>0.98122407801815936</v>
      </c>
      <c r="W89" s="10">
        <f>PharmaProduction[[#This Row],[Availability_%]]*PharmaProduction[[#This Row],[Performance_%]]*PharmaProduction[[#This Row],[Quality_%]]</f>
        <v>0.75558912386706933</v>
      </c>
      <c r="X89" s="10">
        <f>PharmaProduction[[#This Row],[Good_Units]]/PharmaProduction[[#This Row],[Planned_Units]]</f>
        <v>0.75558912386706945</v>
      </c>
      <c r="Y89" s="10">
        <f>PharmaProduction[[#This Row],[Rejected_Units]]/PharmaProduction[[#This Row],[Actual_Units]]</f>
        <v>1.8775921981840599E-2</v>
      </c>
      <c r="Z89" s="11">
        <f>PharmaProduction[[#This Row],[Actual_Units]]/PharmaProduction[[#This Row],[Labor_Hours]]</f>
        <v>173.89863547758284</v>
      </c>
      <c r="AA89" s="12">
        <f>PharmaProduction[[#This Row],[Energy_kWh]]/PharmaProduction[[#This Row],[Actual_Units]]</f>
        <v>0.53554534245039798</v>
      </c>
      <c r="AB89" s="12">
        <f>PharmaProduction[[#This Row],[Run_Hours]]+PharmaProduction[[#This Row],[Downtime_hr]]</f>
        <v>9.370000000000001</v>
      </c>
    </row>
    <row r="90" spans="1:28" x14ac:dyDescent="0.25">
      <c r="A90" s="9">
        <v>86</v>
      </c>
      <c r="B90" s="8">
        <v>46065</v>
      </c>
      <c r="C90" s="9" t="s">
        <v>35</v>
      </c>
      <c r="D90" s="9" t="s">
        <v>31</v>
      </c>
      <c r="E90" s="9" t="s">
        <v>39</v>
      </c>
      <c r="F90" s="9">
        <v>9186</v>
      </c>
      <c r="G90" s="9">
        <v>6335.8</v>
      </c>
      <c r="H90" s="9">
        <v>6269.4</v>
      </c>
      <c r="I90" s="9">
        <v>66.400000000000006</v>
      </c>
      <c r="J90" s="9">
        <v>6403.9</v>
      </c>
      <c r="K90" s="9">
        <v>2.5</v>
      </c>
      <c r="L90" s="9" t="s">
        <v>33</v>
      </c>
      <c r="M90" s="9" t="s">
        <v>34</v>
      </c>
      <c r="N90" s="9" t="s">
        <v>44</v>
      </c>
      <c r="O90" s="9">
        <v>774.11</v>
      </c>
      <c r="P90" s="9">
        <v>44.1</v>
      </c>
      <c r="Q90" s="9">
        <v>3228.4</v>
      </c>
      <c r="R90" s="9">
        <v>7.79</v>
      </c>
      <c r="S90" s="10">
        <f>PharmaProduction[[#This Row],[Actual_Units]]/PharmaProduction[[#This Row],[Planned_Units]]</f>
        <v>0.68972349227084695</v>
      </c>
      <c r="T90" s="10">
        <f>(8-PharmaProduction[[#This Row],[Downtime_hr]])/8</f>
        <v>0.6875</v>
      </c>
      <c r="U90" s="10">
        <f>((PharmaProduction[[#This Row],[Actual_Units]]/(8-PharmaProduction[[#This Row],[Downtime_hr]]))*8)/(PharmaProduction[[#This Row],[Planned_Units]])</f>
        <v>1.0032341705757775</v>
      </c>
      <c r="V90" s="10">
        <f>PharmaProduction[[#This Row],[Good_Units]]/PharmaProduction[[#This Row],[Actual_Units]]</f>
        <v>0.98951987120805573</v>
      </c>
      <c r="W90" s="10">
        <f>PharmaProduction[[#This Row],[Availability_%]]*PharmaProduction[[#This Row],[Performance_%]]*PharmaProduction[[#This Row],[Quality_%]]</f>
        <v>0.68249510124101898</v>
      </c>
      <c r="X90" s="10">
        <f>PharmaProduction[[#This Row],[Good_Units]]/PharmaProduction[[#This Row],[Planned_Units]]</f>
        <v>0.68249510124101886</v>
      </c>
      <c r="Y90" s="10">
        <f>PharmaProduction[[#This Row],[Rejected_Units]]/PharmaProduction[[#This Row],[Actual_Units]]</f>
        <v>1.0480128791944191E-2</v>
      </c>
      <c r="Z90" s="11">
        <f>PharmaProduction[[#This Row],[Actual_Units]]/PharmaProduction[[#This Row],[Labor_Hours]]</f>
        <v>143.6689342403628</v>
      </c>
      <c r="AA90" s="12">
        <f>PharmaProduction[[#This Row],[Energy_kWh]]/PharmaProduction[[#This Row],[Actual_Units]]</f>
        <v>0.50954891252880452</v>
      </c>
      <c r="AB90" s="12">
        <f>PharmaProduction[[#This Row],[Run_Hours]]+PharmaProduction[[#This Row],[Downtime_hr]]</f>
        <v>10.29</v>
      </c>
    </row>
    <row r="91" spans="1:28" x14ac:dyDescent="0.25">
      <c r="A91" s="9">
        <v>87</v>
      </c>
      <c r="B91" s="8">
        <v>46066</v>
      </c>
      <c r="C91" s="9" t="s">
        <v>30</v>
      </c>
      <c r="D91" s="9" t="s">
        <v>38</v>
      </c>
      <c r="E91" s="9" t="s">
        <v>39</v>
      </c>
      <c r="F91" s="9">
        <v>11380</v>
      </c>
      <c r="G91" s="9">
        <v>9586.6</v>
      </c>
      <c r="H91" s="9">
        <v>9534</v>
      </c>
      <c r="I91" s="9">
        <v>52.6</v>
      </c>
      <c r="J91" s="9">
        <v>9736.5</v>
      </c>
      <c r="K91" s="9">
        <v>1.01</v>
      </c>
      <c r="L91" s="9" t="s">
        <v>33</v>
      </c>
      <c r="M91" s="9" t="s">
        <v>34</v>
      </c>
      <c r="N91" s="9" t="s">
        <v>44</v>
      </c>
      <c r="O91" s="9">
        <v>1094.77</v>
      </c>
      <c r="P91" s="9">
        <v>50.6</v>
      </c>
      <c r="Q91" s="9">
        <v>5059.2</v>
      </c>
      <c r="R91" s="9">
        <v>6.57</v>
      </c>
      <c r="S91" s="10">
        <f>PharmaProduction[[#This Row],[Actual_Units]]/PharmaProduction[[#This Row],[Planned_Units]]</f>
        <v>0.84240773286467485</v>
      </c>
      <c r="T91" s="10">
        <f>(8-PharmaProduction[[#This Row],[Downtime_hr]])/8</f>
        <v>0.87375000000000003</v>
      </c>
      <c r="U91" s="10">
        <f>((PharmaProduction[[#This Row],[Actual_Units]]/(8-PharmaProduction[[#This Row],[Downtime_hr]]))*8)/(PharmaProduction[[#This Row],[Planned_Units]])</f>
        <v>0.9641290218765951</v>
      </c>
      <c r="V91" s="10">
        <f>PharmaProduction[[#This Row],[Good_Units]]/PharmaProduction[[#This Row],[Actual_Units]]</f>
        <v>0.99451317463960109</v>
      </c>
      <c r="W91" s="10">
        <f>PharmaProduction[[#This Row],[Availability_%]]*PharmaProduction[[#This Row],[Performance_%]]*PharmaProduction[[#This Row],[Quality_%]]</f>
        <v>0.83778558875219689</v>
      </c>
      <c r="X91" s="10">
        <f>PharmaProduction[[#This Row],[Good_Units]]/PharmaProduction[[#This Row],[Planned_Units]]</f>
        <v>0.83778558875219689</v>
      </c>
      <c r="Y91" s="10">
        <f>PharmaProduction[[#This Row],[Rejected_Units]]/PharmaProduction[[#This Row],[Actual_Units]]</f>
        <v>5.4868253603988903E-3</v>
      </c>
      <c r="Z91" s="11">
        <f>PharmaProduction[[#This Row],[Actual_Units]]/PharmaProduction[[#This Row],[Labor_Hours]]</f>
        <v>189.45849802371541</v>
      </c>
      <c r="AA91" s="12">
        <f>PharmaProduction[[#This Row],[Energy_kWh]]/PharmaProduction[[#This Row],[Actual_Units]]</f>
        <v>0.52773663238270085</v>
      </c>
      <c r="AB91" s="12">
        <f>PharmaProduction[[#This Row],[Run_Hours]]+PharmaProduction[[#This Row],[Downtime_hr]]</f>
        <v>7.58</v>
      </c>
    </row>
    <row r="92" spans="1:28" x14ac:dyDescent="0.25">
      <c r="A92" s="9">
        <v>88</v>
      </c>
      <c r="B92" s="8">
        <v>46066</v>
      </c>
      <c r="C92" s="9" t="s">
        <v>35</v>
      </c>
      <c r="D92" s="9" t="s">
        <v>38</v>
      </c>
      <c r="E92" s="9" t="s">
        <v>42</v>
      </c>
      <c r="F92" s="9">
        <v>9097</v>
      </c>
      <c r="G92" s="9">
        <v>7109.1</v>
      </c>
      <c r="H92" s="9">
        <v>7052.7</v>
      </c>
      <c r="I92" s="9">
        <v>56.4</v>
      </c>
      <c r="J92" s="9">
        <v>7208.9</v>
      </c>
      <c r="K92" s="9">
        <v>1.33</v>
      </c>
      <c r="L92" s="9" t="s">
        <v>33</v>
      </c>
      <c r="M92" s="9" t="s">
        <v>34</v>
      </c>
      <c r="N92" s="9" t="s">
        <v>33</v>
      </c>
      <c r="O92" s="9">
        <v>0</v>
      </c>
      <c r="P92" s="9">
        <v>35.4</v>
      </c>
      <c r="Q92" s="9">
        <v>4031.2</v>
      </c>
      <c r="R92" s="9">
        <v>7.66</v>
      </c>
      <c r="S92" s="10">
        <f>PharmaProduction[[#This Row],[Actual_Units]]/PharmaProduction[[#This Row],[Planned_Units]]</f>
        <v>0.78147741013520944</v>
      </c>
      <c r="T92" s="10">
        <f>(8-PharmaProduction[[#This Row],[Downtime_hr]])/8</f>
        <v>0.83374999999999999</v>
      </c>
      <c r="U92" s="10">
        <f>((PharmaProduction[[#This Row],[Actual_Units]]/(8-PharmaProduction[[#This Row],[Downtime_hr]]))*8)/(PharmaProduction[[#This Row],[Planned_Units]])</f>
        <v>0.93730424004223023</v>
      </c>
      <c r="V92" s="10">
        <f>PharmaProduction[[#This Row],[Good_Units]]/PharmaProduction[[#This Row],[Actual_Units]]</f>
        <v>0.99206650630881543</v>
      </c>
      <c r="W92" s="10">
        <f>PharmaProduction[[#This Row],[Availability_%]]*PharmaProduction[[#This Row],[Performance_%]]*PharmaProduction[[#This Row],[Quality_%]]</f>
        <v>0.77527756403209847</v>
      </c>
      <c r="X92" s="10">
        <f>PharmaProduction[[#This Row],[Good_Units]]/PharmaProduction[[#This Row],[Planned_Units]]</f>
        <v>0.77527756403209847</v>
      </c>
      <c r="Y92" s="10">
        <f>PharmaProduction[[#This Row],[Rejected_Units]]/PharmaProduction[[#This Row],[Actual_Units]]</f>
        <v>7.9334936911845382E-3</v>
      </c>
      <c r="Z92" s="11">
        <f>PharmaProduction[[#This Row],[Actual_Units]]/PharmaProduction[[#This Row],[Labor_Hours]]</f>
        <v>200.82203389830511</v>
      </c>
      <c r="AA92" s="12">
        <f>PharmaProduction[[#This Row],[Energy_kWh]]/PharmaProduction[[#This Row],[Actual_Units]]</f>
        <v>0.56704786822523234</v>
      </c>
      <c r="AB92" s="12">
        <f>PharmaProduction[[#This Row],[Run_Hours]]+PharmaProduction[[#This Row],[Downtime_hr]]</f>
        <v>8.99</v>
      </c>
    </row>
    <row r="93" spans="1:28" x14ac:dyDescent="0.25">
      <c r="A93" s="9">
        <v>89</v>
      </c>
      <c r="B93" s="8">
        <v>46067</v>
      </c>
      <c r="C93" s="9" t="s">
        <v>30</v>
      </c>
      <c r="D93" s="9" t="s">
        <v>36</v>
      </c>
      <c r="E93" s="9" t="s">
        <v>32</v>
      </c>
      <c r="F93" s="9">
        <v>9164</v>
      </c>
      <c r="G93" s="9">
        <v>8408.5</v>
      </c>
      <c r="H93" s="9">
        <v>8296.5</v>
      </c>
      <c r="I93" s="9">
        <v>112.1</v>
      </c>
      <c r="J93" s="9">
        <v>8545.7000000000007</v>
      </c>
      <c r="K93" s="9">
        <v>0</v>
      </c>
      <c r="L93" s="9" t="s">
        <v>33</v>
      </c>
      <c r="M93" s="9" t="s">
        <v>34</v>
      </c>
      <c r="N93" s="9" t="s">
        <v>33</v>
      </c>
      <c r="O93" s="9">
        <v>0</v>
      </c>
      <c r="P93" s="9">
        <v>35.700000000000003</v>
      </c>
      <c r="Q93" s="9">
        <v>4251</v>
      </c>
      <c r="R93" s="9">
        <v>7.38</v>
      </c>
      <c r="S93" s="10">
        <f>PharmaProduction[[#This Row],[Actual_Units]]/PharmaProduction[[#This Row],[Planned_Units]]</f>
        <v>0.91755783500654731</v>
      </c>
      <c r="T93" s="10">
        <f>(8-PharmaProduction[[#This Row],[Downtime_hr]])/8</f>
        <v>1</v>
      </c>
      <c r="U93" s="10">
        <f>((PharmaProduction[[#This Row],[Actual_Units]]/(8-PharmaProduction[[#This Row],[Downtime_hr]]))*8)/(PharmaProduction[[#This Row],[Planned_Units]])</f>
        <v>0.91755783500654731</v>
      </c>
      <c r="V93" s="10">
        <f>PharmaProduction[[#This Row],[Good_Units]]/PharmaProduction[[#This Row],[Actual_Units]]</f>
        <v>0.98668014509127666</v>
      </c>
      <c r="W93" s="10">
        <f>PharmaProduction[[#This Row],[Availability_%]]*PharmaProduction[[#This Row],[Performance_%]]*PharmaProduction[[#This Row],[Quality_%]]</f>
        <v>0.90533609777389779</v>
      </c>
      <c r="X93" s="10">
        <f>PharmaProduction[[#This Row],[Good_Units]]/PharmaProduction[[#This Row],[Planned_Units]]</f>
        <v>0.9053360977738979</v>
      </c>
      <c r="Y93" s="10">
        <f>PharmaProduction[[#This Row],[Rejected_Units]]/PharmaProduction[[#This Row],[Actual_Units]]</f>
        <v>1.333174763632039E-2</v>
      </c>
      <c r="Z93" s="11">
        <f>PharmaProduction[[#This Row],[Actual_Units]]/PharmaProduction[[#This Row],[Labor_Hours]]</f>
        <v>235.53221288515405</v>
      </c>
      <c r="AA93" s="12">
        <f>PharmaProduction[[#This Row],[Energy_kWh]]/PharmaProduction[[#This Row],[Actual_Units]]</f>
        <v>0.5055598501516323</v>
      </c>
      <c r="AB93" s="12">
        <f>PharmaProduction[[#This Row],[Run_Hours]]+PharmaProduction[[#This Row],[Downtime_hr]]</f>
        <v>7.38</v>
      </c>
    </row>
    <row r="94" spans="1:28" x14ac:dyDescent="0.25">
      <c r="A94" s="9">
        <v>90</v>
      </c>
      <c r="B94" s="8">
        <v>46067</v>
      </c>
      <c r="C94" s="9" t="s">
        <v>35</v>
      </c>
      <c r="D94" s="9" t="s">
        <v>38</v>
      </c>
      <c r="E94" s="9" t="s">
        <v>32</v>
      </c>
      <c r="F94" s="9">
        <v>10999</v>
      </c>
      <c r="G94" s="9">
        <v>9966.2999999999993</v>
      </c>
      <c r="H94" s="9">
        <v>9878.2000000000007</v>
      </c>
      <c r="I94" s="9">
        <v>88.2</v>
      </c>
      <c r="J94" s="9">
        <v>10260.1</v>
      </c>
      <c r="K94" s="9">
        <v>0.32</v>
      </c>
      <c r="L94" s="9" t="s">
        <v>33</v>
      </c>
      <c r="M94" s="9" t="s">
        <v>34</v>
      </c>
      <c r="N94" s="9" t="s">
        <v>44</v>
      </c>
      <c r="O94" s="9">
        <v>956.85</v>
      </c>
      <c r="P94" s="9">
        <v>46.9</v>
      </c>
      <c r="Q94" s="9">
        <v>5260</v>
      </c>
      <c r="R94" s="9">
        <v>6.83</v>
      </c>
      <c r="S94" s="10">
        <f>PharmaProduction[[#This Row],[Actual_Units]]/PharmaProduction[[#This Row],[Planned_Units]]</f>
        <v>0.90610964633148461</v>
      </c>
      <c r="T94" s="10">
        <f>(8-PharmaProduction[[#This Row],[Downtime_hr]])/8</f>
        <v>0.96</v>
      </c>
      <c r="U94" s="10">
        <f>((PharmaProduction[[#This Row],[Actual_Units]]/(8-PharmaProduction[[#This Row],[Downtime_hr]]))*8)/(PharmaProduction[[#This Row],[Planned_Units]])</f>
        <v>0.94386421492862993</v>
      </c>
      <c r="V94" s="10">
        <f>PharmaProduction[[#This Row],[Good_Units]]/PharmaProduction[[#This Row],[Actual_Units]]</f>
        <v>0.99116020990738807</v>
      </c>
      <c r="W94" s="10">
        <f>PharmaProduction[[#This Row],[Availability_%]]*PharmaProduction[[#This Row],[Performance_%]]*PharmaProduction[[#This Row],[Quality_%]]</f>
        <v>0.89809982725702353</v>
      </c>
      <c r="X94" s="10">
        <f>PharmaProduction[[#This Row],[Good_Units]]/PharmaProduction[[#This Row],[Planned_Units]]</f>
        <v>0.89809982725702342</v>
      </c>
      <c r="Y94" s="10">
        <f>PharmaProduction[[#This Row],[Rejected_Units]]/PharmaProduction[[#This Row],[Actual_Units]]</f>
        <v>8.8498239065651248E-3</v>
      </c>
      <c r="Z94" s="11">
        <f>PharmaProduction[[#This Row],[Actual_Units]]/PharmaProduction[[#This Row],[Labor_Hours]]</f>
        <v>212.50106609808103</v>
      </c>
      <c r="AA94" s="12">
        <f>PharmaProduction[[#This Row],[Energy_kWh]]/PharmaProduction[[#This Row],[Actual_Units]]</f>
        <v>0.52777861392894054</v>
      </c>
      <c r="AB94" s="12">
        <f>PharmaProduction[[#This Row],[Run_Hours]]+PharmaProduction[[#This Row],[Downtime_hr]]</f>
        <v>7.15</v>
      </c>
    </row>
    <row r="95" spans="1:28" x14ac:dyDescent="0.25">
      <c r="A95" s="9">
        <v>91</v>
      </c>
      <c r="B95" s="8">
        <v>46068</v>
      </c>
      <c r="C95" s="9" t="s">
        <v>30</v>
      </c>
      <c r="D95" s="9" t="s">
        <v>36</v>
      </c>
      <c r="E95" s="9" t="s">
        <v>32</v>
      </c>
      <c r="F95" s="9">
        <v>9588</v>
      </c>
      <c r="G95" s="9">
        <v>6356.1</v>
      </c>
      <c r="H95" s="9">
        <v>6285.9</v>
      </c>
      <c r="I95" s="9">
        <v>70.2</v>
      </c>
      <c r="J95" s="9">
        <v>6471.6</v>
      </c>
      <c r="K95" s="9">
        <v>4.09</v>
      </c>
      <c r="L95" s="9" t="s">
        <v>48</v>
      </c>
      <c r="M95" s="9" t="s">
        <v>34</v>
      </c>
      <c r="N95" s="9" t="s">
        <v>37</v>
      </c>
      <c r="O95" s="9">
        <v>282.39</v>
      </c>
      <c r="P95" s="9">
        <v>39.200000000000003</v>
      </c>
      <c r="Q95" s="9">
        <v>2973.3</v>
      </c>
      <c r="R95" s="9">
        <v>7.77</v>
      </c>
      <c r="S95" s="10">
        <f>PharmaProduction[[#This Row],[Actual_Units]]/PharmaProduction[[#This Row],[Planned_Units]]</f>
        <v>0.66292240300375471</v>
      </c>
      <c r="T95" s="10">
        <f>(8-PharmaProduction[[#This Row],[Downtime_hr]])/8</f>
        <v>0.48875000000000002</v>
      </c>
      <c r="U95" s="10">
        <f>((PharmaProduction[[#This Row],[Actual_Units]]/(8-PharmaProduction[[#This Row],[Downtime_hr]]))*8)/(PharmaProduction[[#This Row],[Planned_Units]])</f>
        <v>1.3563629728977078</v>
      </c>
      <c r="V95" s="10">
        <f>PharmaProduction[[#This Row],[Good_Units]]/PharmaProduction[[#This Row],[Actual_Units]]</f>
        <v>0.98895549157502227</v>
      </c>
      <c r="W95" s="10">
        <f>PharmaProduction[[#This Row],[Availability_%]]*PharmaProduction[[#This Row],[Performance_%]]*PharmaProduction[[#This Row],[Quality_%]]</f>
        <v>0.65560075093867332</v>
      </c>
      <c r="X95" s="10">
        <f>PharmaProduction[[#This Row],[Good_Units]]/PharmaProduction[[#This Row],[Planned_Units]]</f>
        <v>0.65560075093867332</v>
      </c>
      <c r="Y95" s="10">
        <f>PharmaProduction[[#This Row],[Rejected_Units]]/PharmaProduction[[#This Row],[Actual_Units]]</f>
        <v>1.1044508424977581E-2</v>
      </c>
      <c r="Z95" s="11">
        <f>PharmaProduction[[#This Row],[Actual_Units]]/PharmaProduction[[#This Row],[Labor_Hours]]</f>
        <v>162.1454081632653</v>
      </c>
      <c r="AA95" s="12">
        <f>PharmaProduction[[#This Row],[Energy_kWh]]/PharmaProduction[[#This Row],[Actual_Units]]</f>
        <v>0.46778685042714874</v>
      </c>
      <c r="AB95" s="12">
        <f>PharmaProduction[[#This Row],[Run_Hours]]+PharmaProduction[[#This Row],[Downtime_hr]]</f>
        <v>11.86</v>
      </c>
    </row>
    <row r="96" spans="1:28" x14ac:dyDescent="0.25">
      <c r="A96" s="9">
        <v>92</v>
      </c>
      <c r="B96" s="8">
        <v>46068</v>
      </c>
      <c r="C96" s="9" t="s">
        <v>35</v>
      </c>
      <c r="D96" s="9" t="s">
        <v>38</v>
      </c>
      <c r="E96" s="9" t="s">
        <v>32</v>
      </c>
      <c r="F96" s="9">
        <v>10048</v>
      </c>
      <c r="G96" s="9">
        <v>6435</v>
      </c>
      <c r="H96" s="9">
        <v>6338.4</v>
      </c>
      <c r="I96" s="9">
        <v>96.6</v>
      </c>
      <c r="J96" s="9">
        <v>6580.8</v>
      </c>
      <c r="K96" s="9">
        <v>2.3199999999999998</v>
      </c>
      <c r="L96" s="9" t="s">
        <v>33</v>
      </c>
      <c r="M96" s="9" t="s">
        <v>34</v>
      </c>
      <c r="N96" s="9" t="s">
        <v>33</v>
      </c>
      <c r="O96" s="9">
        <v>0</v>
      </c>
      <c r="P96" s="9">
        <v>43.6</v>
      </c>
      <c r="Q96" s="9">
        <v>3382</v>
      </c>
      <c r="R96" s="9">
        <v>7.59</v>
      </c>
      <c r="S96" s="10">
        <f>PharmaProduction[[#This Row],[Actual_Units]]/PharmaProduction[[#This Row],[Planned_Units]]</f>
        <v>0.6404259554140127</v>
      </c>
      <c r="T96" s="10">
        <f>(8-PharmaProduction[[#This Row],[Downtime_hr]])/8</f>
        <v>0.71</v>
      </c>
      <c r="U96" s="10">
        <f>((PharmaProduction[[#This Row],[Actual_Units]]/(8-PharmaProduction[[#This Row],[Downtime_hr]]))*8)/(PharmaProduction[[#This Row],[Planned_Units]])</f>
        <v>0.90200838790706017</v>
      </c>
      <c r="V96" s="10">
        <f>PharmaProduction[[#This Row],[Good_Units]]/PharmaProduction[[#This Row],[Actual_Units]]</f>
        <v>0.98498834498834498</v>
      </c>
      <c r="W96" s="10">
        <f>PharmaProduction[[#This Row],[Availability_%]]*PharmaProduction[[#This Row],[Performance_%]]*PharmaProduction[[#This Row],[Quality_%]]</f>
        <v>0.63081210191082804</v>
      </c>
      <c r="X96" s="10">
        <f>PharmaProduction[[#This Row],[Good_Units]]/PharmaProduction[[#This Row],[Planned_Units]]</f>
        <v>0.63081210191082804</v>
      </c>
      <c r="Y96" s="10">
        <f>PharmaProduction[[#This Row],[Rejected_Units]]/PharmaProduction[[#This Row],[Actual_Units]]</f>
        <v>1.5011655011655011E-2</v>
      </c>
      <c r="Z96" s="11">
        <f>PharmaProduction[[#This Row],[Actual_Units]]/PharmaProduction[[#This Row],[Labor_Hours]]</f>
        <v>147.59174311926606</v>
      </c>
      <c r="AA96" s="12">
        <f>PharmaProduction[[#This Row],[Energy_kWh]]/PharmaProduction[[#This Row],[Actual_Units]]</f>
        <v>0.52556332556332552</v>
      </c>
      <c r="AB96" s="12">
        <f>PharmaProduction[[#This Row],[Run_Hours]]+PharmaProduction[[#This Row],[Downtime_hr]]</f>
        <v>9.91</v>
      </c>
    </row>
    <row r="97" spans="1:28" x14ac:dyDescent="0.25">
      <c r="A97" s="9">
        <v>93</v>
      </c>
      <c r="B97" s="8">
        <v>46069</v>
      </c>
      <c r="C97" s="9" t="s">
        <v>30</v>
      </c>
      <c r="D97" s="9" t="s">
        <v>36</v>
      </c>
      <c r="E97" s="9" t="s">
        <v>32</v>
      </c>
      <c r="F97" s="9">
        <v>11443</v>
      </c>
      <c r="G97" s="9">
        <v>9535.2999999999993</v>
      </c>
      <c r="H97" s="9">
        <v>9423</v>
      </c>
      <c r="I97" s="9">
        <v>112.4</v>
      </c>
      <c r="J97" s="9">
        <v>9619.7999999999993</v>
      </c>
      <c r="K97" s="9">
        <v>1.1399999999999999</v>
      </c>
      <c r="L97" s="9" t="s">
        <v>33</v>
      </c>
      <c r="M97" s="9" t="s">
        <v>34</v>
      </c>
      <c r="N97" s="9" t="s">
        <v>33</v>
      </c>
      <c r="O97" s="9">
        <v>0</v>
      </c>
      <c r="P97" s="9">
        <v>36.6</v>
      </c>
      <c r="Q97" s="9">
        <v>4547.1000000000004</v>
      </c>
      <c r="R97" s="9">
        <v>7.21</v>
      </c>
      <c r="S97" s="10">
        <f>PharmaProduction[[#This Row],[Actual_Units]]/PharmaProduction[[#This Row],[Planned_Units]]</f>
        <v>0.83328672550904481</v>
      </c>
      <c r="T97" s="10">
        <f>(8-PharmaProduction[[#This Row],[Downtime_hr]])/8</f>
        <v>0.85750000000000004</v>
      </c>
      <c r="U97" s="10">
        <f>((PharmaProduction[[#This Row],[Actual_Units]]/(8-PharmaProduction[[#This Row],[Downtime_hr]]))*8)/(PharmaProduction[[#This Row],[Planned_Units]])</f>
        <v>0.97176294520005224</v>
      </c>
      <c r="V97" s="10">
        <f>PharmaProduction[[#This Row],[Good_Units]]/PharmaProduction[[#This Row],[Actual_Units]]</f>
        <v>0.98822270930122813</v>
      </c>
      <c r="W97" s="10">
        <f>PharmaProduction[[#This Row],[Availability_%]]*PharmaProduction[[#This Row],[Performance_%]]*PharmaProduction[[#This Row],[Quality_%]]</f>
        <v>0.82347286550729704</v>
      </c>
      <c r="X97" s="10">
        <f>PharmaProduction[[#This Row],[Good_Units]]/PharmaProduction[[#This Row],[Planned_Units]]</f>
        <v>0.82347286550729704</v>
      </c>
      <c r="Y97" s="10">
        <f>PharmaProduction[[#This Row],[Rejected_Units]]/PharmaProduction[[#This Row],[Actual_Units]]</f>
        <v>1.1787778045787758E-2</v>
      </c>
      <c r="Z97" s="11">
        <f>PharmaProduction[[#This Row],[Actual_Units]]/PharmaProduction[[#This Row],[Labor_Hours]]</f>
        <v>260.52732240437155</v>
      </c>
      <c r="AA97" s="12">
        <f>PharmaProduction[[#This Row],[Energy_kWh]]/PharmaProduction[[#This Row],[Actual_Units]]</f>
        <v>0.47687015615659711</v>
      </c>
      <c r="AB97" s="12">
        <f>PharmaProduction[[#This Row],[Run_Hours]]+PharmaProduction[[#This Row],[Downtime_hr]]</f>
        <v>8.35</v>
      </c>
    </row>
    <row r="98" spans="1:28" x14ac:dyDescent="0.25">
      <c r="A98" s="9">
        <v>94</v>
      </c>
      <c r="B98" s="8">
        <v>46069</v>
      </c>
      <c r="C98" s="9" t="s">
        <v>35</v>
      </c>
      <c r="D98" s="9" t="s">
        <v>36</v>
      </c>
      <c r="E98" s="9" t="s">
        <v>39</v>
      </c>
      <c r="F98" s="9">
        <v>9986</v>
      </c>
      <c r="G98" s="9">
        <v>8005.4</v>
      </c>
      <c r="H98" s="9">
        <v>7952.1</v>
      </c>
      <c r="I98" s="9">
        <v>53.2</v>
      </c>
      <c r="J98" s="9">
        <v>8104.7</v>
      </c>
      <c r="K98" s="9">
        <v>1.2</v>
      </c>
      <c r="L98" s="9" t="s">
        <v>33</v>
      </c>
      <c r="M98" s="9" t="s">
        <v>34</v>
      </c>
      <c r="N98" s="9" t="s">
        <v>33</v>
      </c>
      <c r="O98" s="9">
        <v>0</v>
      </c>
      <c r="P98" s="9">
        <v>48.2</v>
      </c>
      <c r="Q98" s="9">
        <v>4297.3</v>
      </c>
      <c r="R98" s="9">
        <v>6.61</v>
      </c>
      <c r="S98" s="10">
        <f>PharmaProduction[[#This Row],[Actual_Units]]/PharmaProduction[[#This Row],[Planned_Units]]</f>
        <v>0.80166232725816144</v>
      </c>
      <c r="T98" s="10">
        <f>(8-PharmaProduction[[#This Row],[Downtime_hr]])/8</f>
        <v>0.85</v>
      </c>
      <c r="U98" s="10">
        <f>((PharmaProduction[[#This Row],[Actual_Units]]/(8-PharmaProduction[[#This Row],[Downtime_hr]]))*8)/(PharmaProduction[[#This Row],[Planned_Units]])</f>
        <v>0.94313214971548398</v>
      </c>
      <c r="V98" s="10">
        <f>PharmaProduction[[#This Row],[Good_Units]]/PharmaProduction[[#This Row],[Actual_Units]]</f>
        <v>0.9933419941539462</v>
      </c>
      <c r="W98" s="10">
        <f>PharmaProduction[[#This Row],[Availability_%]]*PharmaProduction[[#This Row],[Performance_%]]*PharmaProduction[[#This Row],[Quality_%]]</f>
        <v>0.79632485479671544</v>
      </c>
      <c r="X98" s="10">
        <f>PharmaProduction[[#This Row],[Good_Units]]/PharmaProduction[[#This Row],[Planned_Units]]</f>
        <v>0.79632485479671544</v>
      </c>
      <c r="Y98" s="10">
        <f>PharmaProduction[[#This Row],[Rejected_Units]]/PharmaProduction[[#This Row],[Actual_Units]]</f>
        <v>6.6455142778624439E-3</v>
      </c>
      <c r="Z98" s="11">
        <f>PharmaProduction[[#This Row],[Actual_Units]]/PharmaProduction[[#This Row],[Labor_Hours]]</f>
        <v>166.08713692946057</v>
      </c>
      <c r="AA98" s="12">
        <f>PharmaProduction[[#This Row],[Energy_kWh]]/PharmaProduction[[#This Row],[Actual_Units]]</f>
        <v>0.53680015989207286</v>
      </c>
      <c r="AB98" s="12">
        <f>PharmaProduction[[#This Row],[Run_Hours]]+PharmaProduction[[#This Row],[Downtime_hr]]</f>
        <v>7.8100000000000005</v>
      </c>
    </row>
    <row r="99" spans="1:28" x14ac:dyDescent="0.25">
      <c r="A99" s="9">
        <v>95</v>
      </c>
      <c r="B99" s="8">
        <v>46070</v>
      </c>
      <c r="C99" s="9" t="s">
        <v>30</v>
      </c>
      <c r="D99" s="9" t="s">
        <v>38</v>
      </c>
      <c r="E99" s="9" t="s">
        <v>39</v>
      </c>
      <c r="F99" s="9">
        <v>9924</v>
      </c>
      <c r="G99" s="9">
        <v>9452.1</v>
      </c>
      <c r="H99" s="9">
        <v>9297.5</v>
      </c>
      <c r="I99" s="9">
        <v>154.69999999999999</v>
      </c>
      <c r="J99" s="9">
        <v>9705.7000000000007</v>
      </c>
      <c r="K99" s="9">
        <v>0.25</v>
      </c>
      <c r="L99" s="9" t="s">
        <v>33</v>
      </c>
      <c r="M99" s="9" t="s">
        <v>34</v>
      </c>
      <c r="N99" s="9" t="s">
        <v>47</v>
      </c>
      <c r="O99" s="9">
        <v>1941.85</v>
      </c>
      <c r="P99" s="9">
        <v>51.7</v>
      </c>
      <c r="Q99" s="9">
        <v>4949.8999999999996</v>
      </c>
      <c r="R99" s="9">
        <v>7.47</v>
      </c>
      <c r="S99" s="10">
        <f>PharmaProduction[[#This Row],[Actual_Units]]/PharmaProduction[[#This Row],[Planned_Units]]</f>
        <v>0.95244860943168086</v>
      </c>
      <c r="T99" s="10">
        <f>(8-PharmaProduction[[#This Row],[Downtime_hr]])/8</f>
        <v>0.96875</v>
      </c>
      <c r="U99" s="10">
        <f>((PharmaProduction[[#This Row],[Actual_Units]]/(8-PharmaProduction[[#This Row],[Downtime_hr]]))*8)/(PharmaProduction[[#This Row],[Planned_Units]])</f>
        <v>0.9831727581230254</v>
      </c>
      <c r="V99" s="10">
        <f>PharmaProduction[[#This Row],[Good_Units]]/PharmaProduction[[#This Row],[Actual_Units]]</f>
        <v>0.98364384634102475</v>
      </c>
      <c r="W99" s="10">
        <f>PharmaProduction[[#This Row],[Availability_%]]*PharmaProduction[[#This Row],[Performance_%]]*PharmaProduction[[#This Row],[Quality_%]]</f>
        <v>0.93687021362353895</v>
      </c>
      <c r="X99" s="10">
        <f>PharmaProduction[[#This Row],[Good_Units]]/PharmaProduction[[#This Row],[Planned_Units]]</f>
        <v>0.93687021362353895</v>
      </c>
      <c r="Y99" s="10">
        <f>PharmaProduction[[#This Row],[Rejected_Units]]/PharmaProduction[[#This Row],[Actual_Units]]</f>
        <v>1.6366733318521808E-2</v>
      </c>
      <c r="Z99" s="11">
        <f>PharmaProduction[[#This Row],[Actual_Units]]/PharmaProduction[[#This Row],[Labor_Hours]]</f>
        <v>182.82591876208897</v>
      </c>
      <c r="AA99" s="12">
        <f>PharmaProduction[[#This Row],[Energy_kWh]]/PharmaProduction[[#This Row],[Actual_Units]]</f>
        <v>0.52368256789496503</v>
      </c>
      <c r="AB99" s="12">
        <f>PharmaProduction[[#This Row],[Run_Hours]]+PharmaProduction[[#This Row],[Downtime_hr]]</f>
        <v>7.72</v>
      </c>
    </row>
    <row r="100" spans="1:28" x14ac:dyDescent="0.25">
      <c r="A100" s="9">
        <v>96</v>
      </c>
      <c r="B100" s="8">
        <v>46070</v>
      </c>
      <c r="C100" s="9" t="s">
        <v>35</v>
      </c>
      <c r="D100" s="9" t="s">
        <v>38</v>
      </c>
      <c r="E100" s="9" t="s">
        <v>42</v>
      </c>
      <c r="F100" s="9">
        <v>10341</v>
      </c>
      <c r="G100" s="9">
        <v>8997.2999999999993</v>
      </c>
      <c r="H100" s="9">
        <v>8856.7999999999993</v>
      </c>
      <c r="I100" s="9">
        <v>140.5</v>
      </c>
      <c r="J100" s="9">
        <v>9198.2000000000007</v>
      </c>
      <c r="K100" s="9">
        <v>0.67</v>
      </c>
      <c r="L100" s="9" t="s">
        <v>33</v>
      </c>
      <c r="M100" s="9" t="s">
        <v>34</v>
      </c>
      <c r="N100" s="9" t="s">
        <v>37</v>
      </c>
      <c r="O100" s="9">
        <v>443.94</v>
      </c>
      <c r="P100" s="9">
        <v>47.8</v>
      </c>
      <c r="Q100" s="9">
        <v>4715.2</v>
      </c>
      <c r="R100" s="9">
        <v>6.69</v>
      </c>
      <c r="S100" s="10">
        <f>PharmaProduction[[#This Row],[Actual_Units]]/PharmaProduction[[#This Row],[Planned_Units]]</f>
        <v>0.87006092254134026</v>
      </c>
      <c r="T100" s="10">
        <f>(8-PharmaProduction[[#This Row],[Downtime_hr]])/8</f>
        <v>0.91625000000000001</v>
      </c>
      <c r="U100" s="10">
        <f>((PharmaProduction[[#This Row],[Actual_Units]]/(8-PharmaProduction[[#This Row],[Downtime_hr]]))*8)/(PharmaProduction[[#This Row],[Planned_Units]])</f>
        <v>0.94958900140937541</v>
      </c>
      <c r="V100" s="10">
        <f>PharmaProduction[[#This Row],[Good_Units]]/PharmaProduction[[#This Row],[Actual_Units]]</f>
        <v>0.98438420415013395</v>
      </c>
      <c r="W100" s="10">
        <f>PharmaProduction[[#This Row],[Availability_%]]*PharmaProduction[[#This Row],[Performance_%]]*PharmaProduction[[#This Row],[Quality_%]]</f>
        <v>0.85647422879798862</v>
      </c>
      <c r="X100" s="10">
        <f>PharmaProduction[[#This Row],[Good_Units]]/PharmaProduction[[#This Row],[Planned_Units]]</f>
        <v>0.85647422879798851</v>
      </c>
      <c r="Y100" s="10">
        <f>PharmaProduction[[#This Row],[Rejected_Units]]/PharmaProduction[[#This Row],[Actual_Units]]</f>
        <v>1.5615795849866072E-2</v>
      </c>
      <c r="Z100" s="11">
        <f>PharmaProduction[[#This Row],[Actual_Units]]/PharmaProduction[[#This Row],[Labor_Hours]]</f>
        <v>188.22803347280333</v>
      </c>
      <c r="AA100" s="12">
        <f>PharmaProduction[[#This Row],[Energy_kWh]]/PharmaProduction[[#This Row],[Actual_Units]]</f>
        <v>0.5240683316105943</v>
      </c>
      <c r="AB100" s="12">
        <f>PharmaProduction[[#This Row],[Run_Hours]]+PharmaProduction[[#This Row],[Downtime_hr]]</f>
        <v>7.36</v>
      </c>
    </row>
    <row r="101" spans="1:28" x14ac:dyDescent="0.25">
      <c r="A101" s="9">
        <v>97</v>
      </c>
      <c r="B101" s="8">
        <v>46071</v>
      </c>
      <c r="C101" s="9" t="s">
        <v>30</v>
      </c>
      <c r="D101" s="9" t="s">
        <v>31</v>
      </c>
      <c r="E101" s="9" t="s">
        <v>32</v>
      </c>
      <c r="F101" s="9">
        <v>9714</v>
      </c>
      <c r="G101" s="9">
        <v>6380.3</v>
      </c>
      <c r="H101" s="9">
        <v>6245.8</v>
      </c>
      <c r="I101" s="9">
        <v>134.5</v>
      </c>
      <c r="J101" s="9">
        <v>6498</v>
      </c>
      <c r="K101" s="9">
        <v>2.36</v>
      </c>
      <c r="L101" s="9" t="s">
        <v>33</v>
      </c>
      <c r="M101" s="9" t="s">
        <v>34</v>
      </c>
      <c r="N101" s="9" t="s">
        <v>44</v>
      </c>
      <c r="O101" s="9">
        <v>644.29999999999995</v>
      </c>
      <c r="P101" s="9">
        <v>45.1</v>
      </c>
      <c r="Q101" s="9">
        <v>3367.1</v>
      </c>
      <c r="R101" s="9">
        <v>7.31</v>
      </c>
      <c r="S101" s="10">
        <f>PharmaProduction[[#This Row],[Actual_Units]]/PharmaProduction[[#This Row],[Planned_Units]]</f>
        <v>0.65681490632077411</v>
      </c>
      <c r="T101" s="10">
        <f>(8-PharmaProduction[[#This Row],[Downtime_hr]])/8</f>
        <v>0.70500000000000007</v>
      </c>
      <c r="U101" s="10">
        <f>((PharmaProduction[[#This Row],[Actual_Units]]/(8-PharmaProduction[[#This Row],[Downtime_hr]]))*8)/(PharmaProduction[[#This Row],[Planned_Units]])</f>
        <v>0.93165234939116892</v>
      </c>
      <c r="V101" s="10">
        <f>PharmaProduction[[#This Row],[Good_Units]]/PharmaProduction[[#This Row],[Actual_Units]]</f>
        <v>0.97891948654451988</v>
      </c>
      <c r="W101" s="10">
        <f>PharmaProduction[[#This Row],[Availability_%]]*PharmaProduction[[#This Row],[Performance_%]]*PharmaProduction[[#This Row],[Quality_%]]</f>
        <v>0.64296891085031915</v>
      </c>
      <c r="X101" s="10">
        <f>PharmaProduction[[#This Row],[Good_Units]]/PharmaProduction[[#This Row],[Planned_Units]]</f>
        <v>0.64296891085031915</v>
      </c>
      <c r="Y101" s="10">
        <f>PharmaProduction[[#This Row],[Rejected_Units]]/PharmaProduction[[#This Row],[Actual_Units]]</f>
        <v>2.1080513455480149E-2</v>
      </c>
      <c r="Z101" s="11">
        <f>PharmaProduction[[#This Row],[Actual_Units]]/PharmaProduction[[#This Row],[Labor_Hours]]</f>
        <v>141.47006651884701</v>
      </c>
      <c r="AA101" s="12">
        <f>PharmaProduction[[#This Row],[Energy_kWh]]/PharmaProduction[[#This Row],[Actual_Units]]</f>
        <v>0.52773380562042538</v>
      </c>
      <c r="AB101" s="12">
        <f>PharmaProduction[[#This Row],[Run_Hours]]+PharmaProduction[[#This Row],[Downtime_hr]]</f>
        <v>9.67</v>
      </c>
    </row>
    <row r="102" spans="1:28" x14ac:dyDescent="0.25">
      <c r="A102" s="9">
        <v>98</v>
      </c>
      <c r="B102" s="8">
        <v>46071</v>
      </c>
      <c r="C102" s="9" t="s">
        <v>35</v>
      </c>
      <c r="D102" s="9" t="s">
        <v>38</v>
      </c>
      <c r="E102" s="9" t="s">
        <v>32</v>
      </c>
      <c r="F102" s="9">
        <v>9496</v>
      </c>
      <c r="G102" s="9">
        <v>6982.3</v>
      </c>
      <c r="H102" s="9">
        <v>6867.9</v>
      </c>
      <c r="I102" s="9">
        <v>114.4</v>
      </c>
      <c r="J102" s="9">
        <v>7095.6</v>
      </c>
      <c r="K102" s="9">
        <v>1.49</v>
      </c>
      <c r="L102" s="9" t="s">
        <v>33</v>
      </c>
      <c r="M102" s="9" t="s">
        <v>34</v>
      </c>
      <c r="N102" s="9" t="s">
        <v>33</v>
      </c>
      <c r="O102" s="9">
        <v>0</v>
      </c>
      <c r="P102" s="9">
        <v>45.6</v>
      </c>
      <c r="Q102" s="9">
        <v>3358.2</v>
      </c>
      <c r="R102" s="9">
        <v>6.59</v>
      </c>
      <c r="S102" s="10">
        <f>PharmaProduction[[#This Row],[Actual_Units]]/PharmaProduction[[#This Row],[Planned_Units]]</f>
        <v>0.73528854254422915</v>
      </c>
      <c r="T102" s="10">
        <f>(8-PharmaProduction[[#This Row],[Downtime_hr]])/8</f>
        <v>0.81374999999999997</v>
      </c>
      <c r="U102" s="10">
        <f>((PharmaProduction[[#This Row],[Actual_Units]]/(8-PharmaProduction[[#This Row],[Downtime_hr]]))*8)/(PharmaProduction[[#This Row],[Planned_Units]])</f>
        <v>0.90358039022332315</v>
      </c>
      <c r="V102" s="10">
        <f>PharmaProduction[[#This Row],[Good_Units]]/PharmaProduction[[#This Row],[Actual_Units]]</f>
        <v>0.98361571401973558</v>
      </c>
      <c r="W102" s="10">
        <f>PharmaProduction[[#This Row],[Availability_%]]*PharmaProduction[[#This Row],[Performance_%]]*PharmaProduction[[#This Row],[Quality_%]]</f>
        <v>0.72324136478517265</v>
      </c>
      <c r="X102" s="10">
        <f>PharmaProduction[[#This Row],[Good_Units]]/PharmaProduction[[#This Row],[Planned_Units]]</f>
        <v>0.72324136478517265</v>
      </c>
      <c r="Y102" s="10">
        <f>PharmaProduction[[#This Row],[Rejected_Units]]/PharmaProduction[[#This Row],[Actual_Units]]</f>
        <v>1.6384285980264382E-2</v>
      </c>
      <c r="Z102" s="11">
        <f>PharmaProduction[[#This Row],[Actual_Units]]/PharmaProduction[[#This Row],[Labor_Hours]]</f>
        <v>153.12061403508773</v>
      </c>
      <c r="AA102" s="12">
        <f>PharmaProduction[[#This Row],[Energy_kWh]]/PharmaProduction[[#This Row],[Actual_Units]]</f>
        <v>0.48095899631926436</v>
      </c>
      <c r="AB102" s="12">
        <f>PharmaProduction[[#This Row],[Run_Hours]]+PharmaProduction[[#This Row],[Downtime_hr]]</f>
        <v>8.08</v>
      </c>
    </row>
    <row r="103" spans="1:28" x14ac:dyDescent="0.25">
      <c r="A103" s="9">
        <v>99</v>
      </c>
      <c r="B103" s="8">
        <v>46072</v>
      </c>
      <c r="C103" s="9" t="s">
        <v>30</v>
      </c>
      <c r="D103" s="9" t="s">
        <v>38</v>
      </c>
      <c r="E103" s="9" t="s">
        <v>32</v>
      </c>
      <c r="F103" s="9">
        <v>9564</v>
      </c>
      <c r="G103" s="9">
        <v>7431.2</v>
      </c>
      <c r="H103" s="9">
        <v>7324.8</v>
      </c>
      <c r="I103" s="9">
        <v>106.4</v>
      </c>
      <c r="J103" s="9">
        <v>7463</v>
      </c>
      <c r="K103" s="9">
        <v>0.56999999999999995</v>
      </c>
      <c r="L103" s="9" t="s">
        <v>33</v>
      </c>
      <c r="M103" s="9" t="s">
        <v>34</v>
      </c>
      <c r="N103" s="9" t="s">
        <v>33</v>
      </c>
      <c r="O103" s="9">
        <v>0</v>
      </c>
      <c r="P103" s="9">
        <v>32.5</v>
      </c>
      <c r="Q103" s="9">
        <v>3662.2</v>
      </c>
      <c r="R103" s="9">
        <v>7.85</v>
      </c>
      <c r="S103" s="10">
        <f>PharmaProduction[[#This Row],[Actual_Units]]/PharmaProduction[[#This Row],[Planned_Units]]</f>
        <v>0.77699707235466331</v>
      </c>
      <c r="T103" s="10">
        <f>(8-PharmaProduction[[#This Row],[Downtime_hr]])/8</f>
        <v>0.92874999999999996</v>
      </c>
      <c r="U103" s="10">
        <f>((PharmaProduction[[#This Row],[Actual_Units]]/(8-PharmaProduction[[#This Row],[Downtime_hr]]))*8)/(PharmaProduction[[#This Row],[Planned_Units]])</f>
        <v>0.83660519230650165</v>
      </c>
      <c r="V103" s="10">
        <f>PharmaProduction[[#This Row],[Good_Units]]/PharmaProduction[[#This Row],[Actual_Units]]</f>
        <v>0.98568198944988705</v>
      </c>
      <c r="W103" s="10">
        <f>PharmaProduction[[#This Row],[Availability_%]]*PharmaProduction[[#This Row],[Performance_%]]*PharmaProduction[[#This Row],[Quality_%]]</f>
        <v>0.76587202007528243</v>
      </c>
      <c r="X103" s="10">
        <f>PharmaProduction[[#This Row],[Good_Units]]/PharmaProduction[[#This Row],[Planned_Units]]</f>
        <v>0.76587202007528232</v>
      </c>
      <c r="Y103" s="10">
        <f>PharmaProduction[[#This Row],[Rejected_Units]]/PharmaProduction[[#This Row],[Actual_Units]]</f>
        <v>1.4318010550113038E-2</v>
      </c>
      <c r="Z103" s="11">
        <f>PharmaProduction[[#This Row],[Actual_Units]]/PharmaProduction[[#This Row],[Labor_Hours]]</f>
        <v>228.65230769230769</v>
      </c>
      <c r="AA103" s="12">
        <f>PharmaProduction[[#This Row],[Energy_kWh]]/PharmaProduction[[#This Row],[Actual_Units]]</f>
        <v>0.49281408117127784</v>
      </c>
      <c r="AB103" s="12">
        <f>PharmaProduction[[#This Row],[Run_Hours]]+PharmaProduction[[#This Row],[Downtime_hr]]</f>
        <v>8.42</v>
      </c>
    </row>
    <row r="104" spans="1:28" x14ac:dyDescent="0.25">
      <c r="A104" s="9">
        <v>100</v>
      </c>
      <c r="B104" s="8">
        <v>46072</v>
      </c>
      <c r="C104" s="9" t="s">
        <v>35</v>
      </c>
      <c r="D104" s="9" t="s">
        <v>36</v>
      </c>
      <c r="E104" s="9" t="s">
        <v>39</v>
      </c>
      <c r="F104" s="9">
        <v>10681</v>
      </c>
      <c r="G104" s="9">
        <v>6908.8</v>
      </c>
      <c r="H104" s="9">
        <v>6834.4</v>
      </c>
      <c r="I104" s="9">
        <v>74.400000000000006</v>
      </c>
      <c r="J104" s="9">
        <v>7024.9</v>
      </c>
      <c r="K104" s="9">
        <v>2.64</v>
      </c>
      <c r="L104" s="9" t="s">
        <v>33</v>
      </c>
      <c r="M104" s="9" t="s">
        <v>34</v>
      </c>
      <c r="N104" s="9" t="s">
        <v>37</v>
      </c>
      <c r="O104" s="9">
        <v>168.42</v>
      </c>
      <c r="P104" s="9">
        <v>42.7</v>
      </c>
      <c r="Q104" s="9">
        <v>3305</v>
      </c>
      <c r="R104" s="9">
        <v>7.33</v>
      </c>
      <c r="S104" s="10">
        <f>PharmaProduction[[#This Row],[Actual_Units]]/PharmaProduction[[#This Row],[Planned_Units]]</f>
        <v>0.64683082108416812</v>
      </c>
      <c r="T104" s="10">
        <f>(8-PharmaProduction[[#This Row],[Downtime_hr]])/8</f>
        <v>0.66999999999999993</v>
      </c>
      <c r="U104" s="10">
        <f>((PharmaProduction[[#This Row],[Actual_Units]]/(8-PharmaProduction[[#This Row],[Downtime_hr]]))*8)/(PharmaProduction[[#This Row],[Planned_Units]])</f>
        <v>0.96541913594651985</v>
      </c>
      <c r="V104" s="10">
        <f>PharmaProduction[[#This Row],[Good_Units]]/PharmaProduction[[#This Row],[Actual_Units]]</f>
        <v>0.98923112552107451</v>
      </c>
      <c r="W104" s="10">
        <f>PharmaProduction[[#This Row],[Availability_%]]*PharmaProduction[[#This Row],[Performance_%]]*PharmaProduction[[#This Row],[Quality_%]]</f>
        <v>0.63986518116281255</v>
      </c>
      <c r="X104" s="10">
        <f>PharmaProduction[[#This Row],[Good_Units]]/PharmaProduction[[#This Row],[Planned_Units]]</f>
        <v>0.63986518116281244</v>
      </c>
      <c r="Y104" s="10">
        <f>PharmaProduction[[#This Row],[Rejected_Units]]/PharmaProduction[[#This Row],[Actual_Units]]</f>
        <v>1.0768874478925428E-2</v>
      </c>
      <c r="Z104" s="11">
        <f>PharmaProduction[[#This Row],[Actual_Units]]/PharmaProduction[[#This Row],[Labor_Hours]]</f>
        <v>161.79859484777518</v>
      </c>
      <c r="AA104" s="12">
        <f>PharmaProduction[[#This Row],[Energy_kWh]]/PharmaProduction[[#This Row],[Actual_Units]]</f>
        <v>0.47837540528022232</v>
      </c>
      <c r="AB104" s="12">
        <f>PharmaProduction[[#This Row],[Run_Hours]]+PharmaProduction[[#This Row],[Downtime_hr]]</f>
        <v>9.9700000000000006</v>
      </c>
    </row>
    <row r="105" spans="1:28" x14ac:dyDescent="0.25">
      <c r="A105" s="9">
        <v>101</v>
      </c>
      <c r="B105" s="8">
        <v>46073</v>
      </c>
      <c r="C105" s="9" t="s">
        <v>30</v>
      </c>
      <c r="D105" s="9" t="s">
        <v>36</v>
      </c>
      <c r="E105" s="9" t="s">
        <v>39</v>
      </c>
      <c r="F105" s="9">
        <v>9667</v>
      </c>
      <c r="G105" s="9">
        <v>6119.8</v>
      </c>
      <c r="H105" s="9">
        <v>6069.4</v>
      </c>
      <c r="I105" s="9">
        <v>50.3</v>
      </c>
      <c r="J105" s="9">
        <v>6241.5</v>
      </c>
      <c r="K105" s="9">
        <v>3.05</v>
      </c>
      <c r="L105" s="9" t="s">
        <v>40</v>
      </c>
      <c r="M105" s="9" t="s">
        <v>34</v>
      </c>
      <c r="N105" s="9" t="s">
        <v>44</v>
      </c>
      <c r="O105" s="9">
        <v>654.33000000000004</v>
      </c>
      <c r="P105" s="9">
        <v>47.9</v>
      </c>
      <c r="Q105" s="9">
        <v>3204.5</v>
      </c>
      <c r="R105" s="9">
        <v>6.85</v>
      </c>
      <c r="S105" s="10">
        <f>PharmaProduction[[#This Row],[Actual_Units]]/PharmaProduction[[#This Row],[Planned_Units]]</f>
        <v>0.63306092893348509</v>
      </c>
      <c r="T105" s="10">
        <f>(8-PharmaProduction[[#This Row],[Downtime_hr]])/8</f>
        <v>0.61875000000000002</v>
      </c>
      <c r="U105" s="10">
        <f>((PharmaProduction[[#This Row],[Actual_Units]]/(8-PharmaProduction[[#This Row],[Downtime_hr]]))*8)/(PharmaProduction[[#This Row],[Planned_Units]])</f>
        <v>1.0231287740339152</v>
      </c>
      <c r="V105" s="10">
        <f>PharmaProduction[[#This Row],[Good_Units]]/PharmaProduction[[#This Row],[Actual_Units]]</f>
        <v>0.99176443674629877</v>
      </c>
      <c r="W105" s="10">
        <f>PharmaProduction[[#This Row],[Availability_%]]*PharmaProduction[[#This Row],[Performance_%]]*PharmaProduction[[#This Row],[Quality_%]]</f>
        <v>0.62784731560980656</v>
      </c>
      <c r="X105" s="10">
        <f>PharmaProduction[[#This Row],[Good_Units]]/PharmaProduction[[#This Row],[Planned_Units]]</f>
        <v>0.62784731560980656</v>
      </c>
      <c r="Y105" s="10">
        <f>PharmaProduction[[#This Row],[Rejected_Units]]/PharmaProduction[[#This Row],[Actual_Units]]</f>
        <v>8.219222850419948E-3</v>
      </c>
      <c r="Z105" s="11">
        <f>PharmaProduction[[#This Row],[Actual_Units]]/PharmaProduction[[#This Row],[Labor_Hours]]</f>
        <v>127.76200417536535</v>
      </c>
      <c r="AA105" s="12">
        <f>PharmaProduction[[#This Row],[Energy_kWh]]/PharmaProduction[[#This Row],[Actual_Units]]</f>
        <v>0.52362822314454716</v>
      </c>
      <c r="AB105" s="12">
        <f>PharmaProduction[[#This Row],[Run_Hours]]+PharmaProduction[[#This Row],[Downtime_hr]]</f>
        <v>9.8999999999999986</v>
      </c>
    </row>
    <row r="106" spans="1:28" x14ac:dyDescent="0.25">
      <c r="A106" s="9">
        <v>102</v>
      </c>
      <c r="B106" s="8">
        <v>46073</v>
      </c>
      <c r="C106" s="9" t="s">
        <v>35</v>
      </c>
      <c r="D106" s="9" t="s">
        <v>38</v>
      </c>
      <c r="E106" s="9" t="s">
        <v>32</v>
      </c>
      <c r="F106" s="9">
        <v>10619</v>
      </c>
      <c r="G106" s="9">
        <v>8713.7999999999993</v>
      </c>
      <c r="H106" s="9">
        <v>8518.6</v>
      </c>
      <c r="I106" s="9">
        <v>195.2</v>
      </c>
      <c r="J106" s="9">
        <v>8786.9</v>
      </c>
      <c r="K106" s="9">
        <v>0.62</v>
      </c>
      <c r="L106" s="9" t="s">
        <v>33</v>
      </c>
      <c r="M106" s="9" t="s">
        <v>34</v>
      </c>
      <c r="N106" s="9" t="s">
        <v>44</v>
      </c>
      <c r="O106" s="9">
        <v>498.93</v>
      </c>
      <c r="P106" s="9">
        <v>35</v>
      </c>
      <c r="Q106" s="9">
        <v>4545.8999999999996</v>
      </c>
      <c r="R106" s="9">
        <v>7.25</v>
      </c>
      <c r="S106" s="10">
        <f>PharmaProduction[[#This Row],[Actual_Units]]/PharmaProduction[[#This Row],[Planned_Units]]</f>
        <v>0.82058574253696193</v>
      </c>
      <c r="T106" s="10">
        <f>(8-PharmaProduction[[#This Row],[Downtime_hr]])/8</f>
        <v>0.92249999999999999</v>
      </c>
      <c r="U106" s="10">
        <f>((PharmaProduction[[#This Row],[Actual_Units]]/(8-PharmaProduction[[#This Row],[Downtime_hr]]))*8)/(PharmaProduction[[#This Row],[Planned_Units]])</f>
        <v>0.8895238401484683</v>
      </c>
      <c r="V106" s="10">
        <f>PharmaProduction[[#This Row],[Good_Units]]/PharmaProduction[[#This Row],[Actual_Units]]</f>
        <v>0.9775987514058162</v>
      </c>
      <c r="W106" s="10">
        <f>PharmaProduction[[#This Row],[Availability_%]]*PharmaProduction[[#This Row],[Performance_%]]*PharmaProduction[[#This Row],[Quality_%]]</f>
        <v>0.80220359732554869</v>
      </c>
      <c r="X106" s="10">
        <f>PharmaProduction[[#This Row],[Good_Units]]/PharmaProduction[[#This Row],[Planned_Units]]</f>
        <v>0.80220359732554858</v>
      </c>
      <c r="Y106" s="10">
        <f>PharmaProduction[[#This Row],[Rejected_Units]]/PharmaProduction[[#This Row],[Actual_Units]]</f>
        <v>2.240124859418394E-2</v>
      </c>
      <c r="Z106" s="11">
        <f>PharmaProduction[[#This Row],[Actual_Units]]/PharmaProduction[[#This Row],[Labor_Hours]]</f>
        <v>248.96571428571426</v>
      </c>
      <c r="AA106" s="12">
        <f>PharmaProduction[[#This Row],[Energy_kWh]]/PharmaProduction[[#This Row],[Actual_Units]]</f>
        <v>0.52168973352613102</v>
      </c>
      <c r="AB106" s="12">
        <f>PharmaProduction[[#This Row],[Run_Hours]]+PharmaProduction[[#This Row],[Downtime_hr]]</f>
        <v>7.87</v>
      </c>
    </row>
    <row r="107" spans="1:28" x14ac:dyDescent="0.25">
      <c r="A107" s="9">
        <v>103</v>
      </c>
      <c r="B107" s="8">
        <v>46074</v>
      </c>
      <c r="C107" s="9" t="s">
        <v>30</v>
      </c>
      <c r="D107" s="9" t="s">
        <v>38</v>
      </c>
      <c r="E107" s="9" t="s">
        <v>39</v>
      </c>
      <c r="F107" s="9">
        <v>9585</v>
      </c>
      <c r="G107" s="9">
        <v>6101.3</v>
      </c>
      <c r="H107" s="9">
        <v>6001.8</v>
      </c>
      <c r="I107" s="9">
        <v>99.5</v>
      </c>
      <c r="J107" s="9">
        <v>6234.6</v>
      </c>
      <c r="K107" s="9">
        <v>3.53</v>
      </c>
      <c r="L107" s="9" t="s">
        <v>40</v>
      </c>
      <c r="M107" s="9" t="s">
        <v>34</v>
      </c>
      <c r="N107" s="9" t="s">
        <v>33</v>
      </c>
      <c r="O107" s="9">
        <v>0</v>
      </c>
      <c r="P107" s="9">
        <v>48</v>
      </c>
      <c r="Q107" s="9">
        <v>3394.3</v>
      </c>
      <c r="R107" s="9">
        <v>7.09</v>
      </c>
      <c r="S107" s="10">
        <f>PharmaProduction[[#This Row],[Actual_Units]]/PharmaProduction[[#This Row],[Planned_Units]]</f>
        <v>0.63654668753260302</v>
      </c>
      <c r="T107" s="10">
        <f>(8-PharmaProduction[[#This Row],[Downtime_hr]])/8</f>
        <v>0.55875000000000008</v>
      </c>
      <c r="U107" s="10">
        <f>((PharmaProduction[[#This Row],[Actual_Units]]/(8-PharmaProduction[[#This Row],[Downtime_hr]]))*8)/(PharmaProduction[[#This Row],[Planned_Units]])</f>
        <v>1.1392334452485064</v>
      </c>
      <c r="V107" s="10">
        <f>PharmaProduction[[#This Row],[Good_Units]]/PharmaProduction[[#This Row],[Actual_Units]]</f>
        <v>0.98369200006555979</v>
      </c>
      <c r="W107" s="10">
        <f>PharmaProduction[[#This Row],[Availability_%]]*PharmaProduction[[#This Row],[Performance_%]]*PharmaProduction[[#This Row],[Quality_%]]</f>
        <v>0.62616588419405317</v>
      </c>
      <c r="X107" s="10">
        <f>PharmaProduction[[#This Row],[Good_Units]]/PharmaProduction[[#This Row],[Planned_Units]]</f>
        <v>0.62616588419405328</v>
      </c>
      <c r="Y107" s="10">
        <f>PharmaProduction[[#This Row],[Rejected_Units]]/PharmaProduction[[#This Row],[Actual_Units]]</f>
        <v>1.6307999934440202E-2</v>
      </c>
      <c r="Z107" s="11">
        <f>PharmaProduction[[#This Row],[Actual_Units]]/PharmaProduction[[#This Row],[Labor_Hours]]</f>
        <v>127.11041666666667</v>
      </c>
      <c r="AA107" s="12">
        <f>PharmaProduction[[#This Row],[Energy_kWh]]/PharmaProduction[[#This Row],[Actual_Units]]</f>
        <v>0.55632406208512941</v>
      </c>
      <c r="AB107" s="12">
        <f>PharmaProduction[[#This Row],[Run_Hours]]+PharmaProduction[[#This Row],[Downtime_hr]]</f>
        <v>10.62</v>
      </c>
    </row>
    <row r="108" spans="1:28" x14ac:dyDescent="0.25">
      <c r="A108" s="9">
        <v>104</v>
      </c>
      <c r="B108" s="8">
        <v>46074</v>
      </c>
      <c r="C108" s="9" t="s">
        <v>35</v>
      </c>
      <c r="D108" s="9" t="s">
        <v>31</v>
      </c>
      <c r="E108" s="9" t="s">
        <v>42</v>
      </c>
      <c r="F108" s="9">
        <v>9884</v>
      </c>
      <c r="G108" s="9">
        <v>6257.3</v>
      </c>
      <c r="H108" s="9">
        <v>6198.1</v>
      </c>
      <c r="I108" s="9">
        <v>59.2</v>
      </c>
      <c r="J108" s="9">
        <v>6382</v>
      </c>
      <c r="K108" s="9">
        <v>2.37</v>
      </c>
      <c r="L108" s="9" t="s">
        <v>46</v>
      </c>
      <c r="M108" s="9" t="s">
        <v>34</v>
      </c>
      <c r="N108" s="9" t="s">
        <v>44</v>
      </c>
      <c r="O108" s="9">
        <v>491.77</v>
      </c>
      <c r="P108" s="9">
        <v>39.1</v>
      </c>
      <c r="Q108" s="9">
        <v>3000.2</v>
      </c>
      <c r="R108" s="9">
        <v>7.52</v>
      </c>
      <c r="S108" s="10">
        <f>PharmaProduction[[#This Row],[Actual_Units]]/PharmaProduction[[#This Row],[Planned_Units]]</f>
        <v>0.63307365439093488</v>
      </c>
      <c r="T108" s="10">
        <f>(8-PharmaProduction[[#This Row],[Downtime_hr]])/8</f>
        <v>0.70374999999999999</v>
      </c>
      <c r="U108" s="10">
        <f>((PharmaProduction[[#This Row],[Actual_Units]]/(8-PharmaProduction[[#This Row],[Downtime_hr]]))*8)/(PharmaProduction[[#This Row],[Planned_Units]])</f>
        <v>0.89957180020026273</v>
      </c>
      <c r="V108" s="10">
        <f>PharmaProduction[[#This Row],[Good_Units]]/PharmaProduction[[#This Row],[Actual_Units]]</f>
        <v>0.99053905038914547</v>
      </c>
      <c r="W108" s="10">
        <f>PharmaProduction[[#This Row],[Availability_%]]*PharmaProduction[[#This Row],[Performance_%]]*PharmaProduction[[#This Row],[Quality_%]]</f>
        <v>0.62708417644678272</v>
      </c>
      <c r="X108" s="10">
        <f>PharmaProduction[[#This Row],[Good_Units]]/PharmaProduction[[#This Row],[Planned_Units]]</f>
        <v>0.62708417644678272</v>
      </c>
      <c r="Y108" s="10">
        <f>PharmaProduction[[#This Row],[Rejected_Units]]/PharmaProduction[[#This Row],[Actual_Units]]</f>
        <v>9.460949610854523E-3</v>
      </c>
      <c r="Z108" s="11">
        <f>PharmaProduction[[#This Row],[Actual_Units]]/PharmaProduction[[#This Row],[Labor_Hours]]</f>
        <v>160.03324808184144</v>
      </c>
      <c r="AA108" s="12">
        <f>PharmaProduction[[#This Row],[Energy_kWh]]/PharmaProduction[[#This Row],[Actual_Units]]</f>
        <v>0.47947197673117792</v>
      </c>
      <c r="AB108" s="12">
        <f>PharmaProduction[[#This Row],[Run_Hours]]+PharmaProduction[[#This Row],[Downtime_hr]]</f>
        <v>9.89</v>
      </c>
    </row>
    <row r="109" spans="1:28" x14ac:dyDescent="0.25">
      <c r="A109" s="9">
        <v>105</v>
      </c>
      <c r="B109" s="8">
        <v>46075</v>
      </c>
      <c r="C109" s="9" t="s">
        <v>30</v>
      </c>
      <c r="D109" s="9" t="s">
        <v>38</v>
      </c>
      <c r="E109" s="9" t="s">
        <v>32</v>
      </c>
      <c r="F109" s="9">
        <v>9628</v>
      </c>
      <c r="G109" s="9">
        <v>6306.7</v>
      </c>
      <c r="H109" s="9">
        <v>6232.3</v>
      </c>
      <c r="I109" s="9">
        <v>74.400000000000006</v>
      </c>
      <c r="J109" s="9">
        <v>6361</v>
      </c>
      <c r="K109" s="9">
        <v>3.46</v>
      </c>
      <c r="L109" s="9" t="s">
        <v>33</v>
      </c>
      <c r="M109" s="9" t="s">
        <v>34</v>
      </c>
      <c r="N109" s="9" t="s">
        <v>33</v>
      </c>
      <c r="O109" s="9">
        <v>0</v>
      </c>
      <c r="P109" s="9">
        <v>34.4</v>
      </c>
      <c r="Q109" s="9">
        <v>3111.8</v>
      </c>
      <c r="R109" s="9">
        <v>7.65</v>
      </c>
      <c r="S109" s="10">
        <f>PharmaProduction[[#This Row],[Actual_Units]]/PharmaProduction[[#This Row],[Planned_Units]]</f>
        <v>0.65503739094308266</v>
      </c>
      <c r="T109" s="10">
        <f>(8-PharmaProduction[[#This Row],[Downtime_hr]])/8</f>
        <v>0.5675</v>
      </c>
      <c r="U109" s="10">
        <f>((PharmaProduction[[#This Row],[Actual_Units]]/(8-PharmaProduction[[#This Row],[Downtime_hr]]))*8)/(PharmaProduction[[#This Row],[Planned_Units]])</f>
        <v>1.1542509091508064</v>
      </c>
      <c r="V109" s="10">
        <f>PharmaProduction[[#This Row],[Good_Units]]/PharmaProduction[[#This Row],[Actual_Units]]</f>
        <v>0.98820302218275813</v>
      </c>
      <c r="W109" s="10">
        <f>PharmaProduction[[#This Row],[Availability_%]]*PharmaProduction[[#This Row],[Performance_%]]*PharmaProduction[[#This Row],[Quality_%]]</f>
        <v>0.64730992937266307</v>
      </c>
      <c r="X109" s="10">
        <f>PharmaProduction[[#This Row],[Good_Units]]/PharmaProduction[[#This Row],[Planned_Units]]</f>
        <v>0.64730992937266307</v>
      </c>
      <c r="Y109" s="10">
        <f>PharmaProduction[[#This Row],[Rejected_Units]]/PharmaProduction[[#This Row],[Actual_Units]]</f>
        <v>1.1796977817241983E-2</v>
      </c>
      <c r="Z109" s="11">
        <f>PharmaProduction[[#This Row],[Actual_Units]]/PharmaProduction[[#This Row],[Labor_Hours]]</f>
        <v>183.3343023255814</v>
      </c>
      <c r="AA109" s="12">
        <f>PharmaProduction[[#This Row],[Energy_kWh]]/PharmaProduction[[#This Row],[Actual_Units]]</f>
        <v>0.49341176843674189</v>
      </c>
      <c r="AB109" s="12">
        <f>PharmaProduction[[#This Row],[Run_Hours]]+PharmaProduction[[#This Row],[Downtime_hr]]</f>
        <v>11.11</v>
      </c>
    </row>
    <row r="110" spans="1:28" x14ac:dyDescent="0.25">
      <c r="A110" s="9">
        <v>106</v>
      </c>
      <c r="B110" s="8">
        <v>46075</v>
      </c>
      <c r="C110" s="9" t="s">
        <v>35</v>
      </c>
      <c r="D110" s="9" t="s">
        <v>36</v>
      </c>
      <c r="E110" s="9" t="s">
        <v>32</v>
      </c>
      <c r="F110" s="9">
        <v>10337</v>
      </c>
      <c r="G110" s="9">
        <v>6663.5</v>
      </c>
      <c r="H110" s="9">
        <v>6571.8</v>
      </c>
      <c r="I110" s="9">
        <v>91.7</v>
      </c>
      <c r="J110" s="9">
        <v>6842.5</v>
      </c>
      <c r="K110" s="9">
        <v>2.57</v>
      </c>
      <c r="L110" s="9" t="s">
        <v>45</v>
      </c>
      <c r="M110" s="9" t="s">
        <v>34</v>
      </c>
      <c r="N110" s="9" t="s">
        <v>33</v>
      </c>
      <c r="O110" s="9">
        <v>0</v>
      </c>
      <c r="P110" s="9">
        <v>50.3</v>
      </c>
      <c r="Q110" s="9">
        <v>3018.6</v>
      </c>
      <c r="R110" s="9">
        <v>7.67</v>
      </c>
      <c r="S110" s="10">
        <f>PharmaProduction[[#This Row],[Actual_Units]]/PharmaProduction[[#This Row],[Planned_Units]]</f>
        <v>0.64462610041598145</v>
      </c>
      <c r="T110" s="10">
        <f>(8-PharmaProduction[[#This Row],[Downtime_hr]])/8</f>
        <v>0.67874999999999996</v>
      </c>
      <c r="U110" s="10">
        <f>((PharmaProduction[[#This Row],[Actual_Units]]/(8-PharmaProduction[[#This Row],[Downtime_hr]]))*8)/(PharmaProduction[[#This Row],[Planned_Units]])</f>
        <v>0.9497253781450925</v>
      </c>
      <c r="V110" s="10">
        <f>PharmaProduction[[#This Row],[Good_Units]]/PharmaProduction[[#This Row],[Actual_Units]]</f>
        <v>0.98623846327005327</v>
      </c>
      <c r="W110" s="10">
        <f>PharmaProduction[[#This Row],[Availability_%]]*PharmaProduction[[#This Row],[Performance_%]]*PharmaProduction[[#This Row],[Quality_%]]</f>
        <v>0.63575505465802462</v>
      </c>
      <c r="X110" s="10">
        <f>PharmaProduction[[#This Row],[Good_Units]]/PharmaProduction[[#This Row],[Planned_Units]]</f>
        <v>0.63575505465802462</v>
      </c>
      <c r="Y110" s="10">
        <f>PharmaProduction[[#This Row],[Rejected_Units]]/PharmaProduction[[#This Row],[Actual_Units]]</f>
        <v>1.3761536729946726E-2</v>
      </c>
      <c r="Z110" s="11">
        <f>PharmaProduction[[#This Row],[Actual_Units]]/PharmaProduction[[#This Row],[Labor_Hours]]</f>
        <v>132.47514910536779</v>
      </c>
      <c r="AA110" s="12">
        <f>PharmaProduction[[#This Row],[Energy_kWh]]/PharmaProduction[[#This Row],[Actual_Units]]</f>
        <v>0.45300517745929314</v>
      </c>
      <c r="AB110" s="12">
        <f>PharmaProduction[[#This Row],[Run_Hours]]+PharmaProduction[[#This Row],[Downtime_hr]]</f>
        <v>10.24</v>
      </c>
    </row>
    <row r="111" spans="1:28" x14ac:dyDescent="0.25">
      <c r="A111" s="9">
        <v>107</v>
      </c>
      <c r="B111" s="8">
        <v>46076</v>
      </c>
      <c r="C111" s="9" t="s">
        <v>30</v>
      </c>
      <c r="D111" s="9" t="s">
        <v>38</v>
      </c>
      <c r="E111" s="9" t="s">
        <v>39</v>
      </c>
      <c r="F111" s="9">
        <v>10690</v>
      </c>
      <c r="G111" s="9">
        <v>9142.9</v>
      </c>
      <c r="H111" s="9">
        <v>8957.4</v>
      </c>
      <c r="I111" s="9">
        <v>185.4</v>
      </c>
      <c r="J111" s="9">
        <v>9336</v>
      </c>
      <c r="K111" s="9">
        <v>0.28999999999999998</v>
      </c>
      <c r="L111" s="9" t="s">
        <v>33</v>
      </c>
      <c r="M111" s="9" t="s">
        <v>34</v>
      </c>
      <c r="N111" s="9" t="s">
        <v>33</v>
      </c>
      <c r="O111" s="9">
        <v>0</v>
      </c>
      <c r="P111" s="9">
        <v>39.799999999999997</v>
      </c>
      <c r="Q111" s="9">
        <v>5131.3</v>
      </c>
      <c r="R111" s="9">
        <v>7.03</v>
      </c>
      <c r="S111" s="10">
        <f>PharmaProduction[[#This Row],[Actual_Units]]/PharmaProduction[[#This Row],[Planned_Units]]</f>
        <v>0.85527595884003738</v>
      </c>
      <c r="T111" s="10">
        <f>(8-PharmaProduction[[#This Row],[Downtime_hr]])/8</f>
        <v>0.96375</v>
      </c>
      <c r="U111" s="10">
        <f>((PharmaProduction[[#This Row],[Actual_Units]]/(8-PharmaProduction[[#This Row],[Downtime_hr]]))*8)/(PharmaProduction[[#This Row],[Planned_Units]])</f>
        <v>0.88744587168875477</v>
      </c>
      <c r="V111" s="10">
        <f>PharmaProduction[[#This Row],[Good_Units]]/PharmaProduction[[#This Row],[Actual_Units]]</f>
        <v>0.97971103260453463</v>
      </c>
      <c r="W111" s="10">
        <f>PharmaProduction[[#This Row],[Availability_%]]*PharmaProduction[[#This Row],[Performance_%]]*PharmaProduction[[#This Row],[Quality_%]]</f>
        <v>0.8379232927970065</v>
      </c>
      <c r="X111" s="10">
        <f>PharmaProduction[[#This Row],[Good_Units]]/PharmaProduction[[#This Row],[Planned_Units]]</f>
        <v>0.8379232927970065</v>
      </c>
      <c r="Y111" s="10">
        <f>PharmaProduction[[#This Row],[Rejected_Units]]/PharmaProduction[[#This Row],[Actual_Units]]</f>
        <v>2.0278029946734628E-2</v>
      </c>
      <c r="Z111" s="11">
        <f>PharmaProduction[[#This Row],[Actual_Units]]/PharmaProduction[[#This Row],[Labor_Hours]]</f>
        <v>229.7211055276382</v>
      </c>
      <c r="AA111" s="12">
        <f>PharmaProduction[[#This Row],[Energy_kWh]]/PharmaProduction[[#This Row],[Actual_Units]]</f>
        <v>0.56123330671887484</v>
      </c>
      <c r="AB111" s="12">
        <f>PharmaProduction[[#This Row],[Run_Hours]]+PharmaProduction[[#This Row],[Downtime_hr]]</f>
        <v>7.32</v>
      </c>
    </row>
    <row r="112" spans="1:28" x14ac:dyDescent="0.25">
      <c r="A112" s="9">
        <v>108</v>
      </c>
      <c r="B112" s="8">
        <v>46076</v>
      </c>
      <c r="C112" s="9" t="s">
        <v>35</v>
      </c>
      <c r="D112" s="9" t="s">
        <v>38</v>
      </c>
      <c r="E112" s="9" t="s">
        <v>39</v>
      </c>
      <c r="F112" s="9">
        <v>11655</v>
      </c>
      <c r="G112" s="9">
        <v>9145</v>
      </c>
      <c r="H112" s="9">
        <v>9025.6</v>
      </c>
      <c r="I112" s="9">
        <v>119.5</v>
      </c>
      <c r="J112" s="9">
        <v>9268.7999999999993</v>
      </c>
      <c r="K112" s="9">
        <v>0.86</v>
      </c>
      <c r="L112" s="9" t="s">
        <v>33</v>
      </c>
      <c r="M112" s="9" t="s">
        <v>34</v>
      </c>
      <c r="N112" s="9" t="s">
        <v>37</v>
      </c>
      <c r="O112" s="9">
        <v>393.75</v>
      </c>
      <c r="P112" s="9">
        <v>42</v>
      </c>
      <c r="Q112" s="9">
        <v>4715.2</v>
      </c>
      <c r="R112" s="9">
        <v>6.8</v>
      </c>
      <c r="S112" s="10">
        <f>PharmaProduction[[#This Row],[Actual_Units]]/PharmaProduction[[#This Row],[Planned_Units]]</f>
        <v>0.78464178464178469</v>
      </c>
      <c r="T112" s="10">
        <f>(8-PharmaProduction[[#This Row],[Downtime_hr]])/8</f>
        <v>0.89249999999999996</v>
      </c>
      <c r="U112" s="10">
        <f>((PharmaProduction[[#This Row],[Actual_Units]]/(8-PharmaProduction[[#This Row],[Downtime_hr]]))*8)/(PharmaProduction[[#This Row],[Planned_Units]])</f>
        <v>0.87915045898239175</v>
      </c>
      <c r="V112" s="10">
        <f>PharmaProduction[[#This Row],[Good_Units]]/PharmaProduction[[#This Row],[Actual_Units]]</f>
        <v>0.98694368507381092</v>
      </c>
      <c r="W112" s="10">
        <f>PharmaProduction[[#This Row],[Availability_%]]*PharmaProduction[[#This Row],[Performance_%]]*PharmaProduction[[#This Row],[Quality_%]]</f>
        <v>0.77439725439725438</v>
      </c>
      <c r="X112" s="10">
        <f>PharmaProduction[[#This Row],[Good_Units]]/PharmaProduction[[#This Row],[Planned_Units]]</f>
        <v>0.77439725439725438</v>
      </c>
      <c r="Y112" s="10">
        <f>PharmaProduction[[#This Row],[Rejected_Units]]/PharmaProduction[[#This Row],[Actual_Units]]</f>
        <v>1.3067249863313287E-2</v>
      </c>
      <c r="Z112" s="11">
        <f>PharmaProduction[[#This Row],[Actual_Units]]/PharmaProduction[[#This Row],[Labor_Hours]]</f>
        <v>217.73809523809524</v>
      </c>
      <c r="AA112" s="12">
        <f>PharmaProduction[[#This Row],[Energy_kWh]]/PharmaProduction[[#This Row],[Actual_Units]]</f>
        <v>0.51560415527610715</v>
      </c>
      <c r="AB112" s="12">
        <f>PharmaProduction[[#This Row],[Run_Hours]]+PharmaProduction[[#This Row],[Downtime_hr]]</f>
        <v>7.66</v>
      </c>
    </row>
    <row r="113" spans="1:28" x14ac:dyDescent="0.25">
      <c r="A113" s="9">
        <v>109</v>
      </c>
      <c r="B113" s="8">
        <v>46077</v>
      </c>
      <c r="C113" s="9" t="s">
        <v>30</v>
      </c>
      <c r="D113" s="9" t="s">
        <v>36</v>
      </c>
      <c r="E113" s="9" t="s">
        <v>39</v>
      </c>
      <c r="F113" s="9">
        <v>10194</v>
      </c>
      <c r="G113" s="9">
        <v>9075.9</v>
      </c>
      <c r="H113" s="9">
        <v>9039.7000000000007</v>
      </c>
      <c r="I113" s="9">
        <v>36.200000000000003</v>
      </c>
      <c r="J113" s="9">
        <v>9277.1</v>
      </c>
      <c r="K113" s="9">
        <v>0.61</v>
      </c>
      <c r="L113" s="9" t="s">
        <v>33</v>
      </c>
      <c r="M113" s="9" t="s">
        <v>34</v>
      </c>
      <c r="N113" s="9" t="s">
        <v>37</v>
      </c>
      <c r="O113" s="9">
        <v>158.54</v>
      </c>
      <c r="P113" s="9">
        <v>37</v>
      </c>
      <c r="Q113" s="9">
        <v>4696.3</v>
      </c>
      <c r="R113" s="9">
        <v>7.88</v>
      </c>
      <c r="S113" s="10">
        <f>PharmaProduction[[#This Row],[Actual_Units]]/PharmaProduction[[#This Row],[Planned_Units]]</f>
        <v>0.89031783402001174</v>
      </c>
      <c r="T113" s="10">
        <f>(8-PharmaProduction[[#This Row],[Downtime_hr]])/8</f>
        <v>0.92374999999999996</v>
      </c>
      <c r="U113" s="10">
        <f>((PharmaProduction[[#This Row],[Actual_Units]]/(8-PharmaProduction[[#This Row],[Downtime_hr]]))*8)/(PharmaProduction[[#This Row],[Planned_Units]])</f>
        <v>0.96380821003519535</v>
      </c>
      <c r="V113" s="10">
        <f>PharmaProduction[[#This Row],[Good_Units]]/PharmaProduction[[#This Row],[Actual_Units]]</f>
        <v>0.99601141484591071</v>
      </c>
      <c r="W113" s="10">
        <f>PharmaProduction[[#This Row],[Availability_%]]*PharmaProduction[[#This Row],[Performance_%]]*PharmaProduction[[#This Row],[Quality_%]]</f>
        <v>0.8867667255248185</v>
      </c>
      <c r="X113" s="10">
        <f>PharmaProduction[[#This Row],[Good_Units]]/PharmaProduction[[#This Row],[Planned_Units]]</f>
        <v>0.88676672552481861</v>
      </c>
      <c r="Y113" s="10">
        <f>PharmaProduction[[#This Row],[Rejected_Units]]/PharmaProduction[[#This Row],[Actual_Units]]</f>
        <v>3.988585154089402E-3</v>
      </c>
      <c r="Z113" s="11">
        <f>PharmaProduction[[#This Row],[Actual_Units]]/PharmaProduction[[#This Row],[Labor_Hours]]</f>
        <v>245.29459459459457</v>
      </c>
      <c r="AA113" s="12">
        <f>PharmaProduction[[#This Row],[Energy_kWh]]/PharmaProduction[[#This Row],[Actual_Units]]</f>
        <v>0.51744730550138285</v>
      </c>
      <c r="AB113" s="12">
        <f>PharmaProduction[[#This Row],[Run_Hours]]+PharmaProduction[[#This Row],[Downtime_hr]]</f>
        <v>8.49</v>
      </c>
    </row>
    <row r="114" spans="1:28" x14ac:dyDescent="0.25">
      <c r="A114" s="9">
        <v>110</v>
      </c>
      <c r="B114" s="8">
        <v>46077</v>
      </c>
      <c r="C114" s="9" t="s">
        <v>35</v>
      </c>
      <c r="D114" s="9" t="s">
        <v>36</v>
      </c>
      <c r="E114" s="9" t="s">
        <v>32</v>
      </c>
      <c r="F114" s="9">
        <v>11883</v>
      </c>
      <c r="G114" s="9">
        <v>10925</v>
      </c>
      <c r="H114" s="9">
        <v>10857.5</v>
      </c>
      <c r="I114" s="9">
        <v>67.400000000000006</v>
      </c>
      <c r="J114" s="9">
        <v>11067.8</v>
      </c>
      <c r="K114" s="9">
        <v>0</v>
      </c>
      <c r="L114" s="9" t="s">
        <v>33</v>
      </c>
      <c r="M114" s="9" t="s">
        <v>34</v>
      </c>
      <c r="N114" s="9" t="s">
        <v>37</v>
      </c>
      <c r="O114" s="9">
        <v>213.04</v>
      </c>
      <c r="P114" s="9">
        <v>42.3</v>
      </c>
      <c r="Q114" s="9">
        <v>5203.3999999999996</v>
      </c>
      <c r="R114" s="9">
        <v>7.6</v>
      </c>
      <c r="S114" s="10">
        <f>PharmaProduction[[#This Row],[Actual_Units]]/PharmaProduction[[#This Row],[Planned_Units]]</f>
        <v>0.91938062778759577</v>
      </c>
      <c r="T114" s="10">
        <f>(8-PharmaProduction[[#This Row],[Downtime_hr]])/8</f>
        <v>1</v>
      </c>
      <c r="U114" s="10">
        <f>((PharmaProduction[[#This Row],[Actual_Units]]/(8-PharmaProduction[[#This Row],[Downtime_hr]]))*8)/(PharmaProduction[[#This Row],[Planned_Units]])</f>
        <v>0.91938062778759577</v>
      </c>
      <c r="V114" s="10">
        <f>PharmaProduction[[#This Row],[Good_Units]]/PharmaProduction[[#This Row],[Actual_Units]]</f>
        <v>0.99382151029748289</v>
      </c>
      <c r="W114" s="10">
        <f>PharmaProduction[[#This Row],[Availability_%]]*PharmaProduction[[#This Row],[Performance_%]]*PharmaProduction[[#This Row],[Quality_%]]</f>
        <v>0.91370024404611638</v>
      </c>
      <c r="X114" s="10">
        <f>PharmaProduction[[#This Row],[Good_Units]]/PharmaProduction[[#This Row],[Planned_Units]]</f>
        <v>0.91370024404611627</v>
      </c>
      <c r="Y114" s="10">
        <f>PharmaProduction[[#This Row],[Rejected_Units]]/PharmaProduction[[#This Row],[Actual_Units]]</f>
        <v>6.1693363844393598E-3</v>
      </c>
      <c r="Z114" s="11">
        <f>PharmaProduction[[#This Row],[Actual_Units]]/PharmaProduction[[#This Row],[Labor_Hours]]</f>
        <v>258.27423167848701</v>
      </c>
      <c r="AA114" s="12">
        <f>PharmaProduction[[#This Row],[Energy_kWh]]/PharmaProduction[[#This Row],[Actual_Units]]</f>
        <v>0.47628375286041186</v>
      </c>
      <c r="AB114" s="12">
        <f>PharmaProduction[[#This Row],[Run_Hours]]+PharmaProduction[[#This Row],[Downtime_hr]]</f>
        <v>7.6</v>
      </c>
    </row>
    <row r="115" spans="1:28" x14ac:dyDescent="0.25">
      <c r="A115" s="9">
        <v>111</v>
      </c>
      <c r="B115" s="8">
        <v>46078</v>
      </c>
      <c r="C115" s="9" t="s">
        <v>30</v>
      </c>
      <c r="D115" s="9" t="s">
        <v>31</v>
      </c>
      <c r="E115" s="9" t="s">
        <v>42</v>
      </c>
      <c r="F115" s="9">
        <v>9909</v>
      </c>
      <c r="G115" s="9">
        <v>8168.5</v>
      </c>
      <c r="H115" s="9">
        <v>8080.4</v>
      </c>
      <c r="I115" s="9">
        <v>88.1</v>
      </c>
      <c r="J115" s="9">
        <v>8191.1</v>
      </c>
      <c r="K115" s="9">
        <v>0.8</v>
      </c>
      <c r="L115" s="9" t="s">
        <v>33</v>
      </c>
      <c r="M115" s="9" t="s">
        <v>34</v>
      </c>
      <c r="N115" s="9" t="s">
        <v>33</v>
      </c>
      <c r="O115" s="9">
        <v>0</v>
      </c>
      <c r="P115" s="9">
        <v>33.1</v>
      </c>
      <c r="Q115" s="9">
        <v>3991</v>
      </c>
      <c r="R115" s="9">
        <v>7.49</v>
      </c>
      <c r="S115" s="10">
        <f>PharmaProduction[[#This Row],[Actual_Units]]/PharmaProduction[[#This Row],[Planned_Units]]</f>
        <v>0.82435159955595927</v>
      </c>
      <c r="T115" s="10">
        <f>(8-PharmaProduction[[#This Row],[Downtime_hr]])/8</f>
        <v>0.9</v>
      </c>
      <c r="U115" s="10">
        <f>((PharmaProduction[[#This Row],[Actual_Units]]/(8-PharmaProduction[[#This Row],[Downtime_hr]]))*8)/(PharmaProduction[[#This Row],[Planned_Units]])</f>
        <v>0.91594622172884366</v>
      </c>
      <c r="V115" s="10">
        <f>PharmaProduction[[#This Row],[Good_Units]]/PharmaProduction[[#This Row],[Actual_Units]]</f>
        <v>0.98921466609536635</v>
      </c>
      <c r="W115" s="10">
        <f>PharmaProduction[[#This Row],[Availability_%]]*PharmaProduction[[#This Row],[Performance_%]]*PharmaProduction[[#This Row],[Quality_%]]</f>
        <v>0.81546069229992935</v>
      </c>
      <c r="X115" s="10">
        <f>PharmaProduction[[#This Row],[Good_Units]]/PharmaProduction[[#This Row],[Planned_Units]]</f>
        <v>0.81546069229992935</v>
      </c>
      <c r="Y115" s="10">
        <f>PharmaProduction[[#This Row],[Rejected_Units]]/PharmaProduction[[#This Row],[Actual_Units]]</f>
        <v>1.0785333904633654E-2</v>
      </c>
      <c r="Z115" s="11">
        <f>PharmaProduction[[#This Row],[Actual_Units]]/PharmaProduction[[#This Row],[Labor_Hours]]</f>
        <v>246.78247734138972</v>
      </c>
      <c r="AA115" s="12">
        <f>PharmaProduction[[#This Row],[Energy_kWh]]/PharmaProduction[[#This Row],[Actual_Units]]</f>
        <v>0.48858419538470954</v>
      </c>
      <c r="AB115" s="12">
        <f>PharmaProduction[[#This Row],[Run_Hours]]+PharmaProduction[[#This Row],[Downtime_hr]]</f>
        <v>8.2900000000000009</v>
      </c>
    </row>
    <row r="116" spans="1:28" x14ac:dyDescent="0.25">
      <c r="A116" s="9">
        <v>112</v>
      </c>
      <c r="B116" s="8">
        <v>46078</v>
      </c>
      <c r="C116" s="9" t="s">
        <v>35</v>
      </c>
      <c r="D116" s="9" t="s">
        <v>36</v>
      </c>
      <c r="E116" s="9" t="s">
        <v>39</v>
      </c>
      <c r="F116" s="9">
        <v>11645</v>
      </c>
      <c r="G116" s="9">
        <v>9896.4</v>
      </c>
      <c r="H116" s="9">
        <v>9812.2000000000007</v>
      </c>
      <c r="I116" s="9">
        <v>84.2</v>
      </c>
      <c r="J116" s="9">
        <v>10189.9</v>
      </c>
      <c r="K116" s="9">
        <v>0.94</v>
      </c>
      <c r="L116" s="9" t="s">
        <v>33</v>
      </c>
      <c r="M116" s="9" t="s">
        <v>34</v>
      </c>
      <c r="N116" s="9" t="s">
        <v>33</v>
      </c>
      <c r="O116" s="9">
        <v>0</v>
      </c>
      <c r="P116" s="9">
        <v>40.200000000000003</v>
      </c>
      <c r="Q116" s="9">
        <v>5221.5</v>
      </c>
      <c r="R116" s="9">
        <v>7.88</v>
      </c>
      <c r="S116" s="10">
        <f>PharmaProduction[[#This Row],[Actual_Units]]/PharmaProduction[[#This Row],[Planned_Units]]</f>
        <v>0.84984113353370538</v>
      </c>
      <c r="T116" s="10">
        <f>(8-PharmaProduction[[#This Row],[Downtime_hr]])/8</f>
        <v>0.88250000000000006</v>
      </c>
      <c r="U116" s="10">
        <f>((PharmaProduction[[#This Row],[Actual_Units]]/(8-PharmaProduction[[#This Row],[Downtime_hr]]))*8)/(PharmaProduction[[#This Row],[Planned_Units]])</f>
        <v>0.96299278587388715</v>
      </c>
      <c r="V116" s="10">
        <f>PharmaProduction[[#This Row],[Good_Units]]/PharmaProduction[[#This Row],[Actual_Units]]</f>
        <v>0.99149185562426756</v>
      </c>
      <c r="W116" s="10">
        <f>PharmaProduction[[#This Row],[Availability_%]]*PharmaProduction[[#This Row],[Performance_%]]*PharmaProduction[[#This Row],[Quality_%]]</f>
        <v>0.84261056247316457</v>
      </c>
      <c r="X116" s="10">
        <f>PharmaProduction[[#This Row],[Good_Units]]/PharmaProduction[[#This Row],[Planned_Units]]</f>
        <v>0.84261056247316446</v>
      </c>
      <c r="Y116" s="10">
        <f>PharmaProduction[[#This Row],[Rejected_Units]]/PharmaProduction[[#This Row],[Actual_Units]]</f>
        <v>8.5081443757325896E-3</v>
      </c>
      <c r="Z116" s="11">
        <f>PharmaProduction[[#This Row],[Actual_Units]]/PharmaProduction[[#This Row],[Labor_Hours]]</f>
        <v>246.1791044776119</v>
      </c>
      <c r="AA116" s="12">
        <f>PharmaProduction[[#This Row],[Energy_kWh]]/PharmaProduction[[#This Row],[Actual_Units]]</f>
        <v>0.52761610282526983</v>
      </c>
      <c r="AB116" s="12">
        <f>PharmaProduction[[#This Row],[Run_Hours]]+PharmaProduction[[#This Row],[Downtime_hr]]</f>
        <v>8.82</v>
      </c>
    </row>
    <row r="117" spans="1:28" x14ac:dyDescent="0.25">
      <c r="A117" s="9">
        <v>113</v>
      </c>
      <c r="B117" s="8">
        <v>46079</v>
      </c>
      <c r="C117" s="9" t="s">
        <v>30</v>
      </c>
      <c r="D117" s="9" t="s">
        <v>38</v>
      </c>
      <c r="E117" s="9" t="s">
        <v>32</v>
      </c>
      <c r="F117" s="9">
        <v>11071</v>
      </c>
      <c r="G117" s="9">
        <v>8111.7</v>
      </c>
      <c r="H117" s="9">
        <v>8032.7</v>
      </c>
      <c r="I117" s="9">
        <v>79.099999999999994</v>
      </c>
      <c r="J117" s="9">
        <v>8202.6</v>
      </c>
      <c r="K117" s="9">
        <v>1.57</v>
      </c>
      <c r="L117" s="9" t="s">
        <v>40</v>
      </c>
      <c r="M117" s="9" t="s">
        <v>34</v>
      </c>
      <c r="N117" s="9" t="s">
        <v>33</v>
      </c>
      <c r="O117" s="9">
        <v>0</v>
      </c>
      <c r="P117" s="9">
        <v>51.8</v>
      </c>
      <c r="Q117" s="9">
        <v>3981.5</v>
      </c>
      <c r="R117" s="9">
        <v>7.12</v>
      </c>
      <c r="S117" s="10">
        <f>PharmaProduction[[#This Row],[Actual_Units]]/PharmaProduction[[#This Row],[Planned_Units]]</f>
        <v>0.73269803992412608</v>
      </c>
      <c r="T117" s="10">
        <f>(8-PharmaProduction[[#This Row],[Downtime_hr]])/8</f>
        <v>0.80374999999999996</v>
      </c>
      <c r="U117" s="10">
        <f>((PharmaProduction[[#This Row],[Actual_Units]]/(8-PharmaProduction[[#This Row],[Downtime_hr]]))*8)/(PharmaProduction[[#This Row],[Planned_Units]])</f>
        <v>0.91159942758833723</v>
      </c>
      <c r="V117" s="10">
        <f>PharmaProduction[[#This Row],[Good_Units]]/PharmaProduction[[#This Row],[Actual_Units]]</f>
        <v>0.99026098105206062</v>
      </c>
      <c r="W117" s="10">
        <f>PharmaProduction[[#This Row],[Availability_%]]*PharmaProduction[[#This Row],[Performance_%]]*PharmaProduction[[#This Row],[Quality_%]]</f>
        <v>0.72556227983018684</v>
      </c>
      <c r="X117" s="10">
        <f>PharmaProduction[[#This Row],[Good_Units]]/PharmaProduction[[#This Row],[Planned_Units]]</f>
        <v>0.72556227983018695</v>
      </c>
      <c r="Y117" s="10">
        <f>PharmaProduction[[#This Row],[Rejected_Units]]/PharmaProduction[[#This Row],[Actual_Units]]</f>
        <v>9.7513468200253941E-3</v>
      </c>
      <c r="Z117" s="11">
        <f>PharmaProduction[[#This Row],[Actual_Units]]/PharmaProduction[[#This Row],[Labor_Hours]]</f>
        <v>156.59652509652511</v>
      </c>
      <c r="AA117" s="12">
        <f>PharmaProduction[[#This Row],[Energy_kWh]]/PharmaProduction[[#This Row],[Actual_Units]]</f>
        <v>0.49083422710405961</v>
      </c>
      <c r="AB117" s="12">
        <f>PharmaProduction[[#This Row],[Run_Hours]]+PharmaProduction[[#This Row],[Downtime_hr]]</f>
        <v>8.69</v>
      </c>
    </row>
    <row r="118" spans="1:28" x14ac:dyDescent="0.25">
      <c r="A118" s="9">
        <v>114</v>
      </c>
      <c r="B118" s="8">
        <v>46079</v>
      </c>
      <c r="C118" s="9" t="s">
        <v>35</v>
      </c>
      <c r="D118" s="9" t="s">
        <v>38</v>
      </c>
      <c r="E118" s="9" t="s">
        <v>32</v>
      </c>
      <c r="F118" s="9">
        <v>11191</v>
      </c>
      <c r="G118" s="9">
        <v>8107.8</v>
      </c>
      <c r="H118" s="9">
        <v>8000.8</v>
      </c>
      <c r="I118" s="9">
        <v>107</v>
      </c>
      <c r="J118" s="9">
        <v>8217.9</v>
      </c>
      <c r="K118" s="9">
        <v>1.73</v>
      </c>
      <c r="L118" s="9" t="s">
        <v>43</v>
      </c>
      <c r="M118" s="9" t="s">
        <v>34</v>
      </c>
      <c r="N118" s="9" t="s">
        <v>44</v>
      </c>
      <c r="O118" s="9">
        <v>414.14</v>
      </c>
      <c r="P118" s="9">
        <v>38.200000000000003</v>
      </c>
      <c r="Q118" s="9">
        <v>4379.8999999999996</v>
      </c>
      <c r="R118" s="9">
        <v>6.79</v>
      </c>
      <c r="S118" s="10">
        <f>PharmaProduction[[#This Row],[Actual_Units]]/PharmaProduction[[#This Row],[Planned_Units]]</f>
        <v>0.72449289607720491</v>
      </c>
      <c r="T118" s="10">
        <f>(8-PharmaProduction[[#This Row],[Downtime_hr]])/8</f>
        <v>0.78374999999999995</v>
      </c>
      <c r="U118" s="10">
        <f>((PharmaProduction[[#This Row],[Actual_Units]]/(8-PharmaProduction[[#This Row],[Downtime_hr]]))*8)/(PharmaProduction[[#This Row],[Planned_Units]])</f>
        <v>0.92439284985927261</v>
      </c>
      <c r="V118" s="10">
        <f>PharmaProduction[[#This Row],[Good_Units]]/PharmaProduction[[#This Row],[Actual_Units]]</f>
        <v>0.98680283184094331</v>
      </c>
      <c r="W118" s="10">
        <f>PharmaProduction[[#This Row],[Availability_%]]*PharmaProduction[[#This Row],[Performance_%]]*PharmaProduction[[#This Row],[Quality_%]]</f>
        <v>0.714931641497632</v>
      </c>
      <c r="X118" s="10">
        <f>PharmaProduction[[#This Row],[Good_Units]]/PharmaProduction[[#This Row],[Planned_Units]]</f>
        <v>0.714931641497632</v>
      </c>
      <c r="Y118" s="10">
        <f>PharmaProduction[[#This Row],[Rejected_Units]]/PharmaProduction[[#This Row],[Actual_Units]]</f>
        <v>1.3197168159056711E-2</v>
      </c>
      <c r="Z118" s="11">
        <f>PharmaProduction[[#This Row],[Actual_Units]]/PharmaProduction[[#This Row],[Labor_Hours]]</f>
        <v>212.24607329842931</v>
      </c>
      <c r="AA118" s="12">
        <f>PharmaProduction[[#This Row],[Energy_kWh]]/PharmaProduction[[#This Row],[Actual_Units]]</f>
        <v>0.54020819457806057</v>
      </c>
      <c r="AB118" s="12">
        <f>PharmaProduction[[#This Row],[Run_Hours]]+PharmaProduction[[#This Row],[Downtime_hr]]</f>
        <v>8.52</v>
      </c>
    </row>
    <row r="119" spans="1:28" x14ac:dyDescent="0.25">
      <c r="A119" s="9">
        <v>115</v>
      </c>
      <c r="B119" s="8">
        <v>46080</v>
      </c>
      <c r="C119" s="9" t="s">
        <v>30</v>
      </c>
      <c r="D119" s="9" t="s">
        <v>31</v>
      </c>
      <c r="E119" s="9" t="s">
        <v>32</v>
      </c>
      <c r="F119" s="9">
        <v>9622</v>
      </c>
      <c r="G119" s="9">
        <v>5753</v>
      </c>
      <c r="H119" s="9">
        <v>5716</v>
      </c>
      <c r="I119" s="9">
        <v>37</v>
      </c>
      <c r="J119" s="9">
        <v>5891.3</v>
      </c>
      <c r="K119" s="9">
        <v>2.48</v>
      </c>
      <c r="L119" s="9" t="s">
        <v>33</v>
      </c>
      <c r="M119" s="9" t="s">
        <v>34</v>
      </c>
      <c r="N119" s="9" t="s">
        <v>33</v>
      </c>
      <c r="O119" s="9">
        <v>0</v>
      </c>
      <c r="P119" s="9">
        <v>46.3</v>
      </c>
      <c r="Q119" s="9">
        <v>3038.3</v>
      </c>
      <c r="R119" s="9">
        <v>6.78</v>
      </c>
      <c r="S119" s="10">
        <f>PharmaProduction[[#This Row],[Actual_Units]]/PharmaProduction[[#This Row],[Planned_Units]]</f>
        <v>0.59790064435668255</v>
      </c>
      <c r="T119" s="10">
        <f>(8-PharmaProduction[[#This Row],[Downtime_hr]])/8</f>
        <v>0.69</v>
      </c>
      <c r="U119" s="10">
        <f>((PharmaProduction[[#This Row],[Actual_Units]]/(8-PharmaProduction[[#This Row],[Downtime_hr]]))*8)/(PharmaProduction[[#This Row],[Planned_Units]])</f>
        <v>0.8665226729806994</v>
      </c>
      <c r="V119" s="10">
        <f>PharmaProduction[[#This Row],[Good_Units]]/PharmaProduction[[#This Row],[Actual_Units]]</f>
        <v>0.99356857291847733</v>
      </c>
      <c r="W119" s="10">
        <f>PharmaProduction[[#This Row],[Availability_%]]*PharmaProduction[[#This Row],[Performance_%]]*PharmaProduction[[#This Row],[Quality_%]]</f>
        <v>0.59405528996050716</v>
      </c>
      <c r="X119" s="10">
        <f>PharmaProduction[[#This Row],[Good_Units]]/PharmaProduction[[#This Row],[Planned_Units]]</f>
        <v>0.59405528996050716</v>
      </c>
      <c r="Y119" s="10">
        <f>PharmaProduction[[#This Row],[Rejected_Units]]/PharmaProduction[[#This Row],[Actual_Units]]</f>
        <v>6.4314270815226835E-3</v>
      </c>
      <c r="Z119" s="11">
        <f>PharmaProduction[[#This Row],[Actual_Units]]/PharmaProduction[[#This Row],[Labor_Hours]]</f>
        <v>124.25485961123111</v>
      </c>
      <c r="AA119" s="12">
        <f>PharmaProduction[[#This Row],[Energy_kWh]]/PharmaProduction[[#This Row],[Actual_Units]]</f>
        <v>0.52812445680514519</v>
      </c>
      <c r="AB119" s="12">
        <f>PharmaProduction[[#This Row],[Run_Hours]]+PharmaProduction[[#This Row],[Downtime_hr]]</f>
        <v>9.26</v>
      </c>
    </row>
    <row r="120" spans="1:28" x14ac:dyDescent="0.25">
      <c r="A120" s="9">
        <v>116</v>
      </c>
      <c r="B120" s="8">
        <v>46080</v>
      </c>
      <c r="C120" s="9" t="s">
        <v>35</v>
      </c>
      <c r="D120" s="9" t="s">
        <v>31</v>
      </c>
      <c r="E120" s="9" t="s">
        <v>39</v>
      </c>
      <c r="F120" s="9">
        <v>11600</v>
      </c>
      <c r="G120" s="9">
        <v>7289.5</v>
      </c>
      <c r="H120" s="9">
        <v>7196.1</v>
      </c>
      <c r="I120" s="9">
        <v>93.4</v>
      </c>
      <c r="J120" s="9">
        <v>7423.4</v>
      </c>
      <c r="K120" s="9">
        <v>4.5599999999999996</v>
      </c>
      <c r="L120" s="9" t="s">
        <v>48</v>
      </c>
      <c r="M120" s="9" t="s">
        <v>34</v>
      </c>
      <c r="N120" s="9" t="s">
        <v>37</v>
      </c>
      <c r="O120" s="9">
        <v>153.91999999999999</v>
      </c>
      <c r="P120" s="9">
        <v>44.4</v>
      </c>
      <c r="Q120" s="9">
        <v>4151.3</v>
      </c>
      <c r="R120" s="9">
        <v>7.3</v>
      </c>
      <c r="S120" s="10">
        <f>PharmaProduction[[#This Row],[Actual_Units]]/PharmaProduction[[#This Row],[Planned_Units]]</f>
        <v>0.62840517241379312</v>
      </c>
      <c r="T120" s="10">
        <f>(8-PharmaProduction[[#This Row],[Downtime_hr]])/8</f>
        <v>0.43000000000000005</v>
      </c>
      <c r="U120" s="10">
        <f>((PharmaProduction[[#This Row],[Actual_Units]]/(8-PharmaProduction[[#This Row],[Downtime_hr]]))*8)/(PharmaProduction[[#This Row],[Planned_Units]])</f>
        <v>1.4614073777064955</v>
      </c>
      <c r="V120" s="10">
        <f>PharmaProduction[[#This Row],[Good_Units]]/PharmaProduction[[#This Row],[Actual_Units]]</f>
        <v>0.98718704986624606</v>
      </c>
      <c r="W120" s="10">
        <f>PharmaProduction[[#This Row],[Availability_%]]*PharmaProduction[[#This Row],[Performance_%]]*PharmaProduction[[#This Row],[Quality_%]]</f>
        <v>0.62035344827586214</v>
      </c>
      <c r="X120" s="10">
        <f>PharmaProduction[[#This Row],[Good_Units]]/PharmaProduction[[#This Row],[Planned_Units]]</f>
        <v>0.62035344827586214</v>
      </c>
      <c r="Y120" s="10">
        <f>PharmaProduction[[#This Row],[Rejected_Units]]/PharmaProduction[[#This Row],[Actual_Units]]</f>
        <v>1.281295013375403E-2</v>
      </c>
      <c r="Z120" s="11">
        <f>PharmaProduction[[#This Row],[Actual_Units]]/PharmaProduction[[#This Row],[Labor_Hours]]</f>
        <v>164.17792792792793</v>
      </c>
      <c r="AA120" s="12">
        <f>PharmaProduction[[#This Row],[Energy_kWh]]/PharmaProduction[[#This Row],[Actual_Units]]</f>
        <v>0.56949036285067567</v>
      </c>
      <c r="AB120" s="12">
        <f>PharmaProduction[[#This Row],[Run_Hours]]+PharmaProduction[[#This Row],[Downtime_hr]]</f>
        <v>11.86</v>
      </c>
    </row>
    <row r="121" spans="1:28" x14ac:dyDescent="0.25">
      <c r="A121" s="9">
        <v>117</v>
      </c>
      <c r="B121" s="8">
        <v>46081</v>
      </c>
      <c r="C121" s="9" t="s">
        <v>30</v>
      </c>
      <c r="D121" s="9" t="s">
        <v>36</v>
      </c>
      <c r="E121" s="9" t="s">
        <v>32</v>
      </c>
      <c r="F121" s="9">
        <v>9852</v>
      </c>
      <c r="G121" s="9">
        <v>9065.7000000000007</v>
      </c>
      <c r="H121" s="9">
        <v>8915.2999999999993</v>
      </c>
      <c r="I121" s="9">
        <v>150.4</v>
      </c>
      <c r="J121" s="9">
        <v>9086.4</v>
      </c>
      <c r="K121" s="9">
        <v>0</v>
      </c>
      <c r="L121" s="9" t="s">
        <v>33</v>
      </c>
      <c r="M121" s="9" t="s">
        <v>34</v>
      </c>
      <c r="N121" s="9" t="s">
        <v>33</v>
      </c>
      <c r="O121" s="9">
        <v>0</v>
      </c>
      <c r="P121" s="9">
        <v>36.4</v>
      </c>
      <c r="Q121" s="9">
        <v>4857.1000000000004</v>
      </c>
      <c r="R121" s="9">
        <v>7.15</v>
      </c>
      <c r="S121" s="10">
        <f>PharmaProduction[[#This Row],[Actual_Units]]/PharmaProduction[[#This Row],[Planned_Units]]</f>
        <v>0.92018879415347143</v>
      </c>
      <c r="T121" s="10">
        <f>(8-PharmaProduction[[#This Row],[Downtime_hr]])/8</f>
        <v>1</v>
      </c>
      <c r="U121" s="10">
        <f>((PharmaProduction[[#This Row],[Actual_Units]]/(8-PharmaProduction[[#This Row],[Downtime_hr]]))*8)/(PharmaProduction[[#This Row],[Planned_Units]])</f>
        <v>0.92018879415347143</v>
      </c>
      <c r="V121" s="10">
        <f>PharmaProduction[[#This Row],[Good_Units]]/PharmaProduction[[#This Row],[Actual_Units]]</f>
        <v>0.98340999591868239</v>
      </c>
      <c r="W121" s="10">
        <f>PharmaProduction[[#This Row],[Availability_%]]*PharmaProduction[[#This Row],[Performance_%]]*PharmaProduction[[#This Row],[Quality_%]]</f>
        <v>0.90492285830288266</v>
      </c>
      <c r="X121" s="10">
        <f>PharmaProduction[[#This Row],[Good_Units]]/PharmaProduction[[#This Row],[Planned_Units]]</f>
        <v>0.90492285830288255</v>
      </c>
      <c r="Y121" s="10">
        <f>PharmaProduction[[#This Row],[Rejected_Units]]/PharmaProduction[[#This Row],[Actual_Units]]</f>
        <v>1.6590004081317493E-2</v>
      </c>
      <c r="Z121" s="11">
        <f>PharmaProduction[[#This Row],[Actual_Units]]/PharmaProduction[[#This Row],[Labor_Hours]]</f>
        <v>249.05769230769235</v>
      </c>
      <c r="AA121" s="12">
        <f>PharmaProduction[[#This Row],[Energy_kWh]]/PharmaProduction[[#This Row],[Actual_Units]]</f>
        <v>0.53576668100643088</v>
      </c>
      <c r="AB121" s="12">
        <f>PharmaProduction[[#This Row],[Run_Hours]]+PharmaProduction[[#This Row],[Downtime_hr]]</f>
        <v>7.15</v>
      </c>
    </row>
    <row r="122" spans="1:28" x14ac:dyDescent="0.25">
      <c r="A122" s="9">
        <v>118</v>
      </c>
      <c r="B122" s="8">
        <v>46081</v>
      </c>
      <c r="C122" s="9" t="s">
        <v>35</v>
      </c>
      <c r="D122" s="9" t="s">
        <v>36</v>
      </c>
      <c r="E122" s="9" t="s">
        <v>32</v>
      </c>
      <c r="F122" s="9">
        <v>10276</v>
      </c>
      <c r="G122" s="9">
        <v>8038.6</v>
      </c>
      <c r="H122" s="9">
        <v>8003.6</v>
      </c>
      <c r="I122" s="9">
        <v>35</v>
      </c>
      <c r="J122" s="9">
        <v>8207.5</v>
      </c>
      <c r="K122" s="9">
        <v>1.34</v>
      </c>
      <c r="L122" s="9" t="s">
        <v>33</v>
      </c>
      <c r="M122" s="9" t="s">
        <v>34</v>
      </c>
      <c r="N122" s="9" t="s">
        <v>33</v>
      </c>
      <c r="O122" s="9">
        <v>0</v>
      </c>
      <c r="P122" s="9">
        <v>44.6</v>
      </c>
      <c r="Q122" s="9">
        <v>4260</v>
      </c>
      <c r="R122" s="9">
        <v>7.32</v>
      </c>
      <c r="S122" s="10">
        <f>PharmaProduction[[#This Row],[Actual_Units]]/PharmaProduction[[#This Row],[Planned_Units]]</f>
        <v>0.78226936551187232</v>
      </c>
      <c r="T122" s="10">
        <f>(8-PharmaProduction[[#This Row],[Downtime_hr]])/8</f>
        <v>0.83250000000000002</v>
      </c>
      <c r="U122" s="10">
        <f>((PharmaProduction[[#This Row],[Actual_Units]]/(8-PharmaProduction[[#This Row],[Downtime_hr]]))*8)/(PharmaProduction[[#This Row],[Planned_Units]])</f>
        <v>0.93966290151576259</v>
      </c>
      <c r="V122" s="10">
        <f>PharmaProduction[[#This Row],[Good_Units]]/PharmaProduction[[#This Row],[Actual_Units]]</f>
        <v>0.99564600801134528</v>
      </c>
      <c r="W122" s="10">
        <f>PharmaProduction[[#This Row],[Availability_%]]*PharmaProduction[[#This Row],[Performance_%]]*PharmaProduction[[#This Row],[Quality_%]]</f>
        <v>0.77886337096146374</v>
      </c>
      <c r="X122" s="10">
        <f>PharmaProduction[[#This Row],[Good_Units]]/PharmaProduction[[#This Row],[Planned_Units]]</f>
        <v>0.77886337096146363</v>
      </c>
      <c r="Y122" s="10">
        <f>PharmaProduction[[#This Row],[Rejected_Units]]/PharmaProduction[[#This Row],[Actual_Units]]</f>
        <v>4.3539919886547403E-3</v>
      </c>
      <c r="Z122" s="11">
        <f>PharmaProduction[[#This Row],[Actual_Units]]/PharmaProduction[[#This Row],[Labor_Hours]]</f>
        <v>180.23766816143498</v>
      </c>
      <c r="AA122" s="12">
        <f>PharmaProduction[[#This Row],[Energy_kWh]]/PharmaProduction[[#This Row],[Actual_Units]]</f>
        <v>0.52994302490483414</v>
      </c>
      <c r="AB122" s="12">
        <f>PharmaProduction[[#This Row],[Run_Hours]]+PharmaProduction[[#This Row],[Downtime_hr]]</f>
        <v>8.66</v>
      </c>
    </row>
    <row r="123" spans="1:28" x14ac:dyDescent="0.25">
      <c r="A123" s="9">
        <v>119</v>
      </c>
      <c r="B123" s="8">
        <v>46082</v>
      </c>
      <c r="C123" s="9" t="s">
        <v>30</v>
      </c>
      <c r="D123" s="9" t="s">
        <v>36</v>
      </c>
      <c r="E123" s="9" t="s">
        <v>32</v>
      </c>
      <c r="F123" s="9">
        <v>11948</v>
      </c>
      <c r="G123" s="9">
        <v>10825.8</v>
      </c>
      <c r="H123" s="9">
        <v>10671.5</v>
      </c>
      <c r="I123" s="9">
        <v>154.30000000000001</v>
      </c>
      <c r="J123" s="9">
        <v>10955.3</v>
      </c>
      <c r="K123" s="9">
        <v>0.15</v>
      </c>
      <c r="L123" s="9" t="s">
        <v>33</v>
      </c>
      <c r="M123" s="9" t="s">
        <v>34</v>
      </c>
      <c r="N123" s="9" t="s">
        <v>44</v>
      </c>
      <c r="O123" s="9">
        <v>428.71</v>
      </c>
      <c r="P123" s="9">
        <v>37.9</v>
      </c>
      <c r="Q123" s="9">
        <v>5876.2</v>
      </c>
      <c r="R123" s="9">
        <v>7.46</v>
      </c>
      <c r="S123" s="10">
        <f>PharmaProduction[[#This Row],[Actual_Units]]/PharmaProduction[[#This Row],[Planned_Units]]</f>
        <v>0.90607633076665539</v>
      </c>
      <c r="T123" s="10">
        <f>(8-PharmaProduction[[#This Row],[Downtime_hr]])/8</f>
        <v>0.98124999999999996</v>
      </c>
      <c r="U123" s="10">
        <f>((PharmaProduction[[#This Row],[Actual_Units]]/(8-PharmaProduction[[#This Row],[Downtime_hr]]))*8)/(PharmaProduction[[#This Row],[Planned_Units]])</f>
        <v>0.92338989122716475</v>
      </c>
      <c r="V123" s="10">
        <f>PharmaProduction[[#This Row],[Good_Units]]/PharmaProduction[[#This Row],[Actual_Units]]</f>
        <v>0.98574701176818347</v>
      </c>
      <c r="W123" s="10">
        <f>PharmaProduction[[#This Row],[Availability_%]]*PharmaProduction[[#This Row],[Performance_%]]*PharmaProduction[[#This Row],[Quality_%]]</f>
        <v>0.89316203548711071</v>
      </c>
      <c r="X123" s="10">
        <f>PharmaProduction[[#This Row],[Good_Units]]/PharmaProduction[[#This Row],[Planned_Units]]</f>
        <v>0.89316203548711082</v>
      </c>
      <c r="Y123" s="10">
        <f>PharmaProduction[[#This Row],[Rejected_Units]]/PharmaProduction[[#This Row],[Actual_Units]]</f>
        <v>1.4252988231816588E-2</v>
      </c>
      <c r="Z123" s="11">
        <f>PharmaProduction[[#This Row],[Actual_Units]]/PharmaProduction[[#This Row],[Labor_Hours]]</f>
        <v>285.64116094986804</v>
      </c>
      <c r="AA123" s="12">
        <f>PharmaProduction[[#This Row],[Energy_kWh]]/PharmaProduction[[#This Row],[Actual_Units]]</f>
        <v>0.54279591346597944</v>
      </c>
      <c r="AB123" s="12">
        <f>PharmaProduction[[#This Row],[Run_Hours]]+PharmaProduction[[#This Row],[Downtime_hr]]</f>
        <v>7.61</v>
      </c>
    </row>
    <row r="124" spans="1:28" x14ac:dyDescent="0.25">
      <c r="A124" s="9">
        <v>120</v>
      </c>
      <c r="B124" s="8">
        <v>46082</v>
      </c>
      <c r="C124" s="9" t="s">
        <v>35</v>
      </c>
      <c r="D124" s="9" t="s">
        <v>38</v>
      </c>
      <c r="E124" s="9" t="s">
        <v>42</v>
      </c>
      <c r="F124" s="9">
        <v>11148</v>
      </c>
      <c r="G124" s="9">
        <v>8022.6</v>
      </c>
      <c r="H124" s="9">
        <v>7954.9</v>
      </c>
      <c r="I124" s="9">
        <v>67.7</v>
      </c>
      <c r="J124" s="9">
        <v>8066.9</v>
      </c>
      <c r="K124" s="9">
        <v>1.59</v>
      </c>
      <c r="L124" s="9" t="s">
        <v>33</v>
      </c>
      <c r="M124" s="9" t="s">
        <v>34</v>
      </c>
      <c r="N124" s="9" t="s">
        <v>33</v>
      </c>
      <c r="O124" s="9">
        <v>0</v>
      </c>
      <c r="P124" s="9">
        <v>47.4</v>
      </c>
      <c r="Q124" s="9">
        <v>4038.9</v>
      </c>
      <c r="R124" s="9">
        <v>7.78</v>
      </c>
      <c r="S124" s="10">
        <f>PharmaProduction[[#This Row],[Actual_Units]]/PharmaProduction[[#This Row],[Planned_Units]]</f>
        <v>0.71964477933261572</v>
      </c>
      <c r="T124" s="10">
        <f>(8-PharmaProduction[[#This Row],[Downtime_hr]])/8</f>
        <v>0.80125000000000002</v>
      </c>
      <c r="U124" s="10">
        <f>((PharmaProduction[[#This Row],[Actual_Units]]/(8-PharmaProduction[[#This Row],[Downtime_hr]]))*8)/(PharmaProduction[[#This Row],[Planned_Units]])</f>
        <v>0.89815261071153296</v>
      </c>
      <c r="V124" s="10">
        <f>PharmaProduction[[#This Row],[Good_Units]]/PharmaProduction[[#This Row],[Actual_Units]]</f>
        <v>0.99156133921671274</v>
      </c>
      <c r="W124" s="10">
        <f>PharmaProduction[[#This Row],[Availability_%]]*PharmaProduction[[#This Row],[Performance_%]]*PharmaProduction[[#This Row],[Quality_%]]</f>
        <v>0.71357194115536426</v>
      </c>
      <c r="X124" s="10">
        <f>PharmaProduction[[#This Row],[Good_Units]]/PharmaProduction[[#This Row],[Planned_Units]]</f>
        <v>0.71357194115536415</v>
      </c>
      <c r="Y124" s="10">
        <f>PharmaProduction[[#This Row],[Rejected_Units]]/PharmaProduction[[#This Row],[Actual_Units]]</f>
        <v>8.4386607832872135E-3</v>
      </c>
      <c r="Z124" s="11">
        <f>PharmaProduction[[#This Row],[Actual_Units]]/PharmaProduction[[#This Row],[Labor_Hours]]</f>
        <v>169.25316455696205</v>
      </c>
      <c r="AA124" s="12">
        <f>PharmaProduction[[#This Row],[Energy_kWh]]/PharmaProduction[[#This Row],[Actual_Units]]</f>
        <v>0.50344028120559414</v>
      </c>
      <c r="AB124" s="12">
        <f>PharmaProduction[[#This Row],[Run_Hours]]+PharmaProduction[[#This Row],[Downtime_hr]]</f>
        <v>9.370000000000001</v>
      </c>
    </row>
    <row r="125" spans="1:28" x14ac:dyDescent="0.25">
      <c r="A125" s="9">
        <v>121</v>
      </c>
      <c r="B125" s="8">
        <v>46083</v>
      </c>
      <c r="C125" s="9" t="s">
        <v>30</v>
      </c>
      <c r="D125" s="9" t="s">
        <v>36</v>
      </c>
      <c r="E125" s="9" t="s">
        <v>39</v>
      </c>
      <c r="F125" s="9">
        <v>11201</v>
      </c>
      <c r="G125" s="9">
        <v>9335.2000000000007</v>
      </c>
      <c r="H125" s="9">
        <v>9237.7000000000007</v>
      </c>
      <c r="I125" s="9">
        <v>97.5</v>
      </c>
      <c r="J125" s="9">
        <v>9517.7999999999993</v>
      </c>
      <c r="K125" s="9">
        <v>0.19</v>
      </c>
      <c r="L125" s="9" t="s">
        <v>33</v>
      </c>
      <c r="M125" s="9" t="s">
        <v>34</v>
      </c>
      <c r="N125" s="9" t="s">
        <v>33</v>
      </c>
      <c r="O125" s="9">
        <v>0</v>
      </c>
      <c r="P125" s="9">
        <v>51.4</v>
      </c>
      <c r="Q125" s="9">
        <v>4676.2</v>
      </c>
      <c r="R125" s="9">
        <v>7.34</v>
      </c>
      <c r="S125" s="10">
        <f>PharmaProduction[[#This Row],[Actual_Units]]/PharmaProduction[[#This Row],[Planned_Units]]</f>
        <v>0.83342558700116065</v>
      </c>
      <c r="T125" s="10">
        <f>(8-PharmaProduction[[#This Row],[Downtime_hr]])/8</f>
        <v>0.97624999999999995</v>
      </c>
      <c r="U125" s="10">
        <f>((PharmaProduction[[#This Row],[Actual_Units]]/(8-PharmaProduction[[#This Row],[Downtime_hr]]))*8)/(PharmaProduction[[#This Row],[Planned_Units]])</f>
        <v>0.853700985404518</v>
      </c>
      <c r="V125" s="10">
        <f>PharmaProduction[[#This Row],[Good_Units]]/PharmaProduction[[#This Row],[Actual_Units]]</f>
        <v>0.9895556602965121</v>
      </c>
      <c r="W125" s="10">
        <f>PharmaProduction[[#This Row],[Availability_%]]*PharmaProduction[[#This Row],[Performance_%]]*PharmaProduction[[#This Row],[Quality_%]]</f>
        <v>0.82472100705294171</v>
      </c>
      <c r="X125" s="10">
        <f>PharmaProduction[[#This Row],[Good_Units]]/PharmaProduction[[#This Row],[Planned_Units]]</f>
        <v>0.82472100705294171</v>
      </c>
      <c r="Y125" s="10">
        <f>PharmaProduction[[#This Row],[Rejected_Units]]/PharmaProduction[[#This Row],[Actual_Units]]</f>
        <v>1.0444339703487873E-2</v>
      </c>
      <c r="Z125" s="11">
        <f>PharmaProduction[[#This Row],[Actual_Units]]/PharmaProduction[[#This Row],[Labor_Hours]]</f>
        <v>181.61867704280158</v>
      </c>
      <c r="AA125" s="12">
        <f>PharmaProduction[[#This Row],[Energy_kWh]]/PharmaProduction[[#This Row],[Actual_Units]]</f>
        <v>0.50092124432256402</v>
      </c>
      <c r="AB125" s="12">
        <f>PharmaProduction[[#This Row],[Run_Hours]]+PharmaProduction[[#This Row],[Downtime_hr]]</f>
        <v>7.53</v>
      </c>
    </row>
    <row r="126" spans="1:28" x14ac:dyDescent="0.25">
      <c r="A126" s="9">
        <v>122</v>
      </c>
      <c r="B126" s="8">
        <v>46083</v>
      </c>
      <c r="C126" s="9" t="s">
        <v>35</v>
      </c>
      <c r="D126" s="9" t="s">
        <v>38</v>
      </c>
      <c r="E126" s="9" t="s">
        <v>39</v>
      </c>
      <c r="F126" s="9">
        <v>10974</v>
      </c>
      <c r="G126" s="9">
        <v>7082.6</v>
      </c>
      <c r="H126" s="9">
        <v>7007.5</v>
      </c>
      <c r="I126" s="9">
        <v>75.099999999999994</v>
      </c>
      <c r="J126" s="9">
        <v>7137.3</v>
      </c>
      <c r="K126" s="9">
        <v>2.78</v>
      </c>
      <c r="L126" s="9" t="s">
        <v>33</v>
      </c>
      <c r="M126" s="9" t="s">
        <v>34</v>
      </c>
      <c r="N126" s="9" t="s">
        <v>33</v>
      </c>
      <c r="O126" s="9">
        <v>0</v>
      </c>
      <c r="P126" s="9">
        <v>33.9</v>
      </c>
      <c r="Q126" s="9">
        <v>3362.3</v>
      </c>
      <c r="R126" s="9">
        <v>7.74</v>
      </c>
      <c r="S126" s="10">
        <f>PharmaProduction[[#This Row],[Actual_Units]]/PharmaProduction[[#This Row],[Planned_Units]]</f>
        <v>0.64539821396026975</v>
      </c>
      <c r="T126" s="10">
        <f>(8-PharmaProduction[[#This Row],[Downtime_hr]])/8</f>
        <v>0.65250000000000008</v>
      </c>
      <c r="U126" s="10">
        <f>((PharmaProduction[[#This Row],[Actual_Units]]/(8-PharmaProduction[[#This Row],[Downtime_hr]]))*8)/(PharmaProduction[[#This Row],[Planned_Units]])</f>
        <v>0.9891160367207199</v>
      </c>
      <c r="V126" s="10">
        <f>PharmaProduction[[#This Row],[Good_Units]]/PharmaProduction[[#This Row],[Actual_Units]]</f>
        <v>0.9893965492898088</v>
      </c>
      <c r="W126" s="10">
        <f>PharmaProduction[[#This Row],[Availability_%]]*PharmaProduction[[#This Row],[Performance_%]]*PharmaProduction[[#This Row],[Quality_%]]</f>
        <v>0.63855476581009674</v>
      </c>
      <c r="X126" s="10">
        <f>PharmaProduction[[#This Row],[Good_Units]]/PharmaProduction[[#This Row],[Planned_Units]]</f>
        <v>0.63855476581009663</v>
      </c>
      <c r="Y126" s="10">
        <f>PharmaProduction[[#This Row],[Rejected_Units]]/PharmaProduction[[#This Row],[Actual_Units]]</f>
        <v>1.0603450710191172E-2</v>
      </c>
      <c r="Z126" s="11">
        <f>PharmaProduction[[#This Row],[Actual_Units]]/PharmaProduction[[#This Row],[Labor_Hours]]</f>
        <v>208.92625368731566</v>
      </c>
      <c r="AA126" s="12">
        <f>PharmaProduction[[#This Row],[Energy_kWh]]/PharmaProduction[[#This Row],[Actual_Units]]</f>
        <v>0.47472679524468414</v>
      </c>
      <c r="AB126" s="12">
        <f>PharmaProduction[[#This Row],[Run_Hours]]+PharmaProduction[[#This Row],[Downtime_hr]]</f>
        <v>10.52</v>
      </c>
    </row>
    <row r="127" spans="1:28" x14ac:dyDescent="0.25">
      <c r="A127" s="9">
        <v>123</v>
      </c>
      <c r="B127" s="8">
        <v>46084</v>
      </c>
      <c r="C127" s="9" t="s">
        <v>30</v>
      </c>
      <c r="D127" s="9" t="s">
        <v>31</v>
      </c>
      <c r="E127" s="9" t="s">
        <v>39</v>
      </c>
      <c r="F127" s="9">
        <v>11867</v>
      </c>
      <c r="G127" s="9">
        <v>7474.3</v>
      </c>
      <c r="H127" s="9">
        <v>7327.8</v>
      </c>
      <c r="I127" s="9">
        <v>146.5</v>
      </c>
      <c r="J127" s="9">
        <v>7554.1</v>
      </c>
      <c r="K127" s="9">
        <v>2.67</v>
      </c>
      <c r="L127" s="9" t="s">
        <v>33</v>
      </c>
      <c r="M127" s="9" t="s">
        <v>34</v>
      </c>
      <c r="N127" s="9" t="s">
        <v>33</v>
      </c>
      <c r="O127" s="9">
        <v>0</v>
      </c>
      <c r="P127" s="9">
        <v>39.1</v>
      </c>
      <c r="Q127" s="9">
        <v>4234.8</v>
      </c>
      <c r="R127" s="9">
        <v>7.38</v>
      </c>
      <c r="S127" s="10">
        <f>PharmaProduction[[#This Row],[Actual_Units]]/PharmaProduction[[#This Row],[Planned_Units]]</f>
        <v>0.62983904946490266</v>
      </c>
      <c r="T127" s="10">
        <f>(8-PharmaProduction[[#This Row],[Downtime_hr]])/8</f>
        <v>0.66625000000000001</v>
      </c>
      <c r="U127" s="10">
        <f>((PharmaProduction[[#This Row],[Actual_Units]]/(8-PharmaProduction[[#This Row],[Downtime_hr]]))*8)/(PharmaProduction[[#This Row],[Planned_Units]])</f>
        <v>0.94534941758334368</v>
      </c>
      <c r="V127" s="10">
        <f>PharmaProduction[[#This Row],[Good_Units]]/PharmaProduction[[#This Row],[Actual_Units]]</f>
        <v>0.98039950229452921</v>
      </c>
      <c r="W127" s="10">
        <f>PharmaProduction[[#This Row],[Availability_%]]*PharmaProduction[[#This Row],[Performance_%]]*PharmaProduction[[#This Row],[Quality_%]]</f>
        <v>0.61749389062105009</v>
      </c>
      <c r="X127" s="10">
        <f>PharmaProduction[[#This Row],[Good_Units]]/PharmaProduction[[#This Row],[Planned_Units]]</f>
        <v>0.61749389062104998</v>
      </c>
      <c r="Y127" s="10">
        <f>PharmaProduction[[#This Row],[Rejected_Units]]/PharmaProduction[[#This Row],[Actual_Units]]</f>
        <v>1.9600497705470746E-2</v>
      </c>
      <c r="Z127" s="11">
        <f>PharmaProduction[[#This Row],[Actual_Units]]/PharmaProduction[[#This Row],[Labor_Hours]]</f>
        <v>191.15856777493605</v>
      </c>
      <c r="AA127" s="12">
        <f>PharmaProduction[[#This Row],[Energy_kWh]]/PharmaProduction[[#This Row],[Actual_Units]]</f>
        <v>0.56658148589165547</v>
      </c>
      <c r="AB127" s="12">
        <f>PharmaProduction[[#This Row],[Run_Hours]]+PharmaProduction[[#This Row],[Downtime_hr]]</f>
        <v>10.050000000000001</v>
      </c>
    </row>
    <row r="128" spans="1:28" x14ac:dyDescent="0.25">
      <c r="A128" s="9">
        <v>124</v>
      </c>
      <c r="B128" s="8">
        <v>46084</v>
      </c>
      <c r="C128" s="9" t="s">
        <v>35</v>
      </c>
      <c r="D128" s="9" t="s">
        <v>38</v>
      </c>
      <c r="E128" s="9" t="s">
        <v>42</v>
      </c>
      <c r="F128" s="9">
        <v>10489</v>
      </c>
      <c r="G128" s="9">
        <v>8255.7999999999993</v>
      </c>
      <c r="H128" s="9">
        <v>8150.7</v>
      </c>
      <c r="I128" s="9">
        <v>105</v>
      </c>
      <c r="J128" s="9">
        <v>8405.2000000000007</v>
      </c>
      <c r="K128" s="9">
        <v>1.63</v>
      </c>
      <c r="L128" s="9" t="s">
        <v>33</v>
      </c>
      <c r="M128" s="9" t="s">
        <v>34</v>
      </c>
      <c r="N128" s="9" t="s">
        <v>33</v>
      </c>
      <c r="O128" s="9">
        <v>0</v>
      </c>
      <c r="P128" s="9">
        <v>51.2</v>
      </c>
      <c r="Q128" s="9">
        <v>4523.8999999999996</v>
      </c>
      <c r="R128" s="9">
        <v>6.59</v>
      </c>
      <c r="S128" s="10">
        <f>PharmaProduction[[#This Row],[Actual_Units]]/PharmaProduction[[#This Row],[Planned_Units]]</f>
        <v>0.78709123844027074</v>
      </c>
      <c r="T128" s="10">
        <f>(8-PharmaProduction[[#This Row],[Downtime_hr]])/8</f>
        <v>0.79625000000000001</v>
      </c>
      <c r="U128" s="10">
        <f>((PharmaProduction[[#This Row],[Actual_Units]]/(8-PharmaProduction[[#This Row],[Downtime_hr]]))*8)/(PharmaProduction[[#This Row],[Planned_Units]])</f>
        <v>0.98849763069421748</v>
      </c>
      <c r="V128" s="10">
        <f>PharmaProduction[[#This Row],[Good_Units]]/PharmaProduction[[#This Row],[Actual_Units]]</f>
        <v>0.98726955594854537</v>
      </c>
      <c r="W128" s="10">
        <f>PharmaProduction[[#This Row],[Availability_%]]*PharmaProduction[[#This Row],[Performance_%]]*PharmaProduction[[#This Row],[Quality_%]]</f>
        <v>0.77707121746591667</v>
      </c>
      <c r="X128" s="10">
        <f>PharmaProduction[[#This Row],[Good_Units]]/PharmaProduction[[#This Row],[Planned_Units]]</f>
        <v>0.77707121746591667</v>
      </c>
      <c r="Y128" s="10">
        <f>PharmaProduction[[#This Row],[Rejected_Units]]/PharmaProduction[[#This Row],[Actual_Units]]</f>
        <v>1.2718331354926235E-2</v>
      </c>
      <c r="Z128" s="11">
        <f>PharmaProduction[[#This Row],[Actual_Units]]/PharmaProduction[[#This Row],[Labor_Hours]]</f>
        <v>161.24609374999997</v>
      </c>
      <c r="AA128" s="12">
        <f>PharmaProduction[[#This Row],[Energy_kWh]]/PharmaProduction[[#This Row],[Actual_Units]]</f>
        <v>0.5479662782528647</v>
      </c>
      <c r="AB128" s="12">
        <f>PharmaProduction[[#This Row],[Run_Hours]]+PharmaProduction[[#This Row],[Downtime_hr]]</f>
        <v>8.2199999999999989</v>
      </c>
    </row>
    <row r="129" spans="1:28" x14ac:dyDescent="0.25">
      <c r="A129" s="9">
        <v>125</v>
      </c>
      <c r="B129" s="8">
        <v>46085</v>
      </c>
      <c r="C129" s="9" t="s">
        <v>30</v>
      </c>
      <c r="D129" s="9" t="s">
        <v>38</v>
      </c>
      <c r="E129" s="9" t="s">
        <v>42</v>
      </c>
      <c r="F129" s="9">
        <v>9446</v>
      </c>
      <c r="G129" s="9">
        <v>8626.1</v>
      </c>
      <c r="H129" s="9">
        <v>8523.7999999999993</v>
      </c>
      <c r="I129" s="9">
        <v>102.3</v>
      </c>
      <c r="J129" s="9">
        <v>8794.9</v>
      </c>
      <c r="K129" s="9">
        <v>0</v>
      </c>
      <c r="L129" s="9" t="s">
        <v>33</v>
      </c>
      <c r="M129" s="9" t="s">
        <v>34</v>
      </c>
      <c r="N129" s="9" t="s">
        <v>33</v>
      </c>
      <c r="O129" s="9">
        <v>0</v>
      </c>
      <c r="P129" s="9">
        <v>49.7</v>
      </c>
      <c r="Q129" s="9">
        <v>5046</v>
      </c>
      <c r="R129" s="9">
        <v>6.65</v>
      </c>
      <c r="S129" s="10">
        <f>PharmaProduction[[#This Row],[Actual_Units]]/PharmaProduction[[#This Row],[Planned_Units]]</f>
        <v>0.91320135507092959</v>
      </c>
      <c r="T129" s="10">
        <f>(8-PharmaProduction[[#This Row],[Downtime_hr]])/8</f>
        <v>1</v>
      </c>
      <c r="U129" s="10">
        <f>((PharmaProduction[[#This Row],[Actual_Units]]/(8-PharmaProduction[[#This Row],[Downtime_hr]]))*8)/(PharmaProduction[[#This Row],[Planned_Units]])</f>
        <v>0.91320135507092959</v>
      </c>
      <c r="V129" s="10">
        <f>PharmaProduction[[#This Row],[Good_Units]]/PharmaProduction[[#This Row],[Actual_Units]]</f>
        <v>0.98814064293249548</v>
      </c>
      <c r="W129" s="10">
        <f>PharmaProduction[[#This Row],[Availability_%]]*PharmaProduction[[#This Row],[Performance_%]]*PharmaProduction[[#This Row],[Quality_%]]</f>
        <v>0.9023713741266145</v>
      </c>
      <c r="X129" s="10">
        <f>PharmaProduction[[#This Row],[Good_Units]]/PharmaProduction[[#This Row],[Planned_Units]]</f>
        <v>0.90237137412661439</v>
      </c>
      <c r="Y129" s="10">
        <f>PharmaProduction[[#This Row],[Rejected_Units]]/PharmaProduction[[#This Row],[Actual_Units]]</f>
        <v>1.1859357067504434E-2</v>
      </c>
      <c r="Z129" s="11">
        <f>PharmaProduction[[#This Row],[Actual_Units]]/PharmaProduction[[#This Row],[Labor_Hours]]</f>
        <v>173.56338028169014</v>
      </c>
      <c r="AA129" s="12">
        <f>PharmaProduction[[#This Row],[Energy_kWh]]/PharmaProduction[[#This Row],[Actual_Units]]</f>
        <v>0.5849688735349694</v>
      </c>
      <c r="AB129" s="12">
        <f>PharmaProduction[[#This Row],[Run_Hours]]+PharmaProduction[[#This Row],[Downtime_hr]]</f>
        <v>6.65</v>
      </c>
    </row>
    <row r="130" spans="1:28" x14ac:dyDescent="0.25">
      <c r="A130" s="9">
        <v>126</v>
      </c>
      <c r="B130" s="8">
        <v>46085</v>
      </c>
      <c r="C130" s="9" t="s">
        <v>35</v>
      </c>
      <c r="D130" s="9" t="s">
        <v>38</v>
      </c>
      <c r="E130" s="9" t="s">
        <v>42</v>
      </c>
      <c r="F130" s="9">
        <v>10796</v>
      </c>
      <c r="G130" s="9">
        <v>6500.1</v>
      </c>
      <c r="H130" s="9">
        <v>6365.6</v>
      </c>
      <c r="I130" s="9">
        <v>134.5</v>
      </c>
      <c r="J130" s="9">
        <v>6606.4</v>
      </c>
      <c r="K130" s="9">
        <v>2.88</v>
      </c>
      <c r="L130" s="9" t="s">
        <v>33</v>
      </c>
      <c r="M130" s="9" t="s">
        <v>34</v>
      </c>
      <c r="N130" s="9" t="s">
        <v>33</v>
      </c>
      <c r="O130" s="9">
        <v>0</v>
      </c>
      <c r="P130" s="9">
        <v>48.8</v>
      </c>
      <c r="Q130" s="9">
        <v>3482.4</v>
      </c>
      <c r="R130" s="9">
        <v>6.83</v>
      </c>
      <c r="S130" s="10">
        <f>PharmaProduction[[#This Row],[Actual_Units]]/PharmaProduction[[#This Row],[Planned_Units]]</f>
        <v>0.60208410522415712</v>
      </c>
      <c r="T130" s="10">
        <f>(8-PharmaProduction[[#This Row],[Downtime_hr]])/8</f>
        <v>0.64</v>
      </c>
      <c r="U130" s="10">
        <f>((PharmaProduction[[#This Row],[Actual_Units]]/(8-PharmaProduction[[#This Row],[Downtime_hr]]))*8)/(PharmaProduction[[#This Row],[Planned_Units]])</f>
        <v>0.94075641441274549</v>
      </c>
      <c r="V130" s="10">
        <f>PharmaProduction[[#This Row],[Good_Units]]/PharmaProduction[[#This Row],[Actual_Units]]</f>
        <v>0.97930801064599005</v>
      </c>
      <c r="W130" s="10">
        <f>PharmaProduction[[#This Row],[Availability_%]]*PharmaProduction[[#This Row],[Performance_%]]*PharmaProduction[[#This Row],[Quality_%]]</f>
        <v>0.58962578732864024</v>
      </c>
      <c r="X130" s="10">
        <f>PharmaProduction[[#This Row],[Good_Units]]/PharmaProduction[[#This Row],[Planned_Units]]</f>
        <v>0.58962578732864024</v>
      </c>
      <c r="Y130" s="10">
        <f>PharmaProduction[[#This Row],[Rejected_Units]]/PharmaProduction[[#This Row],[Actual_Units]]</f>
        <v>2.0691989354009937E-2</v>
      </c>
      <c r="Z130" s="11">
        <f>PharmaProduction[[#This Row],[Actual_Units]]/PharmaProduction[[#This Row],[Labor_Hours]]</f>
        <v>133.19877049180329</v>
      </c>
      <c r="AA130" s="12">
        <f>PharmaProduction[[#This Row],[Energy_kWh]]/PharmaProduction[[#This Row],[Actual_Units]]</f>
        <v>0.53574560391378589</v>
      </c>
      <c r="AB130" s="12">
        <f>PharmaProduction[[#This Row],[Run_Hours]]+PharmaProduction[[#This Row],[Downtime_hr]]</f>
        <v>9.7100000000000009</v>
      </c>
    </row>
    <row r="131" spans="1:28" x14ac:dyDescent="0.25">
      <c r="A131" s="9">
        <v>127</v>
      </c>
      <c r="B131" s="8">
        <v>46086</v>
      </c>
      <c r="C131" s="9" t="s">
        <v>30</v>
      </c>
      <c r="D131" s="9" t="s">
        <v>36</v>
      </c>
      <c r="E131" s="9" t="s">
        <v>39</v>
      </c>
      <c r="F131" s="9">
        <v>9037</v>
      </c>
      <c r="G131" s="9">
        <v>6715.8</v>
      </c>
      <c r="H131" s="9">
        <v>6597.9</v>
      </c>
      <c r="I131" s="9">
        <v>117.8</v>
      </c>
      <c r="J131" s="9">
        <v>6861.3</v>
      </c>
      <c r="K131" s="9">
        <v>1.1299999999999999</v>
      </c>
      <c r="L131" s="9" t="s">
        <v>33</v>
      </c>
      <c r="M131" s="9" t="s">
        <v>34</v>
      </c>
      <c r="N131" s="9" t="s">
        <v>37</v>
      </c>
      <c r="O131" s="9">
        <v>368.93</v>
      </c>
      <c r="P131" s="9">
        <v>50.8</v>
      </c>
      <c r="Q131" s="9">
        <v>3408.2</v>
      </c>
      <c r="R131" s="9">
        <v>7.95</v>
      </c>
      <c r="S131" s="10">
        <f>PharmaProduction[[#This Row],[Actual_Units]]/PharmaProduction[[#This Row],[Planned_Units]]</f>
        <v>0.743144848954299</v>
      </c>
      <c r="T131" s="10">
        <f>(8-PharmaProduction[[#This Row],[Downtime_hr]])/8</f>
        <v>0.85875000000000001</v>
      </c>
      <c r="U131" s="10">
        <f>((PharmaProduction[[#This Row],[Actual_Units]]/(8-PharmaProduction[[#This Row],[Downtime_hr]]))*8)/(PharmaProduction[[#This Row],[Planned_Units]])</f>
        <v>0.86537973677356506</v>
      </c>
      <c r="V131" s="10">
        <f>PharmaProduction[[#This Row],[Good_Units]]/PharmaProduction[[#This Row],[Actual_Units]]</f>
        <v>0.98244438488340924</v>
      </c>
      <c r="W131" s="10">
        <f>PharmaProduction[[#This Row],[Availability_%]]*PharmaProduction[[#This Row],[Performance_%]]*PharmaProduction[[#This Row],[Quality_%]]</f>
        <v>0.73009848401018029</v>
      </c>
      <c r="X131" s="10">
        <f>PharmaProduction[[#This Row],[Good_Units]]/PharmaProduction[[#This Row],[Planned_Units]]</f>
        <v>0.73009848401018029</v>
      </c>
      <c r="Y131" s="10">
        <f>PharmaProduction[[#This Row],[Rejected_Units]]/PharmaProduction[[#This Row],[Actual_Units]]</f>
        <v>1.7540724857798028E-2</v>
      </c>
      <c r="Z131" s="11">
        <f>PharmaProduction[[#This Row],[Actual_Units]]/PharmaProduction[[#This Row],[Labor_Hours]]</f>
        <v>132.20078740157481</v>
      </c>
      <c r="AA131" s="12">
        <f>PharmaProduction[[#This Row],[Energy_kWh]]/PharmaProduction[[#This Row],[Actual_Units]]</f>
        <v>0.50748980017272693</v>
      </c>
      <c r="AB131" s="12">
        <f>PharmaProduction[[#This Row],[Run_Hours]]+PharmaProduction[[#This Row],[Downtime_hr]]</f>
        <v>9.08</v>
      </c>
    </row>
    <row r="132" spans="1:28" x14ac:dyDescent="0.25">
      <c r="A132" s="9">
        <v>128</v>
      </c>
      <c r="B132" s="8">
        <v>46086</v>
      </c>
      <c r="C132" s="9" t="s">
        <v>35</v>
      </c>
      <c r="D132" s="9" t="s">
        <v>36</v>
      </c>
      <c r="E132" s="9" t="s">
        <v>32</v>
      </c>
      <c r="F132" s="9">
        <v>9499</v>
      </c>
      <c r="G132" s="9">
        <v>8095.5</v>
      </c>
      <c r="H132" s="9">
        <v>8052.8</v>
      </c>
      <c r="I132" s="9">
        <v>42.7</v>
      </c>
      <c r="J132" s="9">
        <v>8216</v>
      </c>
      <c r="K132" s="9">
        <v>0.54</v>
      </c>
      <c r="L132" s="9" t="s">
        <v>33</v>
      </c>
      <c r="M132" s="9" t="s">
        <v>34</v>
      </c>
      <c r="N132" s="9" t="s">
        <v>33</v>
      </c>
      <c r="O132" s="9">
        <v>0</v>
      </c>
      <c r="P132" s="9">
        <v>36.1</v>
      </c>
      <c r="Q132" s="9">
        <v>4343.3</v>
      </c>
      <c r="R132" s="9">
        <v>7.49</v>
      </c>
      <c r="S132" s="10">
        <f>PharmaProduction[[#This Row],[Actual_Units]]/PharmaProduction[[#This Row],[Planned_Units]]</f>
        <v>0.85224760501105379</v>
      </c>
      <c r="T132" s="10">
        <f>(8-PharmaProduction[[#This Row],[Downtime_hr]])/8</f>
        <v>0.9325</v>
      </c>
      <c r="U132" s="10">
        <f>((PharmaProduction[[#This Row],[Actual_Units]]/(8-PharmaProduction[[#This Row],[Downtime_hr]]))*8)/(PharmaProduction[[#This Row],[Planned_Units]])</f>
        <v>0.91393845041399868</v>
      </c>
      <c r="V132" s="10">
        <f>PharmaProduction[[#This Row],[Good_Units]]/PharmaProduction[[#This Row],[Actual_Units]]</f>
        <v>0.99472546476437529</v>
      </c>
      <c r="W132" s="10">
        <f>PharmaProduction[[#This Row],[Availability_%]]*PharmaProduction[[#This Row],[Performance_%]]*PharmaProduction[[#This Row],[Quality_%]]</f>
        <v>0.84775239498894617</v>
      </c>
      <c r="X132" s="10">
        <f>PharmaProduction[[#This Row],[Good_Units]]/PharmaProduction[[#This Row],[Planned_Units]]</f>
        <v>0.84775239498894628</v>
      </c>
      <c r="Y132" s="10">
        <f>PharmaProduction[[#This Row],[Rejected_Units]]/PharmaProduction[[#This Row],[Actual_Units]]</f>
        <v>5.2745352356247301E-3</v>
      </c>
      <c r="Z132" s="11">
        <f>PharmaProduction[[#This Row],[Actual_Units]]/PharmaProduction[[#This Row],[Labor_Hours]]</f>
        <v>224.25207756232686</v>
      </c>
      <c r="AA132" s="12">
        <f>PharmaProduction[[#This Row],[Energy_kWh]]/PharmaProduction[[#This Row],[Actual_Units]]</f>
        <v>0.53650793650793649</v>
      </c>
      <c r="AB132" s="12">
        <f>PharmaProduction[[#This Row],[Run_Hours]]+PharmaProduction[[#This Row],[Downtime_hr]]</f>
        <v>8.0300000000000011</v>
      </c>
    </row>
    <row r="133" spans="1:28" x14ac:dyDescent="0.25">
      <c r="A133" s="9">
        <v>129</v>
      </c>
      <c r="B133" s="8">
        <v>46087</v>
      </c>
      <c r="C133" s="9" t="s">
        <v>30</v>
      </c>
      <c r="D133" s="9" t="s">
        <v>31</v>
      </c>
      <c r="E133" s="9" t="s">
        <v>39</v>
      </c>
      <c r="F133" s="9">
        <v>9603</v>
      </c>
      <c r="G133" s="9">
        <v>5897.7</v>
      </c>
      <c r="H133" s="9">
        <v>5807.4</v>
      </c>
      <c r="I133" s="9">
        <v>90.3</v>
      </c>
      <c r="J133" s="9">
        <v>5962.9</v>
      </c>
      <c r="K133" s="9">
        <v>5.82</v>
      </c>
      <c r="L133" s="9" t="s">
        <v>45</v>
      </c>
      <c r="M133" s="9" t="s">
        <v>34</v>
      </c>
      <c r="N133" s="9" t="s">
        <v>33</v>
      </c>
      <c r="O133" s="9">
        <v>0</v>
      </c>
      <c r="P133" s="9">
        <v>46.6</v>
      </c>
      <c r="Q133" s="9">
        <v>2805.6</v>
      </c>
      <c r="R133" s="9">
        <v>7.7</v>
      </c>
      <c r="S133" s="10">
        <f>PharmaProduction[[#This Row],[Actual_Units]]/PharmaProduction[[#This Row],[Planned_Units]]</f>
        <v>0.61415182755388942</v>
      </c>
      <c r="T133" s="10">
        <f>(8-PharmaProduction[[#This Row],[Downtime_hr]])/8</f>
        <v>0.27249999999999996</v>
      </c>
      <c r="U133" s="10">
        <f>((PharmaProduction[[#This Row],[Actual_Units]]/(8-PharmaProduction[[#This Row],[Downtime_hr]]))*8)/(PharmaProduction[[#This Row],[Planned_Units]])</f>
        <v>2.2537681745096858</v>
      </c>
      <c r="V133" s="10">
        <f>PharmaProduction[[#This Row],[Good_Units]]/PharmaProduction[[#This Row],[Actual_Units]]</f>
        <v>0.98468894653848105</v>
      </c>
      <c r="W133" s="10">
        <f>PharmaProduction[[#This Row],[Availability_%]]*PharmaProduction[[#This Row],[Performance_%]]*PharmaProduction[[#This Row],[Quality_%]]</f>
        <v>0.60474851608872215</v>
      </c>
      <c r="X133" s="10">
        <f>PharmaProduction[[#This Row],[Good_Units]]/PharmaProduction[[#This Row],[Planned_Units]]</f>
        <v>0.60474851608872227</v>
      </c>
      <c r="Y133" s="10">
        <f>PharmaProduction[[#This Row],[Rejected_Units]]/PharmaProduction[[#This Row],[Actual_Units]]</f>
        <v>1.5311053461518898E-2</v>
      </c>
      <c r="Z133" s="11">
        <f>PharmaProduction[[#This Row],[Actual_Units]]/PharmaProduction[[#This Row],[Labor_Hours]]</f>
        <v>126.56008583690986</v>
      </c>
      <c r="AA133" s="12">
        <f>PharmaProduction[[#This Row],[Energy_kWh]]/PharmaProduction[[#This Row],[Actual_Units]]</f>
        <v>0.47571087033928483</v>
      </c>
      <c r="AB133" s="12">
        <f>PharmaProduction[[#This Row],[Run_Hours]]+PharmaProduction[[#This Row],[Downtime_hr]]</f>
        <v>13.52</v>
      </c>
    </row>
    <row r="134" spans="1:28" x14ac:dyDescent="0.25">
      <c r="A134" s="9">
        <v>130</v>
      </c>
      <c r="B134" s="8">
        <v>46087</v>
      </c>
      <c r="C134" s="9" t="s">
        <v>35</v>
      </c>
      <c r="D134" s="9" t="s">
        <v>36</v>
      </c>
      <c r="E134" s="9" t="s">
        <v>32</v>
      </c>
      <c r="F134" s="9">
        <v>9023</v>
      </c>
      <c r="G134" s="9">
        <v>7761.6</v>
      </c>
      <c r="H134" s="9">
        <v>7705.3</v>
      </c>
      <c r="I134" s="9">
        <v>56.3</v>
      </c>
      <c r="J134" s="9">
        <v>7804.6</v>
      </c>
      <c r="K134" s="9">
        <v>0.53</v>
      </c>
      <c r="L134" s="9" t="s">
        <v>33</v>
      </c>
      <c r="M134" s="9" t="s">
        <v>34</v>
      </c>
      <c r="N134" s="9" t="s">
        <v>33</v>
      </c>
      <c r="O134" s="9">
        <v>0</v>
      </c>
      <c r="P134" s="9">
        <v>34.6</v>
      </c>
      <c r="Q134" s="9">
        <v>4311.1000000000004</v>
      </c>
      <c r="R134" s="9">
        <v>7.82</v>
      </c>
      <c r="S134" s="10">
        <f>PharmaProduction[[#This Row],[Actual_Units]]/PharmaProduction[[#This Row],[Planned_Units]]</f>
        <v>0.8602017067494182</v>
      </c>
      <c r="T134" s="10">
        <f>(8-PharmaProduction[[#This Row],[Downtime_hr]])/8</f>
        <v>0.93374999999999997</v>
      </c>
      <c r="U134" s="10">
        <f>((PharmaProduction[[#This Row],[Actual_Units]]/(8-PharmaProduction[[#This Row],[Downtime_hr]]))*8)/(PharmaProduction[[#This Row],[Planned_Units]])</f>
        <v>0.92123342088291105</v>
      </c>
      <c r="V134" s="10">
        <f>PharmaProduction[[#This Row],[Good_Units]]/PharmaProduction[[#This Row],[Actual_Units]]</f>
        <v>0.99274634096062664</v>
      </c>
      <c r="W134" s="10">
        <f>PharmaProduction[[#This Row],[Availability_%]]*PharmaProduction[[#This Row],[Performance_%]]*PharmaProduction[[#This Row],[Quality_%]]</f>
        <v>0.85396209686357094</v>
      </c>
      <c r="X134" s="10">
        <f>PharmaProduction[[#This Row],[Good_Units]]/PharmaProduction[[#This Row],[Planned_Units]]</f>
        <v>0.85396209686357094</v>
      </c>
      <c r="Y134" s="10">
        <f>PharmaProduction[[#This Row],[Rejected_Units]]/PharmaProduction[[#This Row],[Actual_Units]]</f>
        <v>7.253659039373324E-3</v>
      </c>
      <c r="Z134" s="11">
        <f>PharmaProduction[[#This Row],[Actual_Units]]/PharmaProduction[[#This Row],[Labor_Hours]]</f>
        <v>224.32369942196533</v>
      </c>
      <c r="AA134" s="12">
        <f>PharmaProduction[[#This Row],[Energy_kWh]]/PharmaProduction[[#This Row],[Actual_Units]]</f>
        <v>0.5554396000824573</v>
      </c>
      <c r="AB134" s="12">
        <f>PharmaProduction[[#This Row],[Run_Hours]]+PharmaProduction[[#This Row],[Downtime_hr]]</f>
        <v>8.35</v>
      </c>
    </row>
    <row r="135" spans="1:28" x14ac:dyDescent="0.25">
      <c r="A135" s="9">
        <v>131</v>
      </c>
      <c r="B135" s="8">
        <v>46088</v>
      </c>
      <c r="C135" s="9" t="s">
        <v>30</v>
      </c>
      <c r="D135" s="9" t="s">
        <v>38</v>
      </c>
      <c r="E135" s="9" t="s">
        <v>32</v>
      </c>
      <c r="F135" s="9">
        <v>11260</v>
      </c>
      <c r="G135" s="9">
        <v>11297.6</v>
      </c>
      <c r="H135" s="9">
        <v>11097.4</v>
      </c>
      <c r="I135" s="9">
        <v>200.2</v>
      </c>
      <c r="J135" s="9">
        <v>11503.2</v>
      </c>
      <c r="K135" s="9">
        <v>0</v>
      </c>
      <c r="L135" s="9" t="s">
        <v>33</v>
      </c>
      <c r="M135" s="9" t="s">
        <v>34</v>
      </c>
      <c r="N135" s="9" t="s">
        <v>37</v>
      </c>
      <c r="O135" s="9">
        <v>355.13</v>
      </c>
      <c r="P135" s="9">
        <v>37.5</v>
      </c>
      <c r="Q135" s="9">
        <v>6201.9</v>
      </c>
      <c r="R135" s="9">
        <v>7.32</v>
      </c>
      <c r="S135" s="10">
        <f>PharmaProduction[[#This Row],[Actual_Units]]/PharmaProduction[[#This Row],[Planned_Units]]</f>
        <v>1.0033392539964476</v>
      </c>
      <c r="T135" s="10">
        <f>(8-PharmaProduction[[#This Row],[Downtime_hr]])/8</f>
        <v>1</v>
      </c>
      <c r="U135" s="10">
        <f>((PharmaProduction[[#This Row],[Actual_Units]]/(8-PharmaProduction[[#This Row],[Downtime_hr]]))*8)/(PharmaProduction[[#This Row],[Planned_Units]])</f>
        <v>1.0033392539964476</v>
      </c>
      <c r="V135" s="10">
        <f>PharmaProduction[[#This Row],[Good_Units]]/PharmaProduction[[#This Row],[Actual_Units]]</f>
        <v>0.98227942217816167</v>
      </c>
      <c r="W135" s="10">
        <f>PharmaProduction[[#This Row],[Availability_%]]*PharmaProduction[[#This Row],[Performance_%]]*PharmaProduction[[#This Row],[Quality_%]]</f>
        <v>0.98555950266429837</v>
      </c>
      <c r="X135" s="10">
        <f>PharmaProduction[[#This Row],[Good_Units]]/PharmaProduction[[#This Row],[Planned_Units]]</f>
        <v>0.98555950266429837</v>
      </c>
      <c r="Y135" s="10">
        <f>PharmaProduction[[#This Row],[Rejected_Units]]/PharmaProduction[[#This Row],[Actual_Units]]</f>
        <v>1.7720577821838265E-2</v>
      </c>
      <c r="Z135" s="11">
        <f>PharmaProduction[[#This Row],[Actual_Units]]/PharmaProduction[[#This Row],[Labor_Hours]]</f>
        <v>301.26933333333335</v>
      </c>
      <c r="AA135" s="12">
        <f>PharmaProduction[[#This Row],[Energy_kWh]]/PharmaProduction[[#This Row],[Actual_Units]]</f>
        <v>0.54895730066562809</v>
      </c>
      <c r="AB135" s="12">
        <f>PharmaProduction[[#This Row],[Run_Hours]]+PharmaProduction[[#This Row],[Downtime_hr]]</f>
        <v>7.32</v>
      </c>
    </row>
    <row r="136" spans="1:28" x14ac:dyDescent="0.25">
      <c r="A136" s="9">
        <v>132</v>
      </c>
      <c r="B136" s="8">
        <v>46088</v>
      </c>
      <c r="C136" s="9" t="s">
        <v>35</v>
      </c>
      <c r="D136" s="9" t="s">
        <v>38</v>
      </c>
      <c r="E136" s="9" t="s">
        <v>32</v>
      </c>
      <c r="F136" s="9">
        <v>10390</v>
      </c>
      <c r="G136" s="9">
        <v>6460.2</v>
      </c>
      <c r="H136" s="9">
        <v>6350</v>
      </c>
      <c r="I136" s="9">
        <v>110.2</v>
      </c>
      <c r="J136" s="9">
        <v>6624.6</v>
      </c>
      <c r="K136" s="9">
        <v>2.4500000000000002</v>
      </c>
      <c r="L136" s="9" t="s">
        <v>33</v>
      </c>
      <c r="M136" s="9" t="s">
        <v>34</v>
      </c>
      <c r="N136" s="9" t="s">
        <v>33</v>
      </c>
      <c r="O136" s="9">
        <v>0</v>
      </c>
      <c r="P136" s="9">
        <v>51</v>
      </c>
      <c r="Q136" s="9">
        <v>3630.1</v>
      </c>
      <c r="R136" s="9">
        <v>7.65</v>
      </c>
      <c r="S136" s="10">
        <f>PharmaProduction[[#This Row],[Actual_Units]]/PharmaProduction[[#This Row],[Planned_Units]]</f>
        <v>0.62177093358999036</v>
      </c>
      <c r="T136" s="10">
        <f>(8-PharmaProduction[[#This Row],[Downtime_hr]])/8</f>
        <v>0.69374999999999998</v>
      </c>
      <c r="U136" s="10">
        <f>((PharmaProduction[[#This Row],[Actual_Units]]/(8-PharmaProduction[[#This Row],[Downtime_hr]]))*8)/(PharmaProduction[[#This Row],[Planned_Units]])</f>
        <v>0.89624639076034651</v>
      </c>
      <c r="V136" s="10">
        <f>PharmaProduction[[#This Row],[Good_Units]]/PharmaProduction[[#This Row],[Actual_Units]]</f>
        <v>0.98294170459118912</v>
      </c>
      <c r="W136" s="10">
        <f>PharmaProduction[[#This Row],[Availability_%]]*PharmaProduction[[#This Row],[Performance_%]]*PharmaProduction[[#This Row],[Quality_%]]</f>
        <v>0.61116458132820017</v>
      </c>
      <c r="X136" s="10">
        <f>PharmaProduction[[#This Row],[Good_Units]]/PharmaProduction[[#This Row],[Planned_Units]]</f>
        <v>0.61116458132820017</v>
      </c>
      <c r="Y136" s="10">
        <f>PharmaProduction[[#This Row],[Rejected_Units]]/PharmaProduction[[#This Row],[Actual_Units]]</f>
        <v>1.7058295408810875E-2</v>
      </c>
      <c r="Z136" s="11">
        <f>PharmaProduction[[#This Row],[Actual_Units]]/PharmaProduction[[#This Row],[Labor_Hours]]</f>
        <v>126.67058823529412</v>
      </c>
      <c r="AA136" s="12">
        <f>PharmaProduction[[#This Row],[Energy_kWh]]/PharmaProduction[[#This Row],[Actual_Units]]</f>
        <v>0.56191758769078359</v>
      </c>
      <c r="AB136" s="12">
        <f>PharmaProduction[[#This Row],[Run_Hours]]+PharmaProduction[[#This Row],[Downtime_hr]]</f>
        <v>10.100000000000001</v>
      </c>
    </row>
    <row r="137" spans="1:28" x14ac:dyDescent="0.25">
      <c r="A137" s="9">
        <v>133</v>
      </c>
      <c r="B137" s="8">
        <v>46089</v>
      </c>
      <c r="C137" s="9" t="s">
        <v>30</v>
      </c>
      <c r="D137" s="9" t="s">
        <v>36</v>
      </c>
      <c r="E137" s="9" t="s">
        <v>39</v>
      </c>
      <c r="F137" s="9">
        <v>11400</v>
      </c>
      <c r="G137" s="9">
        <v>9314.2000000000007</v>
      </c>
      <c r="H137" s="9">
        <v>9185.4</v>
      </c>
      <c r="I137" s="9">
        <v>128.80000000000001</v>
      </c>
      <c r="J137" s="9">
        <v>9388</v>
      </c>
      <c r="K137" s="9">
        <v>1.08</v>
      </c>
      <c r="L137" s="9" t="s">
        <v>33</v>
      </c>
      <c r="M137" s="9" t="s">
        <v>34</v>
      </c>
      <c r="N137" s="9" t="s">
        <v>33</v>
      </c>
      <c r="O137" s="9">
        <v>0</v>
      </c>
      <c r="P137" s="9">
        <v>48.3</v>
      </c>
      <c r="Q137" s="9">
        <v>4593.1000000000004</v>
      </c>
      <c r="R137" s="9">
        <v>7.57</v>
      </c>
      <c r="S137" s="10">
        <f>PharmaProduction[[#This Row],[Actual_Units]]/PharmaProduction[[#This Row],[Planned_Units]]</f>
        <v>0.81703508771929834</v>
      </c>
      <c r="T137" s="10">
        <f>(8-PharmaProduction[[#This Row],[Downtime_hr]])/8</f>
        <v>0.86499999999999999</v>
      </c>
      <c r="U137" s="10">
        <f>((PharmaProduction[[#This Row],[Actual_Units]]/(8-PharmaProduction[[#This Row],[Downtime_hr]]))*8)/(PharmaProduction[[#This Row],[Planned_Units]])</f>
        <v>0.94454923435757032</v>
      </c>
      <c r="V137" s="10">
        <f>PharmaProduction[[#This Row],[Good_Units]]/PharmaProduction[[#This Row],[Actual_Units]]</f>
        <v>0.98617165188636691</v>
      </c>
      <c r="W137" s="10">
        <f>PharmaProduction[[#This Row],[Availability_%]]*PharmaProduction[[#This Row],[Performance_%]]*PharmaProduction[[#This Row],[Quality_%]]</f>
        <v>0.80573684210526308</v>
      </c>
      <c r="X137" s="10">
        <f>PharmaProduction[[#This Row],[Good_Units]]/PharmaProduction[[#This Row],[Planned_Units]]</f>
        <v>0.80573684210526308</v>
      </c>
      <c r="Y137" s="10">
        <f>PharmaProduction[[#This Row],[Rejected_Units]]/PharmaProduction[[#This Row],[Actual_Units]]</f>
        <v>1.3828348113632948E-2</v>
      </c>
      <c r="Z137" s="11">
        <f>PharmaProduction[[#This Row],[Actual_Units]]/PharmaProduction[[#This Row],[Labor_Hours]]</f>
        <v>192.84057971014497</v>
      </c>
      <c r="AA137" s="12">
        <f>PharmaProduction[[#This Row],[Energy_kWh]]/PharmaProduction[[#This Row],[Actual_Units]]</f>
        <v>0.49312877112366066</v>
      </c>
      <c r="AB137" s="12">
        <f>PharmaProduction[[#This Row],[Run_Hours]]+PharmaProduction[[#This Row],[Downtime_hr]]</f>
        <v>8.65</v>
      </c>
    </row>
    <row r="138" spans="1:28" x14ac:dyDescent="0.25">
      <c r="A138" s="9">
        <v>134</v>
      </c>
      <c r="B138" s="8">
        <v>46089</v>
      </c>
      <c r="C138" s="9" t="s">
        <v>35</v>
      </c>
      <c r="D138" s="9" t="s">
        <v>31</v>
      </c>
      <c r="E138" s="9" t="s">
        <v>32</v>
      </c>
      <c r="F138" s="9">
        <v>9432</v>
      </c>
      <c r="G138" s="9">
        <v>7156.8</v>
      </c>
      <c r="H138" s="9">
        <v>7123.6</v>
      </c>
      <c r="I138" s="9">
        <v>33.1</v>
      </c>
      <c r="J138" s="9">
        <v>7298.6</v>
      </c>
      <c r="K138" s="9">
        <v>1.42</v>
      </c>
      <c r="L138" s="9" t="s">
        <v>33</v>
      </c>
      <c r="M138" s="9" t="s">
        <v>34</v>
      </c>
      <c r="N138" s="9" t="s">
        <v>33</v>
      </c>
      <c r="O138" s="9">
        <v>0</v>
      </c>
      <c r="P138" s="9">
        <v>40</v>
      </c>
      <c r="Q138" s="9">
        <v>3845.6</v>
      </c>
      <c r="R138" s="9">
        <v>6.8</v>
      </c>
      <c r="S138" s="10">
        <f>PharmaProduction[[#This Row],[Actual_Units]]/PharmaProduction[[#This Row],[Planned_Units]]</f>
        <v>0.75877862595419854</v>
      </c>
      <c r="T138" s="10">
        <f>(8-PharmaProduction[[#This Row],[Downtime_hr]])/8</f>
        <v>0.82250000000000001</v>
      </c>
      <c r="U138" s="10">
        <f>((PharmaProduction[[#This Row],[Actual_Units]]/(8-PharmaProduction[[#This Row],[Downtime_hr]]))*8)/(PharmaProduction[[#This Row],[Planned_Units]])</f>
        <v>0.92252720480753614</v>
      </c>
      <c r="V138" s="10">
        <f>PharmaProduction[[#This Row],[Good_Units]]/PharmaProduction[[#This Row],[Actual_Units]]</f>
        <v>0.99536105522021012</v>
      </c>
      <c r="W138" s="10">
        <f>PharmaProduction[[#This Row],[Availability_%]]*PharmaProduction[[#This Row],[Performance_%]]*PharmaProduction[[#This Row],[Quality_%]]</f>
        <v>0.75525869380831201</v>
      </c>
      <c r="X138" s="10">
        <f>PharmaProduction[[#This Row],[Good_Units]]/PharmaProduction[[#This Row],[Planned_Units]]</f>
        <v>0.75525869380831212</v>
      </c>
      <c r="Y138" s="10">
        <f>PharmaProduction[[#This Row],[Rejected_Units]]/PharmaProduction[[#This Row],[Actual_Units]]</f>
        <v>4.6249720545495192E-3</v>
      </c>
      <c r="Z138" s="11">
        <f>PharmaProduction[[#This Row],[Actual_Units]]/PharmaProduction[[#This Row],[Labor_Hours]]</f>
        <v>178.92000000000002</v>
      </c>
      <c r="AA138" s="12">
        <f>PharmaProduction[[#This Row],[Energy_kWh]]/PharmaProduction[[#This Row],[Actual_Units]]</f>
        <v>0.53733512184216403</v>
      </c>
      <c r="AB138" s="12">
        <f>PharmaProduction[[#This Row],[Run_Hours]]+PharmaProduction[[#This Row],[Downtime_hr]]</f>
        <v>8.2199999999999989</v>
      </c>
    </row>
    <row r="139" spans="1:28" x14ac:dyDescent="0.25">
      <c r="A139" s="9">
        <v>135</v>
      </c>
      <c r="B139" s="8">
        <v>46090</v>
      </c>
      <c r="C139" s="9" t="s">
        <v>30</v>
      </c>
      <c r="D139" s="9" t="s">
        <v>31</v>
      </c>
      <c r="E139" s="9" t="s">
        <v>39</v>
      </c>
      <c r="F139" s="9">
        <v>11925</v>
      </c>
      <c r="G139" s="9">
        <v>9074.7000000000007</v>
      </c>
      <c r="H139" s="9">
        <v>8927.7999999999993</v>
      </c>
      <c r="I139" s="9">
        <v>147</v>
      </c>
      <c r="J139" s="9">
        <v>9303.2999999999993</v>
      </c>
      <c r="K139" s="9">
        <v>1.8</v>
      </c>
      <c r="L139" s="9" t="s">
        <v>33</v>
      </c>
      <c r="M139" s="9" t="s">
        <v>34</v>
      </c>
      <c r="N139" s="9" t="s">
        <v>33</v>
      </c>
      <c r="O139" s="9">
        <v>0</v>
      </c>
      <c r="P139" s="9">
        <v>35.4</v>
      </c>
      <c r="Q139" s="9">
        <v>4712.6000000000004</v>
      </c>
      <c r="R139" s="9">
        <v>6.65</v>
      </c>
      <c r="S139" s="10">
        <f>PharmaProduction[[#This Row],[Actual_Units]]/PharmaProduction[[#This Row],[Planned_Units]]</f>
        <v>0.7609811320754718</v>
      </c>
      <c r="T139" s="10">
        <f>(8-PharmaProduction[[#This Row],[Downtime_hr]])/8</f>
        <v>0.77500000000000002</v>
      </c>
      <c r="U139" s="10">
        <f>((PharmaProduction[[#This Row],[Actual_Units]]/(8-PharmaProduction[[#This Row],[Downtime_hr]]))*8)/(PharmaProduction[[#This Row],[Planned_Units]])</f>
        <v>0.98191113816189901</v>
      </c>
      <c r="V139" s="10">
        <f>PharmaProduction[[#This Row],[Good_Units]]/PharmaProduction[[#This Row],[Actual_Units]]</f>
        <v>0.98381213704034276</v>
      </c>
      <c r="W139" s="10">
        <f>PharmaProduction[[#This Row],[Availability_%]]*PharmaProduction[[#This Row],[Performance_%]]*PharmaProduction[[#This Row],[Quality_%]]</f>
        <v>0.7486624737945492</v>
      </c>
      <c r="X139" s="10">
        <f>PharmaProduction[[#This Row],[Good_Units]]/PharmaProduction[[#This Row],[Planned_Units]]</f>
        <v>0.7486624737945492</v>
      </c>
      <c r="Y139" s="10">
        <f>PharmaProduction[[#This Row],[Rejected_Units]]/PharmaProduction[[#This Row],[Actual_Units]]</f>
        <v>1.6198882607689508E-2</v>
      </c>
      <c r="Z139" s="11">
        <f>PharmaProduction[[#This Row],[Actual_Units]]/PharmaProduction[[#This Row],[Labor_Hours]]</f>
        <v>256.34745762711867</v>
      </c>
      <c r="AA139" s="12">
        <f>PharmaProduction[[#This Row],[Energy_kWh]]/PharmaProduction[[#This Row],[Actual_Units]]</f>
        <v>0.51931193317685431</v>
      </c>
      <c r="AB139" s="12">
        <f>PharmaProduction[[#This Row],[Run_Hours]]+PharmaProduction[[#This Row],[Downtime_hr]]</f>
        <v>8.4500000000000011</v>
      </c>
    </row>
    <row r="140" spans="1:28" x14ac:dyDescent="0.25">
      <c r="A140" s="9">
        <v>136</v>
      </c>
      <c r="B140" s="8">
        <v>46090</v>
      </c>
      <c r="C140" s="9" t="s">
        <v>35</v>
      </c>
      <c r="D140" s="9" t="s">
        <v>31</v>
      </c>
      <c r="E140" s="9" t="s">
        <v>39</v>
      </c>
      <c r="F140" s="9">
        <v>11517</v>
      </c>
      <c r="G140" s="9">
        <v>7540</v>
      </c>
      <c r="H140" s="9">
        <v>7503.5</v>
      </c>
      <c r="I140" s="9">
        <v>36.4</v>
      </c>
      <c r="J140" s="9">
        <v>7615.1</v>
      </c>
      <c r="K140" s="9">
        <v>2.48</v>
      </c>
      <c r="L140" s="9" t="s">
        <v>46</v>
      </c>
      <c r="M140" s="9" t="s">
        <v>34</v>
      </c>
      <c r="N140" s="9" t="s">
        <v>44</v>
      </c>
      <c r="O140" s="9">
        <v>778.25</v>
      </c>
      <c r="P140" s="9">
        <v>47.3</v>
      </c>
      <c r="Q140" s="9">
        <v>3943.9</v>
      </c>
      <c r="R140" s="9">
        <v>7.19</v>
      </c>
      <c r="S140" s="10">
        <f>PharmaProduction[[#This Row],[Actual_Units]]/PharmaProduction[[#This Row],[Planned_Units]]</f>
        <v>0.65468437961274639</v>
      </c>
      <c r="T140" s="10">
        <f>(8-PharmaProduction[[#This Row],[Downtime_hr]])/8</f>
        <v>0.69</v>
      </c>
      <c r="U140" s="10">
        <f>((PharmaProduction[[#This Row],[Actual_Units]]/(8-PharmaProduction[[#This Row],[Downtime_hr]]))*8)/(PharmaProduction[[#This Row],[Planned_Units]])</f>
        <v>0.94881794146774834</v>
      </c>
      <c r="V140" s="10">
        <f>PharmaProduction[[#This Row],[Good_Units]]/PharmaProduction[[#This Row],[Actual_Units]]</f>
        <v>0.99515915119363396</v>
      </c>
      <c r="W140" s="10">
        <f>PharmaProduction[[#This Row],[Availability_%]]*PharmaProduction[[#This Row],[Performance_%]]*PharmaProduction[[#This Row],[Quality_%]]</f>
        <v>0.65151515151515138</v>
      </c>
      <c r="X140" s="10">
        <f>PharmaProduction[[#This Row],[Good_Units]]/PharmaProduction[[#This Row],[Planned_Units]]</f>
        <v>0.65151515151515149</v>
      </c>
      <c r="Y140" s="10">
        <f>PharmaProduction[[#This Row],[Rejected_Units]]/PharmaProduction[[#This Row],[Actual_Units]]</f>
        <v>4.8275862068965511E-3</v>
      </c>
      <c r="Z140" s="11">
        <f>PharmaProduction[[#This Row],[Actual_Units]]/PharmaProduction[[#This Row],[Labor_Hours]]</f>
        <v>159.4080338266385</v>
      </c>
      <c r="AA140" s="12">
        <f>PharmaProduction[[#This Row],[Energy_kWh]]/PharmaProduction[[#This Row],[Actual_Units]]</f>
        <v>0.52306366047745356</v>
      </c>
      <c r="AB140" s="12">
        <f>PharmaProduction[[#This Row],[Run_Hours]]+PharmaProduction[[#This Row],[Downtime_hr]]</f>
        <v>9.67</v>
      </c>
    </row>
    <row r="141" spans="1:28" x14ac:dyDescent="0.25">
      <c r="A141" s="9">
        <v>137</v>
      </c>
      <c r="B141" s="8">
        <v>46091</v>
      </c>
      <c r="C141" s="9" t="s">
        <v>30</v>
      </c>
      <c r="D141" s="9" t="s">
        <v>36</v>
      </c>
      <c r="E141" s="9" t="s">
        <v>42</v>
      </c>
      <c r="F141" s="9">
        <v>11701</v>
      </c>
      <c r="G141" s="9">
        <v>8055.3</v>
      </c>
      <c r="H141" s="9">
        <v>7930.3</v>
      </c>
      <c r="I141" s="9">
        <v>125</v>
      </c>
      <c r="J141" s="9">
        <v>8038.2</v>
      </c>
      <c r="K141" s="9">
        <v>3.36</v>
      </c>
      <c r="L141" s="9" t="s">
        <v>33</v>
      </c>
      <c r="M141" s="9" t="s">
        <v>34</v>
      </c>
      <c r="N141" s="9" t="s">
        <v>44</v>
      </c>
      <c r="O141" s="9">
        <v>1004.08</v>
      </c>
      <c r="P141" s="9">
        <v>44.8</v>
      </c>
      <c r="Q141" s="9">
        <v>4467.8999999999996</v>
      </c>
      <c r="R141" s="9">
        <v>7.93</v>
      </c>
      <c r="S141" s="10">
        <f>PharmaProduction[[#This Row],[Actual_Units]]/PharmaProduction[[#This Row],[Planned_Units]]</f>
        <v>0.68842833945816595</v>
      </c>
      <c r="T141" s="10">
        <f>(8-PharmaProduction[[#This Row],[Downtime_hr]])/8</f>
        <v>0.58000000000000007</v>
      </c>
      <c r="U141" s="10">
        <f>((PharmaProduction[[#This Row],[Actual_Units]]/(8-PharmaProduction[[#This Row],[Downtime_hr]]))*8)/(PharmaProduction[[#This Row],[Planned_Units]])</f>
        <v>1.1869454128589068</v>
      </c>
      <c r="V141" s="10">
        <f>PharmaProduction[[#This Row],[Good_Units]]/PharmaProduction[[#This Row],[Actual_Units]]</f>
        <v>0.9844822663339664</v>
      </c>
      <c r="W141" s="10">
        <f>PharmaProduction[[#This Row],[Availability_%]]*PharmaProduction[[#This Row],[Performance_%]]*PharmaProduction[[#This Row],[Quality_%]]</f>
        <v>0.67774549183830435</v>
      </c>
      <c r="X141" s="10">
        <f>PharmaProduction[[#This Row],[Good_Units]]/PharmaProduction[[#This Row],[Planned_Units]]</f>
        <v>0.67774549183830446</v>
      </c>
      <c r="Y141" s="10">
        <f>PharmaProduction[[#This Row],[Rejected_Units]]/PharmaProduction[[#This Row],[Actual_Units]]</f>
        <v>1.5517733666033543E-2</v>
      </c>
      <c r="Z141" s="11">
        <f>PharmaProduction[[#This Row],[Actual_Units]]/PharmaProduction[[#This Row],[Labor_Hours]]</f>
        <v>179.80580357142858</v>
      </c>
      <c r="AA141" s="12">
        <f>PharmaProduction[[#This Row],[Energy_kWh]]/PharmaProduction[[#This Row],[Actual_Units]]</f>
        <v>0.55465345797177013</v>
      </c>
      <c r="AB141" s="12">
        <f>PharmaProduction[[#This Row],[Run_Hours]]+PharmaProduction[[#This Row],[Downtime_hr]]</f>
        <v>11.29</v>
      </c>
    </row>
    <row r="142" spans="1:28" x14ac:dyDescent="0.25">
      <c r="A142" s="9">
        <v>138</v>
      </c>
      <c r="B142" s="8">
        <v>46091</v>
      </c>
      <c r="C142" s="9" t="s">
        <v>35</v>
      </c>
      <c r="D142" s="9" t="s">
        <v>38</v>
      </c>
      <c r="E142" s="9" t="s">
        <v>42</v>
      </c>
      <c r="F142" s="9">
        <v>9374</v>
      </c>
      <c r="G142" s="9">
        <v>8528.2000000000007</v>
      </c>
      <c r="H142" s="9">
        <v>8401.5</v>
      </c>
      <c r="I142" s="9">
        <v>126.7</v>
      </c>
      <c r="J142" s="9">
        <v>8595.9</v>
      </c>
      <c r="K142" s="9">
        <v>0.39</v>
      </c>
      <c r="L142" s="9" t="s">
        <v>33</v>
      </c>
      <c r="M142" s="9" t="s">
        <v>34</v>
      </c>
      <c r="N142" s="9" t="s">
        <v>33</v>
      </c>
      <c r="O142" s="9">
        <v>0</v>
      </c>
      <c r="P142" s="9">
        <v>34.200000000000003</v>
      </c>
      <c r="Q142" s="9">
        <v>4246.7</v>
      </c>
      <c r="R142" s="9">
        <v>6.73</v>
      </c>
      <c r="S142" s="10">
        <f>PharmaProduction[[#This Row],[Actual_Units]]/PharmaProduction[[#This Row],[Planned_Units]]</f>
        <v>0.90977170898229154</v>
      </c>
      <c r="T142" s="10">
        <f>(8-PharmaProduction[[#This Row],[Downtime_hr]])/8</f>
        <v>0.95125000000000004</v>
      </c>
      <c r="U142" s="10">
        <f>((PharmaProduction[[#This Row],[Actual_Units]]/(8-PharmaProduction[[#This Row],[Downtime_hr]]))*8)/(PharmaProduction[[#This Row],[Planned_Units]])</f>
        <v>0.95639601469886104</v>
      </c>
      <c r="V142" s="10">
        <f>PharmaProduction[[#This Row],[Good_Units]]/PharmaProduction[[#This Row],[Actual_Units]]</f>
        <v>0.98514340658052102</v>
      </c>
      <c r="W142" s="10">
        <f>PharmaProduction[[#This Row],[Availability_%]]*PharmaProduction[[#This Row],[Performance_%]]*PharmaProduction[[#This Row],[Quality_%]]</f>
        <v>0.89625560059739717</v>
      </c>
      <c r="X142" s="10">
        <f>PharmaProduction[[#This Row],[Good_Units]]/PharmaProduction[[#This Row],[Planned_Units]]</f>
        <v>0.89625560059739706</v>
      </c>
      <c r="Y142" s="10">
        <f>PharmaProduction[[#This Row],[Rejected_Units]]/PharmaProduction[[#This Row],[Actual_Units]]</f>
        <v>1.4856593419478904E-2</v>
      </c>
      <c r="Z142" s="11">
        <f>PharmaProduction[[#This Row],[Actual_Units]]/PharmaProduction[[#This Row],[Labor_Hours]]</f>
        <v>249.36257309941521</v>
      </c>
      <c r="AA142" s="12">
        <f>PharmaProduction[[#This Row],[Energy_kWh]]/PharmaProduction[[#This Row],[Actual_Units]]</f>
        <v>0.4979597101381299</v>
      </c>
      <c r="AB142" s="12">
        <f>PharmaProduction[[#This Row],[Run_Hours]]+PharmaProduction[[#This Row],[Downtime_hr]]</f>
        <v>7.12</v>
      </c>
    </row>
    <row r="143" spans="1:28" x14ac:dyDescent="0.25">
      <c r="A143" s="9">
        <v>139</v>
      </c>
      <c r="B143" s="8">
        <v>46092</v>
      </c>
      <c r="C143" s="9" t="s">
        <v>30</v>
      </c>
      <c r="D143" s="9" t="s">
        <v>38</v>
      </c>
      <c r="E143" s="9" t="s">
        <v>32</v>
      </c>
      <c r="F143" s="9">
        <v>11993</v>
      </c>
      <c r="G143" s="9">
        <v>9635.2000000000007</v>
      </c>
      <c r="H143" s="9">
        <v>9565.4</v>
      </c>
      <c r="I143" s="9">
        <v>69.7</v>
      </c>
      <c r="J143" s="9">
        <v>9852.6</v>
      </c>
      <c r="K143" s="9">
        <v>1.3</v>
      </c>
      <c r="L143" s="9" t="s">
        <v>33</v>
      </c>
      <c r="M143" s="9" t="s">
        <v>34</v>
      </c>
      <c r="N143" s="9" t="s">
        <v>33</v>
      </c>
      <c r="O143" s="9">
        <v>0</v>
      </c>
      <c r="P143" s="9">
        <v>49.3</v>
      </c>
      <c r="Q143" s="9">
        <v>5007.8</v>
      </c>
      <c r="R143" s="9">
        <v>7.97</v>
      </c>
      <c r="S143" s="10">
        <f>PharmaProduction[[#This Row],[Actual_Units]]/PharmaProduction[[#This Row],[Planned_Units]]</f>
        <v>0.80340198449095312</v>
      </c>
      <c r="T143" s="10">
        <f>(8-PharmaProduction[[#This Row],[Downtime_hr]])/8</f>
        <v>0.83750000000000002</v>
      </c>
      <c r="U143" s="10">
        <f>((PharmaProduction[[#This Row],[Actual_Units]]/(8-PharmaProduction[[#This Row],[Downtime_hr]]))*8)/(PharmaProduction[[#This Row],[Planned_Units]])</f>
        <v>0.95928595163098873</v>
      </c>
      <c r="V143" s="10">
        <f>PharmaProduction[[#This Row],[Good_Units]]/PharmaProduction[[#This Row],[Actual_Units]]</f>
        <v>0.99275572899368969</v>
      </c>
      <c r="W143" s="10">
        <f>PharmaProduction[[#This Row],[Availability_%]]*PharmaProduction[[#This Row],[Performance_%]]*PharmaProduction[[#This Row],[Quality_%]]</f>
        <v>0.7975819227882931</v>
      </c>
      <c r="X143" s="10">
        <f>PharmaProduction[[#This Row],[Good_Units]]/PharmaProduction[[#This Row],[Planned_Units]]</f>
        <v>0.7975819227882931</v>
      </c>
      <c r="Y143" s="10">
        <f>PharmaProduction[[#This Row],[Rejected_Units]]/PharmaProduction[[#This Row],[Actual_Units]]</f>
        <v>7.2338923945533045E-3</v>
      </c>
      <c r="Z143" s="11">
        <f>PharmaProduction[[#This Row],[Actual_Units]]/PharmaProduction[[#This Row],[Labor_Hours]]</f>
        <v>195.44016227180529</v>
      </c>
      <c r="AA143" s="12">
        <f>PharmaProduction[[#This Row],[Energy_kWh]]/PharmaProduction[[#This Row],[Actual_Units]]</f>
        <v>0.51974011956160737</v>
      </c>
      <c r="AB143" s="12">
        <f>PharmaProduction[[#This Row],[Run_Hours]]+PharmaProduction[[#This Row],[Downtime_hr]]</f>
        <v>9.27</v>
      </c>
    </row>
    <row r="144" spans="1:28" x14ac:dyDescent="0.25">
      <c r="A144" s="9">
        <v>140</v>
      </c>
      <c r="B144" s="8">
        <v>46092</v>
      </c>
      <c r="C144" s="9" t="s">
        <v>35</v>
      </c>
      <c r="D144" s="9" t="s">
        <v>36</v>
      </c>
      <c r="E144" s="9" t="s">
        <v>42</v>
      </c>
      <c r="F144" s="9">
        <v>9368</v>
      </c>
      <c r="G144" s="9">
        <v>6631.1</v>
      </c>
      <c r="H144" s="9">
        <v>6581.2</v>
      </c>
      <c r="I144" s="9">
        <v>49.9</v>
      </c>
      <c r="J144" s="9">
        <v>6734.9</v>
      </c>
      <c r="K144" s="9">
        <v>1.78</v>
      </c>
      <c r="L144" s="9" t="s">
        <v>33</v>
      </c>
      <c r="M144" s="9" t="s">
        <v>34</v>
      </c>
      <c r="N144" s="9" t="s">
        <v>44</v>
      </c>
      <c r="O144" s="9">
        <v>843.36</v>
      </c>
      <c r="P144" s="9">
        <v>48.6</v>
      </c>
      <c r="Q144" s="9">
        <v>3520.2</v>
      </c>
      <c r="R144" s="9">
        <v>7.87</v>
      </c>
      <c r="S144" s="10">
        <f>PharmaProduction[[#This Row],[Actual_Units]]/PharmaProduction[[#This Row],[Planned_Units]]</f>
        <v>0.7078458582408198</v>
      </c>
      <c r="T144" s="10">
        <f>(8-PharmaProduction[[#This Row],[Downtime_hr]])/8</f>
        <v>0.77749999999999997</v>
      </c>
      <c r="U144" s="10">
        <f>((PharmaProduction[[#This Row],[Actual_Units]]/(8-PharmaProduction[[#This Row],[Downtime_hr]]))*8)/(PharmaProduction[[#This Row],[Planned_Units]])</f>
        <v>0.9104126794094145</v>
      </c>
      <c r="V144" s="10">
        <f>PharmaProduction[[#This Row],[Good_Units]]/PharmaProduction[[#This Row],[Actual_Units]]</f>
        <v>0.99247485334258256</v>
      </c>
      <c r="W144" s="10">
        <f>PharmaProduction[[#This Row],[Availability_%]]*PharmaProduction[[#This Row],[Performance_%]]*PharmaProduction[[#This Row],[Quality_%]]</f>
        <v>0.70251921434671216</v>
      </c>
      <c r="X144" s="10">
        <f>PharmaProduction[[#This Row],[Good_Units]]/PharmaProduction[[#This Row],[Planned_Units]]</f>
        <v>0.70251921434671216</v>
      </c>
      <c r="Y144" s="10">
        <f>PharmaProduction[[#This Row],[Rejected_Units]]/PharmaProduction[[#This Row],[Actual_Units]]</f>
        <v>7.525146657417321E-3</v>
      </c>
      <c r="Z144" s="11">
        <f>PharmaProduction[[#This Row],[Actual_Units]]/PharmaProduction[[#This Row],[Labor_Hours]]</f>
        <v>136.44238683127571</v>
      </c>
      <c r="AA144" s="12">
        <f>PharmaProduction[[#This Row],[Energy_kWh]]/PharmaProduction[[#This Row],[Actual_Units]]</f>
        <v>0.53086214956794497</v>
      </c>
      <c r="AB144" s="12">
        <f>PharmaProduction[[#This Row],[Run_Hours]]+PharmaProduction[[#This Row],[Downtime_hr]]</f>
        <v>9.65</v>
      </c>
    </row>
    <row r="145" spans="1:28" x14ac:dyDescent="0.25">
      <c r="A145" s="9">
        <v>141</v>
      </c>
      <c r="B145" s="8">
        <v>46093</v>
      </c>
      <c r="C145" s="9" t="s">
        <v>30</v>
      </c>
      <c r="D145" s="9" t="s">
        <v>36</v>
      </c>
      <c r="E145" s="9" t="s">
        <v>39</v>
      </c>
      <c r="F145" s="9">
        <v>11680</v>
      </c>
      <c r="G145" s="9">
        <v>8301.7000000000007</v>
      </c>
      <c r="H145" s="9">
        <v>8175.8</v>
      </c>
      <c r="I145" s="9">
        <v>125.9</v>
      </c>
      <c r="J145" s="9">
        <v>8445.6</v>
      </c>
      <c r="K145" s="9">
        <v>1.41</v>
      </c>
      <c r="L145" s="9" t="s">
        <v>33</v>
      </c>
      <c r="M145" s="9" t="s">
        <v>34</v>
      </c>
      <c r="N145" s="9" t="s">
        <v>33</v>
      </c>
      <c r="O145" s="9">
        <v>0</v>
      </c>
      <c r="P145" s="9">
        <v>46</v>
      </c>
      <c r="Q145" s="9">
        <v>3911.2</v>
      </c>
      <c r="R145" s="9">
        <v>7.46</v>
      </c>
      <c r="S145" s="10">
        <f>PharmaProduction[[#This Row],[Actual_Units]]/PharmaProduction[[#This Row],[Planned_Units]]</f>
        <v>0.71076198630136989</v>
      </c>
      <c r="T145" s="10">
        <f>(8-PharmaProduction[[#This Row],[Downtime_hr]])/8</f>
        <v>0.82374999999999998</v>
      </c>
      <c r="U145" s="10">
        <f>((PharmaProduction[[#This Row],[Actual_Units]]/(8-PharmaProduction[[#This Row],[Downtime_hr]]))*8)/(PharmaProduction[[#This Row],[Planned_Units]])</f>
        <v>0.86283700916706518</v>
      </c>
      <c r="V145" s="10">
        <f>PharmaProduction[[#This Row],[Good_Units]]/PharmaProduction[[#This Row],[Actual_Units]]</f>
        <v>0.98483443150198147</v>
      </c>
      <c r="W145" s="10">
        <f>PharmaProduction[[#This Row],[Availability_%]]*PharmaProduction[[#This Row],[Performance_%]]*PharmaProduction[[#This Row],[Quality_%]]</f>
        <v>0.69998287671232873</v>
      </c>
      <c r="X145" s="10">
        <f>PharmaProduction[[#This Row],[Good_Units]]/PharmaProduction[[#This Row],[Planned_Units]]</f>
        <v>0.69998287671232873</v>
      </c>
      <c r="Y145" s="10">
        <f>PharmaProduction[[#This Row],[Rejected_Units]]/PharmaProduction[[#This Row],[Actual_Units]]</f>
        <v>1.5165568498018478E-2</v>
      </c>
      <c r="Z145" s="11">
        <f>PharmaProduction[[#This Row],[Actual_Units]]/PharmaProduction[[#This Row],[Labor_Hours]]</f>
        <v>180.4717391304348</v>
      </c>
      <c r="AA145" s="12">
        <f>PharmaProduction[[#This Row],[Energy_kWh]]/PharmaProduction[[#This Row],[Actual_Units]]</f>
        <v>0.47113241866123801</v>
      </c>
      <c r="AB145" s="12">
        <f>PharmaProduction[[#This Row],[Run_Hours]]+PharmaProduction[[#This Row],[Downtime_hr]]</f>
        <v>8.8699999999999992</v>
      </c>
    </row>
    <row r="146" spans="1:28" x14ac:dyDescent="0.25">
      <c r="A146" s="9">
        <v>142</v>
      </c>
      <c r="B146" s="8">
        <v>46093</v>
      </c>
      <c r="C146" s="9" t="s">
        <v>35</v>
      </c>
      <c r="D146" s="9" t="s">
        <v>31</v>
      </c>
      <c r="E146" s="9" t="s">
        <v>42</v>
      </c>
      <c r="F146" s="9">
        <v>11218</v>
      </c>
      <c r="G146" s="9">
        <v>9974.4</v>
      </c>
      <c r="H146" s="9">
        <v>9826.6</v>
      </c>
      <c r="I146" s="9">
        <v>147.9</v>
      </c>
      <c r="J146" s="9">
        <v>10241.200000000001</v>
      </c>
      <c r="K146" s="9">
        <v>0.02</v>
      </c>
      <c r="L146" s="9" t="s">
        <v>33</v>
      </c>
      <c r="M146" s="9" t="s">
        <v>34</v>
      </c>
      <c r="N146" s="9" t="s">
        <v>33</v>
      </c>
      <c r="O146" s="9">
        <v>0</v>
      </c>
      <c r="P146" s="9">
        <v>50.4</v>
      </c>
      <c r="Q146" s="9">
        <v>5104.3999999999996</v>
      </c>
      <c r="R146" s="9">
        <v>6.85</v>
      </c>
      <c r="S146" s="10">
        <f>PharmaProduction[[#This Row],[Actual_Units]]/PharmaProduction[[#This Row],[Planned_Units]]</f>
        <v>0.88914244963451594</v>
      </c>
      <c r="T146" s="10">
        <f>(8-PharmaProduction[[#This Row],[Downtime_hr]])/8</f>
        <v>0.99750000000000005</v>
      </c>
      <c r="U146" s="10">
        <f>((PharmaProduction[[#This Row],[Actual_Units]]/(8-PharmaProduction[[#This Row],[Downtime_hr]]))*8)/(PharmaProduction[[#This Row],[Planned_Units]])</f>
        <v>0.89137087682658234</v>
      </c>
      <c r="V146" s="10">
        <f>PharmaProduction[[#This Row],[Good_Units]]/PharmaProduction[[#This Row],[Actual_Units]]</f>
        <v>0.98518206608918835</v>
      </c>
      <c r="W146" s="10">
        <f>PharmaProduction[[#This Row],[Availability_%]]*PharmaProduction[[#This Row],[Performance_%]]*PharmaProduction[[#This Row],[Quality_%]]</f>
        <v>0.87596719557853453</v>
      </c>
      <c r="X146" s="10">
        <f>PharmaProduction[[#This Row],[Good_Units]]/PharmaProduction[[#This Row],[Planned_Units]]</f>
        <v>0.87596719557853453</v>
      </c>
      <c r="Y146" s="10">
        <f>PharmaProduction[[#This Row],[Rejected_Units]]/PharmaProduction[[#This Row],[Actual_Units]]</f>
        <v>1.4827959576515882E-2</v>
      </c>
      <c r="Z146" s="11">
        <f>PharmaProduction[[#This Row],[Actual_Units]]/PharmaProduction[[#This Row],[Labor_Hours]]</f>
        <v>197.9047619047619</v>
      </c>
      <c r="AA146" s="12">
        <f>PharmaProduction[[#This Row],[Energy_kWh]]/PharmaProduction[[#This Row],[Actual_Units]]</f>
        <v>0.51175008020532564</v>
      </c>
      <c r="AB146" s="12">
        <f>PharmaProduction[[#This Row],[Run_Hours]]+PharmaProduction[[#This Row],[Downtime_hr]]</f>
        <v>6.8699999999999992</v>
      </c>
    </row>
    <row r="147" spans="1:28" x14ac:dyDescent="0.25">
      <c r="A147" s="9">
        <v>143</v>
      </c>
      <c r="B147" s="8">
        <v>46094</v>
      </c>
      <c r="C147" s="9" t="s">
        <v>30</v>
      </c>
      <c r="D147" s="9" t="s">
        <v>38</v>
      </c>
      <c r="E147" s="9" t="s">
        <v>42</v>
      </c>
      <c r="F147" s="9">
        <v>9567</v>
      </c>
      <c r="G147" s="9">
        <v>8986.6</v>
      </c>
      <c r="H147" s="9">
        <v>8851.9</v>
      </c>
      <c r="I147" s="9">
        <v>134.69999999999999</v>
      </c>
      <c r="J147" s="9">
        <v>9096.2000000000007</v>
      </c>
      <c r="K147" s="9">
        <v>0</v>
      </c>
      <c r="L147" s="9" t="s">
        <v>33</v>
      </c>
      <c r="M147" s="9" t="s">
        <v>34</v>
      </c>
      <c r="N147" s="9" t="s">
        <v>33</v>
      </c>
      <c r="O147" s="9">
        <v>0</v>
      </c>
      <c r="P147" s="9">
        <v>36.200000000000003</v>
      </c>
      <c r="Q147" s="9">
        <v>4593.1000000000004</v>
      </c>
      <c r="R147" s="9">
        <v>7.29</v>
      </c>
      <c r="S147" s="10">
        <f>PharmaProduction[[#This Row],[Actual_Units]]/PharmaProduction[[#This Row],[Planned_Units]]</f>
        <v>0.93933312428138394</v>
      </c>
      <c r="T147" s="10">
        <f>(8-PharmaProduction[[#This Row],[Downtime_hr]])/8</f>
        <v>1</v>
      </c>
      <c r="U147" s="10">
        <f>((PharmaProduction[[#This Row],[Actual_Units]]/(8-PharmaProduction[[#This Row],[Downtime_hr]]))*8)/(PharmaProduction[[#This Row],[Planned_Units]])</f>
        <v>0.93933312428138394</v>
      </c>
      <c r="V147" s="10">
        <f>PharmaProduction[[#This Row],[Good_Units]]/PharmaProduction[[#This Row],[Actual_Units]]</f>
        <v>0.98501101640219879</v>
      </c>
      <c r="W147" s="10">
        <f>PharmaProduction[[#This Row],[Availability_%]]*PharmaProduction[[#This Row],[Performance_%]]*PharmaProduction[[#This Row],[Quality_%]]</f>
        <v>0.92525347548865888</v>
      </c>
      <c r="X147" s="10">
        <f>PharmaProduction[[#This Row],[Good_Units]]/PharmaProduction[[#This Row],[Planned_Units]]</f>
        <v>0.92525347548865888</v>
      </c>
      <c r="Y147" s="10">
        <f>PharmaProduction[[#This Row],[Rejected_Units]]/PharmaProduction[[#This Row],[Actual_Units]]</f>
        <v>1.4988983597801169E-2</v>
      </c>
      <c r="Z147" s="11">
        <f>PharmaProduction[[#This Row],[Actual_Units]]/PharmaProduction[[#This Row],[Labor_Hours]]</f>
        <v>248.24861878453038</v>
      </c>
      <c r="AA147" s="12">
        <f>PharmaProduction[[#This Row],[Energy_kWh]]/PharmaProduction[[#This Row],[Actual_Units]]</f>
        <v>0.51110542363073908</v>
      </c>
      <c r="AB147" s="12">
        <f>PharmaProduction[[#This Row],[Run_Hours]]+PharmaProduction[[#This Row],[Downtime_hr]]</f>
        <v>7.29</v>
      </c>
    </row>
    <row r="148" spans="1:28" x14ac:dyDescent="0.25">
      <c r="A148" s="9">
        <v>144</v>
      </c>
      <c r="B148" s="8">
        <v>46094</v>
      </c>
      <c r="C148" s="9" t="s">
        <v>35</v>
      </c>
      <c r="D148" s="9" t="s">
        <v>38</v>
      </c>
      <c r="E148" s="9" t="s">
        <v>39</v>
      </c>
      <c r="F148" s="9">
        <v>10572</v>
      </c>
      <c r="G148" s="9">
        <v>6942.4</v>
      </c>
      <c r="H148" s="9">
        <v>6900.8</v>
      </c>
      <c r="I148" s="9">
        <v>41.6</v>
      </c>
      <c r="J148" s="9">
        <v>7039.1</v>
      </c>
      <c r="K148" s="9">
        <v>1.99</v>
      </c>
      <c r="L148" s="9" t="s">
        <v>48</v>
      </c>
      <c r="M148" s="9" t="s">
        <v>34</v>
      </c>
      <c r="N148" s="9" t="s">
        <v>44</v>
      </c>
      <c r="O148" s="9">
        <v>431.38</v>
      </c>
      <c r="P148" s="9">
        <v>44.6</v>
      </c>
      <c r="Q148" s="9">
        <v>3530.2</v>
      </c>
      <c r="R148" s="9">
        <v>6.5</v>
      </c>
      <c r="S148" s="10">
        <f>PharmaProduction[[#This Row],[Actual_Units]]/PharmaProduction[[#This Row],[Planned_Units]]</f>
        <v>0.65667801740446463</v>
      </c>
      <c r="T148" s="10">
        <f>(8-PharmaProduction[[#This Row],[Downtime_hr]])/8</f>
        <v>0.75124999999999997</v>
      </c>
      <c r="U148" s="10">
        <f>((PharmaProduction[[#This Row],[Actual_Units]]/(8-PharmaProduction[[#This Row],[Downtime_hr]]))*8)/(PharmaProduction[[#This Row],[Planned_Units]])</f>
        <v>0.87411383348348037</v>
      </c>
      <c r="V148" s="10">
        <f>PharmaProduction[[#This Row],[Good_Units]]/PharmaProduction[[#This Row],[Actual_Units]]</f>
        <v>0.99400783590689101</v>
      </c>
      <c r="W148" s="10">
        <f>PharmaProduction[[#This Row],[Availability_%]]*PharmaProduction[[#This Row],[Performance_%]]*PharmaProduction[[#This Row],[Quality_%]]</f>
        <v>0.65274309496783955</v>
      </c>
      <c r="X148" s="10">
        <f>PharmaProduction[[#This Row],[Good_Units]]/PharmaProduction[[#This Row],[Planned_Units]]</f>
        <v>0.65274309496783955</v>
      </c>
      <c r="Y148" s="10">
        <f>PharmaProduction[[#This Row],[Rejected_Units]]/PharmaProduction[[#This Row],[Actual_Units]]</f>
        <v>5.9921640931090122E-3</v>
      </c>
      <c r="Z148" s="11">
        <f>PharmaProduction[[#This Row],[Actual_Units]]/PharmaProduction[[#This Row],[Labor_Hours]]</f>
        <v>155.65919282511209</v>
      </c>
      <c r="AA148" s="12">
        <f>PharmaProduction[[#This Row],[Energy_kWh]]/PharmaProduction[[#This Row],[Actual_Units]]</f>
        <v>0.50849850195897672</v>
      </c>
      <c r="AB148" s="12">
        <f>PharmaProduction[[#This Row],[Run_Hours]]+PharmaProduction[[#This Row],[Downtime_hr]]</f>
        <v>8.49</v>
      </c>
    </row>
    <row r="149" spans="1:28" x14ac:dyDescent="0.25">
      <c r="A149" s="9">
        <v>145</v>
      </c>
      <c r="B149" s="8">
        <v>46095</v>
      </c>
      <c r="C149" s="9" t="s">
        <v>30</v>
      </c>
      <c r="D149" s="9" t="s">
        <v>38</v>
      </c>
      <c r="E149" s="9" t="s">
        <v>42</v>
      </c>
      <c r="F149" s="9">
        <v>10140</v>
      </c>
      <c r="G149" s="9">
        <v>6794.2</v>
      </c>
      <c r="H149" s="9">
        <v>6647.9</v>
      </c>
      <c r="I149" s="9">
        <v>146.19999999999999</v>
      </c>
      <c r="J149" s="9">
        <v>6924.2</v>
      </c>
      <c r="K149" s="9">
        <v>4.97</v>
      </c>
      <c r="L149" s="9" t="s">
        <v>48</v>
      </c>
      <c r="M149" s="9" t="s">
        <v>34</v>
      </c>
      <c r="N149" s="9" t="s">
        <v>47</v>
      </c>
      <c r="O149" s="9">
        <v>912.54</v>
      </c>
      <c r="P149" s="9">
        <v>35.299999999999997</v>
      </c>
      <c r="Q149" s="9">
        <v>3431.7</v>
      </c>
      <c r="R149" s="9">
        <v>7.78</v>
      </c>
      <c r="S149" s="10">
        <f>PharmaProduction[[#This Row],[Actual_Units]]/PharmaProduction[[#This Row],[Planned_Units]]</f>
        <v>0.67003944773175539</v>
      </c>
      <c r="T149" s="10">
        <f>(8-PharmaProduction[[#This Row],[Downtime_hr]])/8</f>
        <v>0.37875000000000003</v>
      </c>
      <c r="U149" s="10">
        <f>((PharmaProduction[[#This Row],[Actual_Units]]/(8-PharmaProduction[[#This Row],[Downtime_hr]]))*8)/(PharmaProduction[[#This Row],[Planned_Units]])</f>
        <v>1.7690810501168457</v>
      </c>
      <c r="V149" s="10">
        <f>PharmaProduction[[#This Row],[Good_Units]]/PharmaProduction[[#This Row],[Actual_Units]]</f>
        <v>0.97846692767360388</v>
      </c>
      <c r="W149" s="10">
        <f>PharmaProduction[[#This Row],[Availability_%]]*PharmaProduction[[#This Row],[Performance_%]]*PharmaProduction[[#This Row],[Quality_%]]</f>
        <v>0.65561143984220904</v>
      </c>
      <c r="X149" s="10">
        <f>PharmaProduction[[#This Row],[Good_Units]]/PharmaProduction[[#This Row],[Planned_Units]]</f>
        <v>0.65561143984220904</v>
      </c>
      <c r="Y149" s="10">
        <f>PharmaProduction[[#This Row],[Rejected_Units]]/PharmaProduction[[#This Row],[Actual_Units]]</f>
        <v>2.1518353890082716E-2</v>
      </c>
      <c r="Z149" s="11">
        <f>PharmaProduction[[#This Row],[Actual_Units]]/PharmaProduction[[#This Row],[Labor_Hours]]</f>
        <v>192.47025495750708</v>
      </c>
      <c r="AA149" s="12">
        <f>PharmaProduction[[#This Row],[Energy_kWh]]/PharmaProduction[[#This Row],[Actual_Units]]</f>
        <v>0.50509257896441084</v>
      </c>
      <c r="AB149" s="12">
        <f>PharmaProduction[[#This Row],[Run_Hours]]+PharmaProduction[[#This Row],[Downtime_hr]]</f>
        <v>12.75</v>
      </c>
    </row>
    <row r="150" spans="1:28" x14ac:dyDescent="0.25">
      <c r="A150" s="9">
        <v>146</v>
      </c>
      <c r="B150" s="8">
        <v>46095</v>
      </c>
      <c r="C150" s="9" t="s">
        <v>35</v>
      </c>
      <c r="D150" s="9" t="s">
        <v>38</v>
      </c>
      <c r="E150" s="9" t="s">
        <v>39</v>
      </c>
      <c r="F150" s="9">
        <v>9226</v>
      </c>
      <c r="G150" s="9">
        <v>6750.8</v>
      </c>
      <c r="H150" s="9">
        <v>6659.9</v>
      </c>
      <c r="I150" s="9">
        <v>90.9</v>
      </c>
      <c r="J150" s="9">
        <v>6856.3</v>
      </c>
      <c r="K150" s="9">
        <v>1.54</v>
      </c>
      <c r="L150" s="9" t="s">
        <v>33</v>
      </c>
      <c r="M150" s="9" t="s">
        <v>34</v>
      </c>
      <c r="N150" s="9" t="s">
        <v>33</v>
      </c>
      <c r="O150" s="9">
        <v>0</v>
      </c>
      <c r="P150" s="9">
        <v>47.6</v>
      </c>
      <c r="Q150" s="9">
        <v>3625.1</v>
      </c>
      <c r="R150" s="9">
        <v>6.62</v>
      </c>
      <c r="S150" s="10">
        <f>PharmaProduction[[#This Row],[Actual_Units]]/PharmaProduction[[#This Row],[Planned_Units]]</f>
        <v>0.73171471927162368</v>
      </c>
      <c r="T150" s="10">
        <f>(8-PharmaProduction[[#This Row],[Downtime_hr]])/8</f>
        <v>0.8075</v>
      </c>
      <c r="U150" s="10">
        <f>((PharmaProduction[[#This Row],[Actual_Units]]/(8-PharmaProduction[[#This Row],[Downtime_hr]]))*8)/(PharmaProduction[[#This Row],[Planned_Units]])</f>
        <v>0.90614825915990549</v>
      </c>
      <c r="V150" s="10">
        <f>PharmaProduction[[#This Row],[Good_Units]]/PharmaProduction[[#This Row],[Actual_Units]]</f>
        <v>0.98653492919357699</v>
      </c>
      <c r="W150" s="10">
        <f>PharmaProduction[[#This Row],[Availability_%]]*PharmaProduction[[#This Row],[Performance_%]]*PharmaProduction[[#This Row],[Quality_%]]</f>
        <v>0.72186212876652933</v>
      </c>
      <c r="X150" s="10">
        <f>PharmaProduction[[#This Row],[Good_Units]]/PharmaProduction[[#This Row],[Planned_Units]]</f>
        <v>0.72186212876652933</v>
      </c>
      <c r="Y150" s="10">
        <f>PharmaProduction[[#This Row],[Rejected_Units]]/PharmaProduction[[#This Row],[Actual_Units]]</f>
        <v>1.3465070806422943E-2</v>
      </c>
      <c r="Z150" s="11">
        <f>PharmaProduction[[#This Row],[Actual_Units]]/PharmaProduction[[#This Row],[Labor_Hours]]</f>
        <v>141.8235294117647</v>
      </c>
      <c r="AA150" s="12">
        <f>PharmaProduction[[#This Row],[Energy_kWh]]/PharmaProduction[[#This Row],[Actual_Units]]</f>
        <v>0.53698820880488241</v>
      </c>
      <c r="AB150" s="12">
        <f>PharmaProduction[[#This Row],[Run_Hours]]+PharmaProduction[[#This Row],[Downtime_hr]]</f>
        <v>8.16</v>
      </c>
    </row>
    <row r="151" spans="1:28" x14ac:dyDescent="0.25">
      <c r="A151" s="9">
        <v>147</v>
      </c>
      <c r="B151" s="8">
        <v>46096</v>
      </c>
      <c r="C151" s="9" t="s">
        <v>30</v>
      </c>
      <c r="D151" s="9" t="s">
        <v>31</v>
      </c>
      <c r="E151" s="9" t="s">
        <v>39</v>
      </c>
      <c r="F151" s="9">
        <v>11767</v>
      </c>
      <c r="G151" s="9">
        <v>10577.6</v>
      </c>
      <c r="H151" s="9">
        <v>10471.9</v>
      </c>
      <c r="I151" s="9">
        <v>105.6</v>
      </c>
      <c r="J151" s="9">
        <v>10631.5</v>
      </c>
      <c r="K151" s="9">
        <v>0.05</v>
      </c>
      <c r="L151" s="9" t="s">
        <v>33</v>
      </c>
      <c r="M151" s="9" t="s">
        <v>34</v>
      </c>
      <c r="N151" s="9" t="s">
        <v>44</v>
      </c>
      <c r="O151" s="9">
        <v>1079.05</v>
      </c>
      <c r="P151" s="9">
        <v>38.5</v>
      </c>
      <c r="Q151" s="9">
        <v>5698.2</v>
      </c>
      <c r="R151" s="9">
        <v>6.85</v>
      </c>
      <c r="S151" s="10">
        <f>PharmaProduction[[#This Row],[Actual_Units]]/PharmaProduction[[#This Row],[Planned_Units]]</f>
        <v>0.89892071046146005</v>
      </c>
      <c r="T151" s="10">
        <f>(8-PharmaProduction[[#This Row],[Downtime_hr]])/8</f>
        <v>0.99375000000000002</v>
      </c>
      <c r="U151" s="10">
        <f>((PharmaProduction[[#This Row],[Actual_Units]]/(8-PharmaProduction[[#This Row],[Downtime_hr]]))*8)/(PharmaProduction[[#This Row],[Planned_Units]])</f>
        <v>0.90457429983543147</v>
      </c>
      <c r="V151" s="10">
        <f>PharmaProduction[[#This Row],[Good_Units]]/PharmaProduction[[#This Row],[Actual_Units]]</f>
        <v>0.99000718499470575</v>
      </c>
      <c r="W151" s="10">
        <f>PharmaProduction[[#This Row],[Availability_%]]*PharmaProduction[[#This Row],[Performance_%]]*PharmaProduction[[#This Row],[Quality_%]]</f>
        <v>0.88993796209739096</v>
      </c>
      <c r="X151" s="10">
        <f>PharmaProduction[[#This Row],[Good_Units]]/PharmaProduction[[#This Row],[Planned_Units]]</f>
        <v>0.88993796209739096</v>
      </c>
      <c r="Y151" s="10">
        <f>PharmaProduction[[#This Row],[Rejected_Units]]/PharmaProduction[[#This Row],[Actual_Units]]</f>
        <v>9.9833610648918467E-3</v>
      </c>
      <c r="Z151" s="11">
        <f>PharmaProduction[[#This Row],[Actual_Units]]/PharmaProduction[[#This Row],[Labor_Hours]]</f>
        <v>274.74285714285713</v>
      </c>
      <c r="AA151" s="12">
        <f>PharmaProduction[[#This Row],[Energy_kWh]]/PharmaProduction[[#This Row],[Actual_Units]]</f>
        <v>0.53870443200726059</v>
      </c>
      <c r="AB151" s="12">
        <f>PharmaProduction[[#This Row],[Run_Hours]]+PharmaProduction[[#This Row],[Downtime_hr]]</f>
        <v>6.8999999999999995</v>
      </c>
    </row>
    <row r="152" spans="1:28" x14ac:dyDescent="0.25">
      <c r="A152" s="9">
        <v>148</v>
      </c>
      <c r="B152" s="8">
        <v>46096</v>
      </c>
      <c r="C152" s="9" t="s">
        <v>35</v>
      </c>
      <c r="D152" s="9" t="s">
        <v>38</v>
      </c>
      <c r="E152" s="9" t="s">
        <v>42</v>
      </c>
      <c r="F152" s="9">
        <v>11773</v>
      </c>
      <c r="G152" s="9">
        <v>7638.6</v>
      </c>
      <c r="H152" s="9">
        <v>7498.6</v>
      </c>
      <c r="I152" s="9">
        <v>140</v>
      </c>
      <c r="J152" s="9">
        <v>7833.1</v>
      </c>
      <c r="K152" s="9">
        <v>2.2400000000000002</v>
      </c>
      <c r="L152" s="9" t="s">
        <v>33</v>
      </c>
      <c r="M152" s="9" t="s">
        <v>34</v>
      </c>
      <c r="N152" s="9" t="s">
        <v>37</v>
      </c>
      <c r="O152" s="9">
        <v>278.38</v>
      </c>
      <c r="P152" s="9">
        <v>49.5</v>
      </c>
      <c r="Q152" s="9">
        <v>4008.8</v>
      </c>
      <c r="R152" s="9">
        <v>6.68</v>
      </c>
      <c r="S152" s="10">
        <f>PharmaProduction[[#This Row],[Actual_Units]]/PharmaProduction[[#This Row],[Planned_Units]]</f>
        <v>0.64882357937653956</v>
      </c>
      <c r="T152" s="10">
        <f>(8-PharmaProduction[[#This Row],[Downtime_hr]])/8</f>
        <v>0.72</v>
      </c>
      <c r="U152" s="10">
        <f>((PharmaProduction[[#This Row],[Actual_Units]]/(8-PharmaProduction[[#This Row],[Downtime_hr]]))*8)/(PharmaProduction[[#This Row],[Planned_Units]])</f>
        <v>0.90114386024519388</v>
      </c>
      <c r="V152" s="10">
        <f>PharmaProduction[[#This Row],[Good_Units]]/PharmaProduction[[#This Row],[Actual_Units]]</f>
        <v>0.98167203414238213</v>
      </c>
      <c r="W152" s="10">
        <f>PharmaProduction[[#This Row],[Availability_%]]*PharmaProduction[[#This Row],[Performance_%]]*PharmaProduction[[#This Row],[Quality_%]]</f>
        <v>0.63693196296610888</v>
      </c>
      <c r="X152" s="10">
        <f>PharmaProduction[[#This Row],[Good_Units]]/PharmaProduction[[#This Row],[Planned_Units]]</f>
        <v>0.63693196296610888</v>
      </c>
      <c r="Y152" s="10">
        <f>PharmaProduction[[#This Row],[Rejected_Units]]/PharmaProduction[[#This Row],[Actual_Units]]</f>
        <v>1.8327965857617888E-2</v>
      </c>
      <c r="Z152" s="11">
        <f>PharmaProduction[[#This Row],[Actual_Units]]/PharmaProduction[[#This Row],[Labor_Hours]]</f>
        <v>154.31515151515151</v>
      </c>
      <c r="AA152" s="12">
        <f>PharmaProduction[[#This Row],[Energy_kWh]]/PharmaProduction[[#This Row],[Actual_Units]]</f>
        <v>0.52480821092870422</v>
      </c>
      <c r="AB152" s="12">
        <f>PharmaProduction[[#This Row],[Run_Hours]]+PharmaProduction[[#This Row],[Downtime_hr]]</f>
        <v>8.92</v>
      </c>
    </row>
    <row r="153" spans="1:28" x14ac:dyDescent="0.25">
      <c r="A153" s="9">
        <v>149</v>
      </c>
      <c r="B153" s="8">
        <v>46097</v>
      </c>
      <c r="C153" s="9" t="s">
        <v>30</v>
      </c>
      <c r="D153" s="9" t="s">
        <v>36</v>
      </c>
      <c r="E153" s="9" t="s">
        <v>32</v>
      </c>
      <c r="F153" s="9">
        <v>10224</v>
      </c>
      <c r="G153" s="9">
        <v>8920.9</v>
      </c>
      <c r="H153" s="9">
        <v>8768.7000000000007</v>
      </c>
      <c r="I153" s="9">
        <v>152.19999999999999</v>
      </c>
      <c r="J153" s="9">
        <v>9036.4</v>
      </c>
      <c r="K153" s="9">
        <v>0.13</v>
      </c>
      <c r="L153" s="9" t="s">
        <v>33</v>
      </c>
      <c r="M153" s="9" t="s">
        <v>34</v>
      </c>
      <c r="N153" s="9" t="s">
        <v>44</v>
      </c>
      <c r="O153" s="9">
        <v>598.79</v>
      </c>
      <c r="P153" s="9">
        <v>50.6</v>
      </c>
      <c r="Q153" s="9">
        <v>4338.5</v>
      </c>
      <c r="R153" s="9">
        <v>7.59</v>
      </c>
      <c r="S153" s="10">
        <f>PharmaProduction[[#This Row],[Actual_Units]]/PharmaProduction[[#This Row],[Planned_Units]]</f>
        <v>0.87254499217527381</v>
      </c>
      <c r="T153" s="10">
        <f>(8-PharmaProduction[[#This Row],[Downtime_hr]])/8</f>
        <v>0.98375000000000001</v>
      </c>
      <c r="U153" s="10">
        <f>((PharmaProduction[[#This Row],[Actual_Units]]/(8-PharmaProduction[[#This Row],[Downtime_hr]]))*8)/(PharmaProduction[[#This Row],[Planned_Units]])</f>
        <v>0.88695806066101524</v>
      </c>
      <c r="V153" s="10">
        <f>PharmaProduction[[#This Row],[Good_Units]]/PharmaProduction[[#This Row],[Actual_Units]]</f>
        <v>0.98293894113822611</v>
      </c>
      <c r="W153" s="10">
        <f>PharmaProduction[[#This Row],[Availability_%]]*PharmaProduction[[#This Row],[Performance_%]]*PharmaProduction[[#This Row],[Quality_%]]</f>
        <v>0.85765845070422531</v>
      </c>
      <c r="X153" s="10">
        <f>PharmaProduction[[#This Row],[Good_Units]]/PharmaProduction[[#This Row],[Planned_Units]]</f>
        <v>0.85765845070422542</v>
      </c>
      <c r="Y153" s="10">
        <f>PharmaProduction[[#This Row],[Rejected_Units]]/PharmaProduction[[#This Row],[Actual_Units]]</f>
        <v>1.7061058861774035E-2</v>
      </c>
      <c r="Z153" s="11">
        <f>PharmaProduction[[#This Row],[Actual_Units]]/PharmaProduction[[#This Row],[Labor_Hours]]</f>
        <v>176.30237154150197</v>
      </c>
      <c r="AA153" s="12">
        <f>PharmaProduction[[#This Row],[Energy_kWh]]/PharmaProduction[[#This Row],[Actual_Units]]</f>
        <v>0.48632985461108186</v>
      </c>
      <c r="AB153" s="12">
        <f>PharmaProduction[[#This Row],[Run_Hours]]+PharmaProduction[[#This Row],[Downtime_hr]]</f>
        <v>7.72</v>
      </c>
    </row>
    <row r="154" spans="1:28" x14ac:dyDescent="0.25">
      <c r="A154" s="9">
        <v>150</v>
      </c>
      <c r="B154" s="8">
        <v>46097</v>
      </c>
      <c r="C154" s="9" t="s">
        <v>35</v>
      </c>
      <c r="D154" s="9" t="s">
        <v>36</v>
      </c>
      <c r="E154" s="9" t="s">
        <v>32</v>
      </c>
      <c r="F154" s="9">
        <v>9357</v>
      </c>
      <c r="G154" s="9">
        <v>5887</v>
      </c>
      <c r="H154" s="9">
        <v>5835.1</v>
      </c>
      <c r="I154" s="9">
        <v>51.9</v>
      </c>
      <c r="J154" s="9">
        <v>5961.7</v>
      </c>
      <c r="K154" s="9">
        <v>3.02</v>
      </c>
      <c r="L154" s="9" t="s">
        <v>48</v>
      </c>
      <c r="M154" s="9" t="s">
        <v>34</v>
      </c>
      <c r="N154" s="9" t="s">
        <v>33</v>
      </c>
      <c r="O154" s="9">
        <v>0</v>
      </c>
      <c r="P154" s="9">
        <v>40.6</v>
      </c>
      <c r="Q154" s="9">
        <v>3331.4</v>
      </c>
      <c r="R154" s="9">
        <v>7.8</v>
      </c>
      <c r="S154" s="10">
        <f>PharmaProduction[[#This Row],[Actual_Units]]/PharmaProduction[[#This Row],[Planned_Units]]</f>
        <v>0.62915464358234474</v>
      </c>
      <c r="T154" s="10">
        <f>(8-PharmaProduction[[#This Row],[Downtime_hr]])/8</f>
        <v>0.62250000000000005</v>
      </c>
      <c r="U154" s="10">
        <f>((PharmaProduction[[#This Row],[Actual_Units]]/(8-PharmaProduction[[#This Row],[Downtime_hr]]))*8)/(PharmaProduction[[#This Row],[Planned_Units]])</f>
        <v>1.0106901904937264</v>
      </c>
      <c r="V154" s="10">
        <f>PharmaProduction[[#This Row],[Good_Units]]/PharmaProduction[[#This Row],[Actual_Units]]</f>
        <v>0.99118396466791236</v>
      </c>
      <c r="W154" s="10">
        <f>PharmaProduction[[#This Row],[Availability_%]]*PharmaProduction[[#This Row],[Performance_%]]*PharmaProduction[[#This Row],[Quality_%]]</f>
        <v>0.62360799401517575</v>
      </c>
      <c r="X154" s="10">
        <f>PharmaProduction[[#This Row],[Good_Units]]/PharmaProduction[[#This Row],[Planned_Units]]</f>
        <v>0.62360799401517586</v>
      </c>
      <c r="Y154" s="10">
        <f>PharmaProduction[[#This Row],[Rejected_Units]]/PharmaProduction[[#This Row],[Actual_Units]]</f>
        <v>8.8160353320876506E-3</v>
      </c>
      <c r="Z154" s="11">
        <f>PharmaProduction[[#This Row],[Actual_Units]]/PharmaProduction[[#This Row],[Labor_Hours]]</f>
        <v>145</v>
      </c>
      <c r="AA154" s="12">
        <f>PharmaProduction[[#This Row],[Energy_kWh]]/PharmaProduction[[#This Row],[Actual_Units]]</f>
        <v>0.56589094615253954</v>
      </c>
      <c r="AB154" s="12">
        <f>PharmaProduction[[#This Row],[Run_Hours]]+PharmaProduction[[#This Row],[Downtime_hr]]</f>
        <v>10.82</v>
      </c>
    </row>
    <row r="155" spans="1:28" x14ac:dyDescent="0.25">
      <c r="A155" s="9">
        <v>151</v>
      </c>
      <c r="B155" s="8">
        <v>46098</v>
      </c>
      <c r="C155" s="9" t="s">
        <v>30</v>
      </c>
      <c r="D155" s="9" t="s">
        <v>31</v>
      </c>
      <c r="E155" s="9" t="s">
        <v>39</v>
      </c>
      <c r="F155" s="9">
        <v>9218</v>
      </c>
      <c r="G155" s="9">
        <v>7165.7</v>
      </c>
      <c r="H155" s="9">
        <v>7015.8</v>
      </c>
      <c r="I155" s="9">
        <v>149.9</v>
      </c>
      <c r="J155" s="9">
        <v>7193.8</v>
      </c>
      <c r="K155" s="9">
        <v>1.34</v>
      </c>
      <c r="L155" s="9" t="s">
        <v>33</v>
      </c>
      <c r="M155" s="9" t="s">
        <v>34</v>
      </c>
      <c r="N155" s="9" t="s">
        <v>33</v>
      </c>
      <c r="O155" s="9">
        <v>0</v>
      </c>
      <c r="P155" s="9">
        <v>43.1</v>
      </c>
      <c r="Q155" s="9">
        <v>3540.5</v>
      </c>
      <c r="R155" s="9">
        <v>6.63</v>
      </c>
      <c r="S155" s="10">
        <f>PharmaProduction[[#This Row],[Actual_Units]]/PharmaProduction[[#This Row],[Planned_Units]]</f>
        <v>0.77735951399435887</v>
      </c>
      <c r="T155" s="10">
        <f>(8-PharmaProduction[[#This Row],[Downtime_hr]])/8</f>
        <v>0.83250000000000002</v>
      </c>
      <c r="U155" s="10">
        <f>((PharmaProduction[[#This Row],[Actual_Units]]/(8-PharmaProduction[[#This Row],[Downtime_hr]]))*8)/(PharmaProduction[[#This Row],[Planned_Units]])</f>
        <v>0.93376518197520575</v>
      </c>
      <c r="V155" s="10">
        <f>PharmaProduction[[#This Row],[Good_Units]]/PharmaProduction[[#This Row],[Actual_Units]]</f>
        <v>0.97908089928408948</v>
      </c>
      <c r="W155" s="10">
        <f>PharmaProduction[[#This Row],[Availability_%]]*PharmaProduction[[#This Row],[Performance_%]]*PharmaProduction[[#This Row],[Quality_%]]</f>
        <v>0.76109785202863955</v>
      </c>
      <c r="X155" s="10">
        <f>PharmaProduction[[#This Row],[Good_Units]]/PharmaProduction[[#This Row],[Planned_Units]]</f>
        <v>0.76109785202863967</v>
      </c>
      <c r="Y155" s="10">
        <f>PharmaProduction[[#This Row],[Rejected_Units]]/PharmaProduction[[#This Row],[Actual_Units]]</f>
        <v>2.0919100715910518E-2</v>
      </c>
      <c r="Z155" s="11">
        <f>PharmaProduction[[#This Row],[Actual_Units]]/PharmaProduction[[#This Row],[Labor_Hours]]</f>
        <v>166.25754060324826</v>
      </c>
      <c r="AA155" s="12">
        <f>PharmaProduction[[#This Row],[Energy_kWh]]/PharmaProduction[[#This Row],[Actual_Units]]</f>
        <v>0.49408990049820672</v>
      </c>
      <c r="AB155" s="12">
        <f>PharmaProduction[[#This Row],[Run_Hours]]+PharmaProduction[[#This Row],[Downtime_hr]]</f>
        <v>7.97</v>
      </c>
    </row>
    <row r="156" spans="1:28" x14ac:dyDescent="0.25">
      <c r="A156" s="9">
        <v>152</v>
      </c>
      <c r="B156" s="8">
        <v>46098</v>
      </c>
      <c r="C156" s="9" t="s">
        <v>35</v>
      </c>
      <c r="D156" s="9" t="s">
        <v>36</v>
      </c>
      <c r="E156" s="9" t="s">
        <v>39</v>
      </c>
      <c r="F156" s="9">
        <v>10554</v>
      </c>
      <c r="G156" s="9">
        <v>8504.2000000000007</v>
      </c>
      <c r="H156" s="9">
        <v>8285.5</v>
      </c>
      <c r="I156" s="9">
        <v>218.6</v>
      </c>
      <c r="J156" s="9">
        <v>8639.2999999999993</v>
      </c>
      <c r="K156" s="9">
        <v>0.9</v>
      </c>
      <c r="L156" s="9" t="s">
        <v>33</v>
      </c>
      <c r="M156" s="9" t="s">
        <v>34</v>
      </c>
      <c r="N156" s="9" t="s">
        <v>33</v>
      </c>
      <c r="O156" s="9">
        <v>0</v>
      </c>
      <c r="P156" s="9">
        <v>50.7</v>
      </c>
      <c r="Q156" s="9">
        <v>4420.6000000000004</v>
      </c>
      <c r="R156" s="9">
        <v>7.31</v>
      </c>
      <c r="S156" s="10">
        <f>PharmaProduction[[#This Row],[Actual_Units]]/PharmaProduction[[#This Row],[Planned_Units]]</f>
        <v>0.80577979912829267</v>
      </c>
      <c r="T156" s="10">
        <f>(8-PharmaProduction[[#This Row],[Downtime_hr]])/8</f>
        <v>0.88749999999999996</v>
      </c>
      <c r="U156" s="10">
        <f>((PharmaProduction[[#This Row],[Actual_Units]]/(8-PharmaProduction[[#This Row],[Downtime_hr]]))*8)/(PharmaProduction[[#This Row],[Planned_Units]])</f>
        <v>0.90792090042624529</v>
      </c>
      <c r="V156" s="10">
        <f>PharmaProduction[[#This Row],[Good_Units]]/PharmaProduction[[#This Row],[Actual_Units]]</f>
        <v>0.97428329531290414</v>
      </c>
      <c r="W156" s="10">
        <f>PharmaProduction[[#This Row],[Availability_%]]*PharmaProduction[[#This Row],[Performance_%]]*PharmaProduction[[#This Row],[Quality_%]]</f>
        <v>0.78505779799128295</v>
      </c>
      <c r="X156" s="10">
        <f>PharmaProduction[[#This Row],[Good_Units]]/PharmaProduction[[#This Row],[Planned_Units]]</f>
        <v>0.78505779799128295</v>
      </c>
      <c r="Y156" s="10">
        <f>PharmaProduction[[#This Row],[Rejected_Units]]/PharmaProduction[[#This Row],[Actual_Units]]</f>
        <v>2.5704945791491261E-2</v>
      </c>
      <c r="Z156" s="11">
        <f>PharmaProduction[[#This Row],[Actual_Units]]/PharmaProduction[[#This Row],[Labor_Hours]]</f>
        <v>167.73570019723866</v>
      </c>
      <c r="AA156" s="12">
        <f>PharmaProduction[[#This Row],[Energy_kWh]]/PharmaProduction[[#This Row],[Actual_Units]]</f>
        <v>0.51981373909362427</v>
      </c>
      <c r="AB156" s="12">
        <f>PharmaProduction[[#This Row],[Run_Hours]]+PharmaProduction[[#This Row],[Downtime_hr]]</f>
        <v>8.2099999999999991</v>
      </c>
    </row>
    <row r="157" spans="1:28" x14ac:dyDescent="0.25">
      <c r="A157" s="9">
        <v>153</v>
      </c>
      <c r="B157" s="8">
        <v>46099</v>
      </c>
      <c r="C157" s="9" t="s">
        <v>30</v>
      </c>
      <c r="D157" s="9" t="s">
        <v>36</v>
      </c>
      <c r="E157" s="9" t="s">
        <v>39</v>
      </c>
      <c r="F157" s="9">
        <v>10108</v>
      </c>
      <c r="G157" s="9">
        <v>7819.1</v>
      </c>
      <c r="H157" s="9">
        <v>7741.4</v>
      </c>
      <c r="I157" s="9">
        <v>77.8</v>
      </c>
      <c r="J157" s="9">
        <v>7948.7</v>
      </c>
      <c r="K157" s="9">
        <v>1.1299999999999999</v>
      </c>
      <c r="L157" s="9" t="s">
        <v>33</v>
      </c>
      <c r="M157" s="9" t="s">
        <v>34</v>
      </c>
      <c r="N157" s="9" t="s">
        <v>33</v>
      </c>
      <c r="O157" s="9">
        <v>0</v>
      </c>
      <c r="P157" s="9">
        <v>39.5</v>
      </c>
      <c r="Q157" s="9">
        <v>3872.3</v>
      </c>
      <c r="R157" s="9">
        <v>6.56</v>
      </c>
      <c r="S157" s="10">
        <f>PharmaProduction[[#This Row],[Actual_Units]]/PharmaProduction[[#This Row],[Planned_Units]]</f>
        <v>0.77355559952512865</v>
      </c>
      <c r="T157" s="10">
        <f>(8-PharmaProduction[[#This Row],[Downtime_hr]])/8</f>
        <v>0.85875000000000001</v>
      </c>
      <c r="U157" s="10">
        <f>((PharmaProduction[[#This Row],[Actual_Units]]/(8-PharmaProduction[[#This Row],[Downtime_hr]]))*8)/(PharmaProduction[[#This Row],[Planned_Units]])</f>
        <v>0.90079254675415266</v>
      </c>
      <c r="V157" s="10">
        <f>PharmaProduction[[#This Row],[Good_Units]]/PharmaProduction[[#This Row],[Actual_Units]]</f>
        <v>0.9900627949508255</v>
      </c>
      <c r="W157" s="10">
        <f>PharmaProduction[[#This Row],[Availability_%]]*PharmaProduction[[#This Row],[Performance_%]]*PharmaProduction[[#This Row],[Quality_%]]</f>
        <v>0.76586861891571034</v>
      </c>
      <c r="X157" s="10">
        <f>PharmaProduction[[#This Row],[Good_Units]]/PharmaProduction[[#This Row],[Planned_Units]]</f>
        <v>0.76586861891571034</v>
      </c>
      <c r="Y157" s="10">
        <f>PharmaProduction[[#This Row],[Rejected_Units]]/PharmaProduction[[#This Row],[Actual_Units]]</f>
        <v>9.94999424486194E-3</v>
      </c>
      <c r="Z157" s="11">
        <f>PharmaProduction[[#This Row],[Actual_Units]]/PharmaProduction[[#This Row],[Labor_Hours]]</f>
        <v>197.95189873417723</v>
      </c>
      <c r="AA157" s="12">
        <f>PharmaProduction[[#This Row],[Energy_kWh]]/PharmaProduction[[#This Row],[Actual_Units]]</f>
        <v>0.49523602460641253</v>
      </c>
      <c r="AB157" s="12">
        <f>PharmaProduction[[#This Row],[Run_Hours]]+PharmaProduction[[#This Row],[Downtime_hr]]</f>
        <v>7.6899999999999995</v>
      </c>
    </row>
    <row r="158" spans="1:28" x14ac:dyDescent="0.25">
      <c r="A158" s="9">
        <v>154</v>
      </c>
      <c r="B158" s="8">
        <v>46099</v>
      </c>
      <c r="C158" s="9" t="s">
        <v>35</v>
      </c>
      <c r="D158" s="9" t="s">
        <v>36</v>
      </c>
      <c r="E158" s="9" t="s">
        <v>32</v>
      </c>
      <c r="F158" s="9">
        <v>10244</v>
      </c>
      <c r="G158" s="9">
        <v>7084.1</v>
      </c>
      <c r="H158" s="9">
        <v>6940.6</v>
      </c>
      <c r="I158" s="9">
        <v>143.5</v>
      </c>
      <c r="J158" s="9">
        <v>7118.2</v>
      </c>
      <c r="K158" s="9">
        <v>1.94</v>
      </c>
      <c r="L158" s="9" t="s">
        <v>45</v>
      </c>
      <c r="M158" s="9" t="s">
        <v>34</v>
      </c>
      <c r="N158" s="9" t="s">
        <v>33</v>
      </c>
      <c r="O158" s="9">
        <v>0</v>
      </c>
      <c r="P158" s="9">
        <v>51.4</v>
      </c>
      <c r="Q158" s="9">
        <v>3924.8</v>
      </c>
      <c r="R158" s="9">
        <v>6.57</v>
      </c>
      <c r="S158" s="10">
        <f>PharmaProduction[[#This Row],[Actual_Units]]/PharmaProduction[[#This Row],[Planned_Units]]</f>
        <v>0.6915365091761031</v>
      </c>
      <c r="T158" s="10">
        <f>(8-PharmaProduction[[#This Row],[Downtime_hr]])/8</f>
        <v>0.75750000000000006</v>
      </c>
      <c r="U158" s="10">
        <f>((PharmaProduction[[#This Row],[Actual_Units]]/(8-PharmaProduction[[#This Row],[Downtime_hr]]))*8)/(PharmaProduction[[#This Row],[Planned_Units]])</f>
        <v>0.91291948406086221</v>
      </c>
      <c r="V158" s="10">
        <f>PharmaProduction[[#This Row],[Good_Units]]/PharmaProduction[[#This Row],[Actual_Units]]</f>
        <v>0.9797433689530074</v>
      </c>
      <c r="W158" s="10">
        <f>PharmaProduction[[#This Row],[Availability_%]]*PharmaProduction[[#This Row],[Performance_%]]*PharmaProduction[[#This Row],[Quality_%]]</f>
        <v>0.67752830925419771</v>
      </c>
      <c r="X158" s="10">
        <f>PharmaProduction[[#This Row],[Good_Units]]/PharmaProduction[[#This Row],[Planned_Units]]</f>
        <v>0.6775283092541976</v>
      </c>
      <c r="Y158" s="10">
        <f>PharmaProduction[[#This Row],[Rejected_Units]]/PharmaProduction[[#This Row],[Actual_Units]]</f>
        <v>2.025663104699256E-2</v>
      </c>
      <c r="Z158" s="11">
        <f>PharmaProduction[[#This Row],[Actual_Units]]/PharmaProduction[[#This Row],[Labor_Hours]]</f>
        <v>137.82295719844359</v>
      </c>
      <c r="AA158" s="12">
        <f>PharmaProduction[[#This Row],[Energy_kWh]]/PharmaProduction[[#This Row],[Actual_Units]]</f>
        <v>0.5540294462246439</v>
      </c>
      <c r="AB158" s="12">
        <f>PharmaProduction[[#This Row],[Run_Hours]]+PharmaProduction[[#This Row],[Downtime_hr]]</f>
        <v>8.51</v>
      </c>
    </row>
    <row r="159" spans="1:28" x14ac:dyDescent="0.25">
      <c r="A159" s="9">
        <v>155</v>
      </c>
      <c r="B159" s="8">
        <v>46100</v>
      </c>
      <c r="C159" s="9" t="s">
        <v>30</v>
      </c>
      <c r="D159" s="9" t="s">
        <v>31</v>
      </c>
      <c r="E159" s="9" t="s">
        <v>39</v>
      </c>
      <c r="F159" s="9">
        <v>11240</v>
      </c>
      <c r="G159" s="9">
        <v>7733.9</v>
      </c>
      <c r="H159" s="9">
        <v>7669.3</v>
      </c>
      <c r="I159" s="9">
        <v>64.599999999999994</v>
      </c>
      <c r="J159" s="9">
        <v>7903.2</v>
      </c>
      <c r="K159" s="9">
        <v>1.91</v>
      </c>
      <c r="L159" s="9" t="s">
        <v>40</v>
      </c>
      <c r="M159" s="9" t="s">
        <v>34</v>
      </c>
      <c r="N159" s="9" t="s">
        <v>33</v>
      </c>
      <c r="O159" s="9">
        <v>0</v>
      </c>
      <c r="P159" s="9">
        <v>34.1</v>
      </c>
      <c r="Q159" s="9">
        <v>4033.9</v>
      </c>
      <c r="R159" s="9">
        <v>7.28</v>
      </c>
      <c r="S159" s="10">
        <f>PharmaProduction[[#This Row],[Actual_Units]]/PharmaProduction[[#This Row],[Planned_Units]]</f>
        <v>0.68806939501779352</v>
      </c>
      <c r="T159" s="10">
        <f>(8-PharmaProduction[[#This Row],[Downtime_hr]])/8</f>
        <v>0.76124999999999998</v>
      </c>
      <c r="U159" s="10">
        <f>((PharmaProduction[[#This Row],[Actual_Units]]/(8-PharmaProduction[[#This Row],[Downtime_hr]]))*8)/(PharmaProduction[[#This Row],[Planned_Units]])</f>
        <v>0.90386784238790607</v>
      </c>
      <c r="V159" s="10">
        <f>PharmaProduction[[#This Row],[Good_Units]]/PharmaProduction[[#This Row],[Actual_Units]]</f>
        <v>0.9916471637854124</v>
      </c>
      <c r="W159" s="10">
        <f>PharmaProduction[[#This Row],[Availability_%]]*PharmaProduction[[#This Row],[Performance_%]]*PharmaProduction[[#This Row],[Quality_%]]</f>
        <v>0.68232206405693951</v>
      </c>
      <c r="X159" s="10">
        <f>PharmaProduction[[#This Row],[Good_Units]]/PharmaProduction[[#This Row],[Planned_Units]]</f>
        <v>0.68232206405693951</v>
      </c>
      <c r="Y159" s="10">
        <f>PharmaProduction[[#This Row],[Rejected_Units]]/PharmaProduction[[#This Row],[Actual_Units]]</f>
        <v>8.3528362145877232E-3</v>
      </c>
      <c r="Z159" s="11">
        <f>PharmaProduction[[#This Row],[Actual_Units]]/PharmaProduction[[#This Row],[Labor_Hours]]</f>
        <v>226.80058651026391</v>
      </c>
      <c r="AA159" s="12">
        <f>PharmaProduction[[#This Row],[Energy_kWh]]/PharmaProduction[[#This Row],[Actual_Units]]</f>
        <v>0.52158678027903127</v>
      </c>
      <c r="AB159" s="12">
        <f>PharmaProduction[[#This Row],[Run_Hours]]+PharmaProduction[[#This Row],[Downtime_hr]]</f>
        <v>9.19</v>
      </c>
    </row>
    <row r="160" spans="1:28" x14ac:dyDescent="0.25">
      <c r="A160" s="9">
        <v>156</v>
      </c>
      <c r="B160" s="8">
        <v>46100</v>
      </c>
      <c r="C160" s="9" t="s">
        <v>35</v>
      </c>
      <c r="D160" s="9" t="s">
        <v>38</v>
      </c>
      <c r="E160" s="9" t="s">
        <v>39</v>
      </c>
      <c r="F160" s="9">
        <v>11306</v>
      </c>
      <c r="G160" s="9">
        <v>8780.9</v>
      </c>
      <c r="H160" s="9">
        <v>8605.5</v>
      </c>
      <c r="I160" s="9">
        <v>175.4</v>
      </c>
      <c r="J160" s="9">
        <v>9039.6</v>
      </c>
      <c r="K160" s="9">
        <v>1.02</v>
      </c>
      <c r="L160" s="9" t="s">
        <v>33</v>
      </c>
      <c r="M160" s="9" t="s">
        <v>34</v>
      </c>
      <c r="N160" s="9" t="s">
        <v>33</v>
      </c>
      <c r="O160" s="9">
        <v>0</v>
      </c>
      <c r="P160" s="9">
        <v>41.1</v>
      </c>
      <c r="Q160" s="9">
        <v>5192.8999999999996</v>
      </c>
      <c r="R160" s="9">
        <v>7.78</v>
      </c>
      <c r="S160" s="10">
        <f>PharmaProduction[[#This Row],[Actual_Units]]/PharmaProduction[[#This Row],[Planned_Units]]</f>
        <v>0.77665841146294001</v>
      </c>
      <c r="T160" s="10">
        <f>(8-PharmaProduction[[#This Row],[Downtime_hr]])/8</f>
        <v>0.87250000000000005</v>
      </c>
      <c r="U160" s="10">
        <f>((PharmaProduction[[#This Row],[Actual_Units]]/(8-PharmaProduction[[#This Row],[Downtime_hr]]))*8)/(PharmaProduction[[#This Row],[Planned_Units]])</f>
        <v>0.89015290712084805</v>
      </c>
      <c r="V160" s="10">
        <f>PharmaProduction[[#This Row],[Good_Units]]/PharmaProduction[[#This Row],[Actual_Units]]</f>
        <v>0.98002482661230628</v>
      </c>
      <c r="W160" s="10">
        <f>PharmaProduction[[#This Row],[Availability_%]]*PharmaProduction[[#This Row],[Performance_%]]*PharmaProduction[[#This Row],[Quality_%]]</f>
        <v>0.76114452503095698</v>
      </c>
      <c r="X160" s="10">
        <f>PharmaProduction[[#This Row],[Good_Units]]/PharmaProduction[[#This Row],[Planned_Units]]</f>
        <v>0.76114452503095698</v>
      </c>
      <c r="Y160" s="10">
        <f>PharmaProduction[[#This Row],[Rejected_Units]]/PharmaProduction[[#This Row],[Actual_Units]]</f>
        <v>1.9975173387693747E-2</v>
      </c>
      <c r="Z160" s="11">
        <f>PharmaProduction[[#This Row],[Actual_Units]]/PharmaProduction[[#This Row],[Labor_Hours]]</f>
        <v>213.64720194647199</v>
      </c>
      <c r="AA160" s="12">
        <f>PharmaProduction[[#This Row],[Energy_kWh]]/PharmaProduction[[#This Row],[Actual_Units]]</f>
        <v>0.59138584883098544</v>
      </c>
      <c r="AB160" s="12">
        <f>PharmaProduction[[#This Row],[Run_Hours]]+PharmaProduction[[#This Row],[Downtime_hr]]</f>
        <v>8.8000000000000007</v>
      </c>
    </row>
    <row r="161" spans="1:28" x14ac:dyDescent="0.25">
      <c r="A161" s="9">
        <v>157</v>
      </c>
      <c r="B161" s="8">
        <v>46101</v>
      </c>
      <c r="C161" s="9" t="s">
        <v>30</v>
      </c>
      <c r="D161" s="9" t="s">
        <v>36</v>
      </c>
      <c r="E161" s="9" t="s">
        <v>32</v>
      </c>
      <c r="F161" s="9">
        <v>9444</v>
      </c>
      <c r="G161" s="9">
        <v>6458.1</v>
      </c>
      <c r="H161" s="9">
        <v>6398.2</v>
      </c>
      <c r="I161" s="9">
        <v>59.9</v>
      </c>
      <c r="J161" s="9">
        <v>6564.8</v>
      </c>
      <c r="K161" s="9">
        <v>2.48</v>
      </c>
      <c r="L161" s="9" t="s">
        <v>33</v>
      </c>
      <c r="M161" s="9" t="s">
        <v>34</v>
      </c>
      <c r="N161" s="9" t="s">
        <v>37</v>
      </c>
      <c r="O161" s="9">
        <v>287.44</v>
      </c>
      <c r="P161" s="9">
        <v>40.299999999999997</v>
      </c>
      <c r="Q161" s="9">
        <v>3225.8</v>
      </c>
      <c r="R161" s="9">
        <v>6.95</v>
      </c>
      <c r="S161" s="10">
        <f>PharmaProduction[[#This Row],[Actual_Units]]/PharmaProduction[[#This Row],[Planned_Units]]</f>
        <v>0.68383100381194417</v>
      </c>
      <c r="T161" s="10">
        <f>(8-PharmaProduction[[#This Row],[Downtime_hr]])/8</f>
        <v>0.69</v>
      </c>
      <c r="U161" s="10">
        <f>((PharmaProduction[[#This Row],[Actual_Units]]/(8-PharmaProduction[[#This Row],[Downtime_hr]]))*8)/(PharmaProduction[[#This Row],[Planned_Units]])</f>
        <v>0.99105942581441187</v>
      </c>
      <c r="V161" s="10">
        <f>PharmaProduction[[#This Row],[Good_Units]]/PharmaProduction[[#This Row],[Actual_Units]]</f>
        <v>0.99072482618726865</v>
      </c>
      <c r="W161" s="10">
        <f>PharmaProduction[[#This Row],[Availability_%]]*PharmaProduction[[#This Row],[Performance_%]]*PharmaProduction[[#This Row],[Quality_%]]</f>
        <v>0.67748835239305383</v>
      </c>
      <c r="X161" s="10">
        <f>PharmaProduction[[#This Row],[Good_Units]]/PharmaProduction[[#This Row],[Planned_Units]]</f>
        <v>0.67748835239305372</v>
      </c>
      <c r="Y161" s="10">
        <f>PharmaProduction[[#This Row],[Rejected_Units]]/PharmaProduction[[#This Row],[Actual_Units]]</f>
        <v>9.2751738127312983E-3</v>
      </c>
      <c r="Z161" s="11">
        <f>PharmaProduction[[#This Row],[Actual_Units]]/PharmaProduction[[#This Row],[Labor_Hours]]</f>
        <v>160.25062034739457</v>
      </c>
      <c r="AA161" s="12">
        <f>PharmaProduction[[#This Row],[Energy_kWh]]/PharmaProduction[[#This Row],[Actual_Units]]</f>
        <v>0.49949675601183008</v>
      </c>
      <c r="AB161" s="12">
        <f>PharmaProduction[[#This Row],[Run_Hours]]+PharmaProduction[[#This Row],[Downtime_hr]]</f>
        <v>9.43</v>
      </c>
    </row>
    <row r="162" spans="1:28" x14ac:dyDescent="0.25">
      <c r="A162" s="9">
        <v>158</v>
      </c>
      <c r="B162" s="8">
        <v>46101</v>
      </c>
      <c r="C162" s="9" t="s">
        <v>35</v>
      </c>
      <c r="D162" s="9" t="s">
        <v>38</v>
      </c>
      <c r="E162" s="9" t="s">
        <v>32</v>
      </c>
      <c r="F162" s="9">
        <v>11774</v>
      </c>
      <c r="G162" s="9">
        <v>9088.4</v>
      </c>
      <c r="H162" s="9">
        <v>8854.9</v>
      </c>
      <c r="I162" s="9">
        <v>233.5</v>
      </c>
      <c r="J162" s="9">
        <v>9139.7000000000007</v>
      </c>
      <c r="K162" s="9">
        <v>1.22</v>
      </c>
      <c r="L162" s="9" t="s">
        <v>33</v>
      </c>
      <c r="M162" s="9" t="s">
        <v>34</v>
      </c>
      <c r="N162" s="9" t="s">
        <v>44</v>
      </c>
      <c r="O162" s="9">
        <v>863.31</v>
      </c>
      <c r="P162" s="9">
        <v>35.200000000000003</v>
      </c>
      <c r="Q162" s="9">
        <v>4863.8999999999996</v>
      </c>
      <c r="R162" s="9">
        <v>7.31</v>
      </c>
      <c r="S162" s="10">
        <f>PharmaProduction[[#This Row],[Actual_Units]]/PharmaProduction[[#This Row],[Planned_Units]]</f>
        <v>0.77190419568540847</v>
      </c>
      <c r="T162" s="10">
        <f>(8-PharmaProduction[[#This Row],[Downtime_hr]])/8</f>
        <v>0.84750000000000003</v>
      </c>
      <c r="U162" s="10">
        <f>((PharmaProduction[[#This Row],[Actual_Units]]/(8-PharmaProduction[[#This Row],[Downtime_hr]]))*8)/(PharmaProduction[[#This Row],[Planned_Units]])</f>
        <v>0.91080141083824007</v>
      </c>
      <c r="V162" s="10">
        <f>PharmaProduction[[#This Row],[Good_Units]]/PharmaProduction[[#This Row],[Actual_Units]]</f>
        <v>0.97430790898287922</v>
      </c>
      <c r="W162" s="10">
        <f>PharmaProduction[[#This Row],[Availability_%]]*PharmaProduction[[#This Row],[Performance_%]]*PharmaProduction[[#This Row],[Quality_%]]</f>
        <v>0.75207236283336154</v>
      </c>
      <c r="X162" s="10">
        <f>PharmaProduction[[#This Row],[Good_Units]]/PharmaProduction[[#This Row],[Planned_Units]]</f>
        <v>0.75207236283336165</v>
      </c>
      <c r="Y162" s="10">
        <f>PharmaProduction[[#This Row],[Rejected_Units]]/PharmaProduction[[#This Row],[Actual_Units]]</f>
        <v>2.5692091017120725E-2</v>
      </c>
      <c r="Z162" s="11">
        <f>PharmaProduction[[#This Row],[Actual_Units]]/PharmaProduction[[#This Row],[Labor_Hours]]</f>
        <v>258.19318181818181</v>
      </c>
      <c r="AA162" s="12">
        <f>PharmaProduction[[#This Row],[Energy_kWh]]/PharmaProduction[[#This Row],[Actual_Units]]</f>
        <v>0.53517670877162093</v>
      </c>
      <c r="AB162" s="12">
        <f>PharmaProduction[[#This Row],[Run_Hours]]+PharmaProduction[[#This Row],[Downtime_hr]]</f>
        <v>8.5299999999999994</v>
      </c>
    </row>
    <row r="163" spans="1:28" x14ac:dyDescent="0.25">
      <c r="A163" s="9">
        <v>159</v>
      </c>
      <c r="B163" s="8">
        <v>46102</v>
      </c>
      <c r="C163" s="9" t="s">
        <v>30</v>
      </c>
      <c r="D163" s="9" t="s">
        <v>36</v>
      </c>
      <c r="E163" s="9" t="s">
        <v>32</v>
      </c>
      <c r="F163" s="9">
        <v>10029</v>
      </c>
      <c r="G163" s="9">
        <v>7134.8</v>
      </c>
      <c r="H163" s="9">
        <v>7056.2</v>
      </c>
      <c r="I163" s="9">
        <v>78.599999999999994</v>
      </c>
      <c r="J163" s="9">
        <v>7171.7</v>
      </c>
      <c r="K163" s="9">
        <v>1.92</v>
      </c>
      <c r="L163" s="9" t="s">
        <v>33</v>
      </c>
      <c r="M163" s="9" t="s">
        <v>34</v>
      </c>
      <c r="N163" s="9" t="s">
        <v>33</v>
      </c>
      <c r="O163" s="9">
        <v>0</v>
      </c>
      <c r="P163" s="9">
        <v>38.200000000000003</v>
      </c>
      <c r="Q163" s="9">
        <v>3323.6</v>
      </c>
      <c r="R163" s="9">
        <v>7.55</v>
      </c>
      <c r="S163" s="10">
        <f>PharmaProduction[[#This Row],[Actual_Units]]/PharmaProduction[[#This Row],[Planned_Units]]</f>
        <v>0.71141689101605343</v>
      </c>
      <c r="T163" s="10">
        <f>(8-PharmaProduction[[#This Row],[Downtime_hr]])/8</f>
        <v>0.76</v>
      </c>
      <c r="U163" s="10">
        <f>((PharmaProduction[[#This Row],[Actual_Units]]/(8-PharmaProduction[[#This Row],[Downtime_hr]]))*8)/(PharmaProduction[[#This Row],[Planned_Units]])</f>
        <v>0.93607485660007028</v>
      </c>
      <c r="V163" s="10">
        <f>PharmaProduction[[#This Row],[Good_Units]]/PharmaProduction[[#This Row],[Actual_Units]]</f>
        <v>0.98898357347087507</v>
      </c>
      <c r="W163" s="10">
        <f>PharmaProduction[[#This Row],[Availability_%]]*PharmaProduction[[#This Row],[Performance_%]]*PharmaProduction[[#This Row],[Quality_%]]</f>
        <v>0.70357961910459665</v>
      </c>
      <c r="X163" s="10">
        <f>PharmaProduction[[#This Row],[Good_Units]]/PharmaProduction[[#This Row],[Planned_Units]]</f>
        <v>0.70357961910459665</v>
      </c>
      <c r="Y163" s="10">
        <f>PharmaProduction[[#This Row],[Rejected_Units]]/PharmaProduction[[#This Row],[Actual_Units]]</f>
        <v>1.1016426529124853E-2</v>
      </c>
      <c r="Z163" s="11">
        <f>PharmaProduction[[#This Row],[Actual_Units]]/PharmaProduction[[#This Row],[Labor_Hours]]</f>
        <v>186.77486910994764</v>
      </c>
      <c r="AA163" s="12">
        <f>PharmaProduction[[#This Row],[Energy_kWh]]/PharmaProduction[[#This Row],[Actual_Units]]</f>
        <v>0.46582945562594602</v>
      </c>
      <c r="AB163" s="12">
        <f>PharmaProduction[[#This Row],[Run_Hours]]+PharmaProduction[[#This Row],[Downtime_hr]]</f>
        <v>9.4699999999999989</v>
      </c>
    </row>
    <row r="164" spans="1:28" x14ac:dyDescent="0.25">
      <c r="A164" s="9">
        <v>160</v>
      </c>
      <c r="B164" s="8">
        <v>46102</v>
      </c>
      <c r="C164" s="9" t="s">
        <v>35</v>
      </c>
      <c r="D164" s="9" t="s">
        <v>36</v>
      </c>
      <c r="E164" s="9" t="s">
        <v>42</v>
      </c>
      <c r="F164" s="9">
        <v>11820</v>
      </c>
      <c r="G164" s="9">
        <v>7474.2</v>
      </c>
      <c r="H164" s="9">
        <v>7353.5</v>
      </c>
      <c r="I164" s="9">
        <v>120.7</v>
      </c>
      <c r="J164" s="9">
        <v>7590.4</v>
      </c>
      <c r="K164" s="9">
        <v>3.66</v>
      </c>
      <c r="L164" s="9" t="s">
        <v>48</v>
      </c>
      <c r="M164" s="9" t="s">
        <v>34</v>
      </c>
      <c r="N164" s="9" t="s">
        <v>33</v>
      </c>
      <c r="O164" s="9">
        <v>0</v>
      </c>
      <c r="P164" s="9">
        <v>44.6</v>
      </c>
      <c r="Q164" s="9">
        <v>4031.2</v>
      </c>
      <c r="R164" s="9">
        <v>6.69</v>
      </c>
      <c r="S164" s="10">
        <f>PharmaProduction[[#This Row],[Actual_Units]]/PharmaProduction[[#This Row],[Planned_Units]]</f>
        <v>0.63233502538071062</v>
      </c>
      <c r="T164" s="10">
        <f>(8-PharmaProduction[[#This Row],[Downtime_hr]])/8</f>
        <v>0.54249999999999998</v>
      </c>
      <c r="U164" s="10">
        <f>((PharmaProduction[[#This Row],[Actual_Units]]/(8-PharmaProduction[[#This Row],[Downtime_hr]]))*8)/(PharmaProduction[[#This Row],[Planned_Units]])</f>
        <v>1.1655945168308031</v>
      </c>
      <c r="V164" s="10">
        <f>PharmaProduction[[#This Row],[Good_Units]]/PharmaProduction[[#This Row],[Actual_Units]]</f>
        <v>0.98385111450054863</v>
      </c>
      <c r="W164" s="10">
        <f>PharmaProduction[[#This Row],[Availability_%]]*PharmaProduction[[#This Row],[Performance_%]]*PharmaProduction[[#This Row],[Quality_%]]</f>
        <v>0.62212351945854483</v>
      </c>
      <c r="X164" s="10">
        <f>PharmaProduction[[#This Row],[Good_Units]]/PharmaProduction[[#This Row],[Planned_Units]]</f>
        <v>0.62212351945854483</v>
      </c>
      <c r="Y164" s="10">
        <f>PharmaProduction[[#This Row],[Rejected_Units]]/PharmaProduction[[#This Row],[Actual_Units]]</f>
        <v>1.6148885499451447E-2</v>
      </c>
      <c r="Z164" s="11">
        <f>PharmaProduction[[#This Row],[Actual_Units]]/PharmaProduction[[#This Row],[Labor_Hours]]</f>
        <v>167.5829596412556</v>
      </c>
      <c r="AA164" s="12">
        <f>PharmaProduction[[#This Row],[Energy_kWh]]/PharmaProduction[[#This Row],[Actual_Units]]</f>
        <v>0.53934869283669151</v>
      </c>
      <c r="AB164" s="12">
        <f>PharmaProduction[[#This Row],[Run_Hours]]+PharmaProduction[[#This Row],[Downtime_hr]]</f>
        <v>10.350000000000001</v>
      </c>
    </row>
    <row r="165" spans="1:28" x14ac:dyDescent="0.25">
      <c r="A165" s="9">
        <v>161</v>
      </c>
      <c r="B165" s="8">
        <v>46103</v>
      </c>
      <c r="C165" s="9" t="s">
        <v>30</v>
      </c>
      <c r="D165" s="9" t="s">
        <v>38</v>
      </c>
      <c r="E165" s="9" t="s">
        <v>32</v>
      </c>
      <c r="F165" s="9">
        <v>10649</v>
      </c>
      <c r="G165" s="9">
        <v>8255.1</v>
      </c>
      <c r="H165" s="9">
        <v>8173.9</v>
      </c>
      <c r="I165" s="9">
        <v>81.2</v>
      </c>
      <c r="J165" s="9">
        <v>8323.9</v>
      </c>
      <c r="K165" s="9">
        <v>1.29</v>
      </c>
      <c r="L165" s="9" t="s">
        <v>45</v>
      </c>
      <c r="M165" s="9" t="s">
        <v>34</v>
      </c>
      <c r="N165" s="9" t="s">
        <v>33</v>
      </c>
      <c r="O165" s="9">
        <v>0</v>
      </c>
      <c r="P165" s="9">
        <v>42.6</v>
      </c>
      <c r="Q165" s="9">
        <v>4321.2</v>
      </c>
      <c r="R165" s="9">
        <v>8</v>
      </c>
      <c r="S165" s="10">
        <f>PharmaProduction[[#This Row],[Actual_Units]]/PharmaProduction[[#This Row],[Planned_Units]]</f>
        <v>0.77519954925345103</v>
      </c>
      <c r="T165" s="10">
        <f>(8-PharmaProduction[[#This Row],[Downtime_hr]])/8</f>
        <v>0.83875</v>
      </c>
      <c r="U165" s="10">
        <f>((PharmaProduction[[#This Row],[Actual_Units]]/(8-PharmaProduction[[#This Row],[Downtime_hr]]))*8)/(PharmaProduction[[#This Row],[Planned_Units]])</f>
        <v>0.92423195141991177</v>
      </c>
      <c r="V165" s="10">
        <f>PharmaProduction[[#This Row],[Good_Units]]/PharmaProduction[[#This Row],[Actual_Units]]</f>
        <v>0.99016365640634263</v>
      </c>
      <c r="W165" s="10">
        <f>PharmaProduction[[#This Row],[Availability_%]]*PharmaProduction[[#This Row],[Performance_%]]*PharmaProduction[[#This Row],[Quality_%]]</f>
        <v>0.76757442013334576</v>
      </c>
      <c r="X165" s="10">
        <f>PharmaProduction[[#This Row],[Good_Units]]/PharmaProduction[[#This Row],[Planned_Units]]</f>
        <v>0.76757442013334587</v>
      </c>
      <c r="Y165" s="10">
        <f>PharmaProduction[[#This Row],[Rejected_Units]]/PharmaProduction[[#This Row],[Actual_Units]]</f>
        <v>9.8363435936572544E-3</v>
      </c>
      <c r="Z165" s="11">
        <f>PharmaProduction[[#This Row],[Actual_Units]]/PharmaProduction[[#This Row],[Labor_Hours]]</f>
        <v>193.78169014084509</v>
      </c>
      <c r="AA165" s="12">
        <f>PharmaProduction[[#This Row],[Energy_kWh]]/PharmaProduction[[#This Row],[Actual_Units]]</f>
        <v>0.52345822582403601</v>
      </c>
      <c r="AB165" s="12">
        <f>PharmaProduction[[#This Row],[Run_Hours]]+PharmaProduction[[#This Row],[Downtime_hr]]</f>
        <v>9.2899999999999991</v>
      </c>
    </row>
    <row r="166" spans="1:28" x14ac:dyDescent="0.25">
      <c r="A166" s="9">
        <v>162</v>
      </c>
      <c r="B166" s="8">
        <v>46103</v>
      </c>
      <c r="C166" s="9" t="s">
        <v>35</v>
      </c>
      <c r="D166" s="9" t="s">
        <v>38</v>
      </c>
      <c r="E166" s="9" t="s">
        <v>39</v>
      </c>
      <c r="F166" s="9">
        <v>11423</v>
      </c>
      <c r="G166" s="9">
        <v>8374.5</v>
      </c>
      <c r="H166" s="9">
        <v>8260.7999999999993</v>
      </c>
      <c r="I166" s="9">
        <v>113.8</v>
      </c>
      <c r="J166" s="9">
        <v>8600.2999999999993</v>
      </c>
      <c r="K166" s="9">
        <v>1.53</v>
      </c>
      <c r="L166" s="9" t="s">
        <v>43</v>
      </c>
      <c r="M166" s="9" t="s">
        <v>34</v>
      </c>
      <c r="N166" s="9" t="s">
        <v>33</v>
      </c>
      <c r="O166" s="9">
        <v>0</v>
      </c>
      <c r="P166" s="9">
        <v>46.5</v>
      </c>
      <c r="Q166" s="9">
        <v>4407.8999999999996</v>
      </c>
      <c r="R166" s="9">
        <v>7.14</v>
      </c>
      <c r="S166" s="10">
        <f>PharmaProduction[[#This Row],[Actual_Units]]/PharmaProduction[[#This Row],[Planned_Units]]</f>
        <v>0.7331261489976364</v>
      </c>
      <c r="T166" s="10">
        <f>(8-PharmaProduction[[#This Row],[Downtime_hr]])/8</f>
        <v>0.80874999999999997</v>
      </c>
      <c r="U166" s="10">
        <f>((PharmaProduction[[#This Row],[Actual_Units]]/(8-PharmaProduction[[#This Row],[Downtime_hr]]))*8)/(PharmaProduction[[#This Row],[Planned_Units]])</f>
        <v>0.9064929199352536</v>
      </c>
      <c r="V166" s="10">
        <f>PharmaProduction[[#This Row],[Good_Units]]/PharmaProduction[[#This Row],[Actual_Units]]</f>
        <v>0.98642307003403185</v>
      </c>
      <c r="W166" s="10">
        <f>PharmaProduction[[#This Row],[Availability_%]]*PharmaProduction[[#This Row],[Performance_%]]*PharmaProduction[[#This Row],[Quality_%]]</f>
        <v>0.72317254661647545</v>
      </c>
      <c r="X166" s="10">
        <f>PharmaProduction[[#This Row],[Good_Units]]/PharmaProduction[[#This Row],[Planned_Units]]</f>
        <v>0.72317254661647545</v>
      </c>
      <c r="Y166" s="10">
        <f>PharmaProduction[[#This Row],[Rejected_Units]]/PharmaProduction[[#This Row],[Actual_Units]]</f>
        <v>1.3588870977371784E-2</v>
      </c>
      <c r="Z166" s="11">
        <f>PharmaProduction[[#This Row],[Actual_Units]]/PharmaProduction[[#This Row],[Labor_Hours]]</f>
        <v>180.09677419354838</v>
      </c>
      <c r="AA166" s="12">
        <f>PharmaProduction[[#This Row],[Energy_kWh]]/PharmaProduction[[#This Row],[Actual_Units]]</f>
        <v>0.52634784166218873</v>
      </c>
      <c r="AB166" s="12">
        <f>PharmaProduction[[#This Row],[Run_Hours]]+PharmaProduction[[#This Row],[Downtime_hr]]</f>
        <v>8.67</v>
      </c>
    </row>
    <row r="167" spans="1:28" x14ac:dyDescent="0.25">
      <c r="A167" s="9">
        <v>163</v>
      </c>
      <c r="B167" s="8">
        <v>46104</v>
      </c>
      <c r="C167" s="9" t="s">
        <v>30</v>
      </c>
      <c r="D167" s="9" t="s">
        <v>36</v>
      </c>
      <c r="E167" s="9" t="s">
        <v>32</v>
      </c>
      <c r="F167" s="9">
        <v>9956</v>
      </c>
      <c r="G167" s="9">
        <v>6400.3</v>
      </c>
      <c r="H167" s="9">
        <v>6306.4</v>
      </c>
      <c r="I167" s="9">
        <v>93.9</v>
      </c>
      <c r="J167" s="9">
        <v>6461.6</v>
      </c>
      <c r="K167" s="9">
        <v>2.61</v>
      </c>
      <c r="L167" s="9" t="s">
        <v>48</v>
      </c>
      <c r="M167" s="9" t="s">
        <v>34</v>
      </c>
      <c r="N167" s="9" t="s">
        <v>33</v>
      </c>
      <c r="O167" s="9">
        <v>0</v>
      </c>
      <c r="P167" s="9">
        <v>44.1</v>
      </c>
      <c r="Q167" s="9">
        <v>3229.7</v>
      </c>
      <c r="R167" s="9">
        <v>6.71</v>
      </c>
      <c r="S167" s="10">
        <f>PharmaProduction[[#This Row],[Actual_Units]]/PharmaProduction[[#This Row],[Planned_Units]]</f>
        <v>0.64285857774206512</v>
      </c>
      <c r="T167" s="10">
        <f>(8-PharmaProduction[[#This Row],[Downtime_hr]])/8</f>
        <v>0.67375000000000007</v>
      </c>
      <c r="U167" s="10">
        <f>((PharmaProduction[[#This Row],[Actual_Units]]/(8-PharmaProduction[[#This Row],[Downtime_hr]]))*8)/(PharmaProduction[[#This Row],[Planned_Units]])</f>
        <v>0.95415002262273108</v>
      </c>
      <c r="V167" s="10">
        <f>PharmaProduction[[#This Row],[Good_Units]]/PharmaProduction[[#This Row],[Actual_Units]]</f>
        <v>0.98532881271190409</v>
      </c>
      <c r="W167" s="10">
        <f>PharmaProduction[[#This Row],[Availability_%]]*PharmaProduction[[#This Row],[Performance_%]]*PharmaProduction[[#This Row],[Quality_%]]</f>
        <v>0.63342707914825236</v>
      </c>
      <c r="X167" s="10">
        <f>PharmaProduction[[#This Row],[Good_Units]]/PharmaProduction[[#This Row],[Planned_Units]]</f>
        <v>0.63342707914825225</v>
      </c>
      <c r="Y167" s="10">
        <f>PharmaProduction[[#This Row],[Rejected_Units]]/PharmaProduction[[#This Row],[Actual_Units]]</f>
        <v>1.4671187288095871E-2</v>
      </c>
      <c r="Z167" s="11">
        <f>PharmaProduction[[#This Row],[Actual_Units]]/PharmaProduction[[#This Row],[Labor_Hours]]</f>
        <v>145.13151927437642</v>
      </c>
      <c r="AA167" s="12">
        <f>PharmaProduction[[#This Row],[Energy_kWh]]/PharmaProduction[[#This Row],[Actual_Units]]</f>
        <v>0.50461697107948056</v>
      </c>
      <c r="AB167" s="12">
        <f>PharmaProduction[[#This Row],[Run_Hours]]+PharmaProduction[[#This Row],[Downtime_hr]]</f>
        <v>9.32</v>
      </c>
    </row>
    <row r="168" spans="1:28" x14ac:dyDescent="0.25">
      <c r="A168" s="9">
        <v>164</v>
      </c>
      <c r="B168" s="8">
        <v>46104</v>
      </c>
      <c r="C168" s="9" t="s">
        <v>35</v>
      </c>
      <c r="D168" s="9" t="s">
        <v>36</v>
      </c>
      <c r="E168" s="9" t="s">
        <v>39</v>
      </c>
      <c r="F168" s="9">
        <v>11196</v>
      </c>
      <c r="G168" s="9">
        <v>7798</v>
      </c>
      <c r="H168" s="9">
        <v>7713.5</v>
      </c>
      <c r="I168" s="9">
        <v>84.4</v>
      </c>
      <c r="J168" s="9">
        <v>7924.9</v>
      </c>
      <c r="K168" s="9">
        <v>2.16</v>
      </c>
      <c r="L168" s="9" t="s">
        <v>33</v>
      </c>
      <c r="M168" s="9" t="s">
        <v>34</v>
      </c>
      <c r="N168" s="9" t="s">
        <v>33</v>
      </c>
      <c r="O168" s="9">
        <v>0</v>
      </c>
      <c r="P168" s="9">
        <v>47.7</v>
      </c>
      <c r="Q168" s="9">
        <v>4394.6000000000004</v>
      </c>
      <c r="R168" s="9">
        <v>7.83</v>
      </c>
      <c r="S168" s="10">
        <f>PharmaProduction[[#This Row],[Actual_Units]]/PharmaProduction[[#This Row],[Planned_Units]]</f>
        <v>0.69649874955341196</v>
      </c>
      <c r="T168" s="10">
        <f>(8-PharmaProduction[[#This Row],[Downtime_hr]])/8</f>
        <v>0.73</v>
      </c>
      <c r="U168" s="10">
        <f>((PharmaProduction[[#This Row],[Actual_Units]]/(8-PharmaProduction[[#This Row],[Downtime_hr]]))*8)/(PharmaProduction[[#This Row],[Planned_Units]])</f>
        <v>0.95410787610056436</v>
      </c>
      <c r="V168" s="10">
        <f>PharmaProduction[[#This Row],[Good_Units]]/PharmaProduction[[#This Row],[Actual_Units]]</f>
        <v>0.98916388817645551</v>
      </c>
      <c r="W168" s="10">
        <f>PharmaProduction[[#This Row],[Availability_%]]*PharmaProduction[[#This Row],[Performance_%]]*PharmaProduction[[#This Row],[Quality_%]]</f>
        <v>0.68895141121829229</v>
      </c>
      <c r="X168" s="10">
        <f>PharmaProduction[[#This Row],[Good_Units]]/PharmaProduction[[#This Row],[Planned_Units]]</f>
        <v>0.68895141121829229</v>
      </c>
      <c r="Y168" s="10">
        <f>PharmaProduction[[#This Row],[Rejected_Units]]/PharmaProduction[[#This Row],[Actual_Units]]</f>
        <v>1.0823288022569891E-2</v>
      </c>
      <c r="Z168" s="11">
        <f>PharmaProduction[[#This Row],[Actual_Units]]/PharmaProduction[[#This Row],[Labor_Hours]]</f>
        <v>163.48008385744234</v>
      </c>
      <c r="AA168" s="12">
        <f>PharmaProduction[[#This Row],[Energy_kWh]]/PharmaProduction[[#This Row],[Actual_Units]]</f>
        <v>0.56355475763016161</v>
      </c>
      <c r="AB168" s="12">
        <f>PharmaProduction[[#This Row],[Run_Hours]]+PharmaProduction[[#This Row],[Downtime_hr]]</f>
        <v>9.99</v>
      </c>
    </row>
    <row r="169" spans="1:28" x14ac:dyDescent="0.25">
      <c r="A169" s="9">
        <v>165</v>
      </c>
      <c r="B169" s="8">
        <v>46105</v>
      </c>
      <c r="C169" s="9" t="s">
        <v>30</v>
      </c>
      <c r="D169" s="9" t="s">
        <v>38</v>
      </c>
      <c r="E169" s="9" t="s">
        <v>32</v>
      </c>
      <c r="F169" s="9">
        <v>9935</v>
      </c>
      <c r="G169" s="9">
        <v>8421.1</v>
      </c>
      <c r="H169" s="9">
        <v>8272.5</v>
      </c>
      <c r="I169" s="9">
        <v>148.6</v>
      </c>
      <c r="J169" s="9">
        <v>8507</v>
      </c>
      <c r="K169" s="9">
        <v>1.1000000000000001</v>
      </c>
      <c r="L169" s="9" t="s">
        <v>33</v>
      </c>
      <c r="M169" s="9" t="s">
        <v>34</v>
      </c>
      <c r="N169" s="9" t="s">
        <v>44</v>
      </c>
      <c r="O169" s="9">
        <v>746.11</v>
      </c>
      <c r="P169" s="9">
        <v>44.6</v>
      </c>
      <c r="Q169" s="9">
        <v>3903.6</v>
      </c>
      <c r="R169" s="9">
        <v>7.6</v>
      </c>
      <c r="S169" s="10">
        <f>PharmaProduction[[#This Row],[Actual_Units]]/PharmaProduction[[#This Row],[Planned_Units]]</f>
        <v>0.84761952692501263</v>
      </c>
      <c r="T169" s="10">
        <f>(8-PharmaProduction[[#This Row],[Downtime_hr]])/8</f>
        <v>0.86250000000000004</v>
      </c>
      <c r="U169" s="10">
        <f>((PharmaProduction[[#This Row],[Actual_Units]]/(8-PharmaProduction[[#This Row],[Downtime_hr]]))*8)/(PharmaProduction[[#This Row],[Planned_Units]])</f>
        <v>0.98274727759421743</v>
      </c>
      <c r="V169" s="10">
        <f>PharmaProduction[[#This Row],[Good_Units]]/PharmaProduction[[#This Row],[Actual_Units]]</f>
        <v>0.9823538492595979</v>
      </c>
      <c r="W169" s="10">
        <f>PharmaProduction[[#This Row],[Availability_%]]*PharmaProduction[[#This Row],[Performance_%]]*PharmaProduction[[#This Row],[Quality_%]]</f>
        <v>0.83266230498238547</v>
      </c>
      <c r="X169" s="10">
        <f>PharmaProduction[[#This Row],[Good_Units]]/PharmaProduction[[#This Row],[Planned_Units]]</f>
        <v>0.83266230498238547</v>
      </c>
      <c r="Y169" s="10">
        <f>PharmaProduction[[#This Row],[Rejected_Units]]/PharmaProduction[[#This Row],[Actual_Units]]</f>
        <v>1.7646150740402083E-2</v>
      </c>
      <c r="Z169" s="11">
        <f>PharmaProduction[[#This Row],[Actual_Units]]/PharmaProduction[[#This Row],[Labor_Hours]]</f>
        <v>188.81390134529147</v>
      </c>
      <c r="AA169" s="12">
        <f>PharmaProduction[[#This Row],[Energy_kWh]]/PharmaProduction[[#This Row],[Actual_Units]]</f>
        <v>0.46354989253185447</v>
      </c>
      <c r="AB169" s="12">
        <f>PharmaProduction[[#This Row],[Run_Hours]]+PharmaProduction[[#This Row],[Downtime_hr]]</f>
        <v>8.6999999999999993</v>
      </c>
    </row>
    <row r="170" spans="1:28" x14ac:dyDescent="0.25">
      <c r="A170" s="9">
        <v>166</v>
      </c>
      <c r="B170" s="8">
        <v>46105</v>
      </c>
      <c r="C170" s="9" t="s">
        <v>35</v>
      </c>
      <c r="D170" s="9" t="s">
        <v>36</v>
      </c>
      <c r="E170" s="9" t="s">
        <v>42</v>
      </c>
      <c r="F170" s="9">
        <v>10031</v>
      </c>
      <c r="G170" s="9">
        <v>6761.8</v>
      </c>
      <c r="H170" s="9">
        <v>6618.1</v>
      </c>
      <c r="I170" s="9">
        <v>143.69999999999999</v>
      </c>
      <c r="J170" s="9">
        <v>6794.1</v>
      </c>
      <c r="K170" s="9">
        <v>1.86</v>
      </c>
      <c r="L170" s="9" t="s">
        <v>33</v>
      </c>
      <c r="M170" s="9" t="s">
        <v>34</v>
      </c>
      <c r="N170" s="9" t="s">
        <v>33</v>
      </c>
      <c r="O170" s="9">
        <v>0</v>
      </c>
      <c r="P170" s="9">
        <v>34.799999999999997</v>
      </c>
      <c r="Q170" s="9">
        <v>3427.5</v>
      </c>
      <c r="R170" s="9">
        <v>6.79</v>
      </c>
      <c r="S170" s="10">
        <f>PharmaProduction[[#This Row],[Actual_Units]]/PharmaProduction[[#This Row],[Planned_Units]]</f>
        <v>0.67409032000797531</v>
      </c>
      <c r="T170" s="10">
        <f>(8-PharmaProduction[[#This Row],[Downtime_hr]])/8</f>
        <v>0.76749999999999996</v>
      </c>
      <c r="U170" s="10">
        <f>((PharmaProduction[[#This Row],[Actual_Units]]/(8-PharmaProduction[[#This Row],[Downtime_hr]]))*8)/(PharmaProduction[[#This Row],[Planned_Units]])</f>
        <v>0.87829357655762264</v>
      </c>
      <c r="V170" s="10">
        <f>PharmaProduction[[#This Row],[Good_Units]]/PharmaProduction[[#This Row],[Actual_Units]]</f>
        <v>0.9787482622970215</v>
      </c>
      <c r="W170" s="10">
        <f>PharmaProduction[[#This Row],[Availability_%]]*PharmaProduction[[#This Row],[Performance_%]]*PharmaProduction[[#This Row],[Quality_%]]</f>
        <v>0.65976472933904895</v>
      </c>
      <c r="X170" s="10">
        <f>PharmaProduction[[#This Row],[Good_Units]]/PharmaProduction[[#This Row],[Planned_Units]]</f>
        <v>0.65976472933904895</v>
      </c>
      <c r="Y170" s="10">
        <f>PharmaProduction[[#This Row],[Rejected_Units]]/PharmaProduction[[#This Row],[Actual_Units]]</f>
        <v>2.1251737702978495E-2</v>
      </c>
      <c r="Z170" s="11">
        <f>PharmaProduction[[#This Row],[Actual_Units]]/PharmaProduction[[#This Row],[Labor_Hours]]</f>
        <v>194.30459770114945</v>
      </c>
      <c r="AA170" s="12">
        <f>PharmaProduction[[#This Row],[Energy_kWh]]/PharmaProduction[[#This Row],[Actual_Units]]</f>
        <v>0.50689165606791087</v>
      </c>
      <c r="AB170" s="12">
        <f>PharmaProduction[[#This Row],[Run_Hours]]+PharmaProduction[[#This Row],[Downtime_hr]]</f>
        <v>8.65</v>
      </c>
    </row>
    <row r="171" spans="1:28" x14ac:dyDescent="0.25">
      <c r="A171" s="9">
        <v>167</v>
      </c>
      <c r="B171" s="8">
        <v>46106</v>
      </c>
      <c r="C171" s="9" t="s">
        <v>30</v>
      </c>
      <c r="D171" s="9" t="s">
        <v>36</v>
      </c>
      <c r="E171" s="9" t="s">
        <v>39</v>
      </c>
      <c r="F171" s="9">
        <v>11551</v>
      </c>
      <c r="G171" s="9">
        <v>7397</v>
      </c>
      <c r="H171" s="9">
        <v>7296.6</v>
      </c>
      <c r="I171" s="9">
        <v>100.5</v>
      </c>
      <c r="J171" s="9">
        <v>7429.1</v>
      </c>
      <c r="K171" s="9">
        <v>3.27</v>
      </c>
      <c r="L171" s="9" t="s">
        <v>45</v>
      </c>
      <c r="M171" s="9" t="s">
        <v>34</v>
      </c>
      <c r="N171" s="9" t="s">
        <v>33</v>
      </c>
      <c r="O171" s="9">
        <v>0</v>
      </c>
      <c r="P171" s="9">
        <v>44.9</v>
      </c>
      <c r="Q171" s="9">
        <v>3748</v>
      </c>
      <c r="R171" s="9">
        <v>7.31</v>
      </c>
      <c r="S171" s="10">
        <f>PharmaProduction[[#This Row],[Actual_Units]]/PharmaProduction[[#This Row],[Planned_Units]]</f>
        <v>0.64037745649727296</v>
      </c>
      <c r="T171" s="10">
        <f>(8-PharmaProduction[[#This Row],[Downtime_hr]])/8</f>
        <v>0.59125000000000005</v>
      </c>
      <c r="U171" s="10">
        <f>((PharmaProduction[[#This Row],[Actual_Units]]/(8-PharmaProduction[[#This Row],[Downtime_hr]]))*8)/(PharmaProduction[[#This Row],[Planned_Units]])</f>
        <v>1.0830908355133579</v>
      </c>
      <c r="V171" s="10">
        <f>PharmaProduction[[#This Row],[Good_Units]]/PharmaProduction[[#This Row],[Actual_Units]]</f>
        <v>0.98642692983642022</v>
      </c>
      <c r="W171" s="10">
        <f>PharmaProduction[[#This Row],[Availability_%]]*PharmaProduction[[#This Row],[Performance_%]]*PharmaProduction[[#This Row],[Quality_%]]</f>
        <v>0.63168556834906076</v>
      </c>
      <c r="X171" s="10">
        <f>PharmaProduction[[#This Row],[Good_Units]]/PharmaProduction[[#This Row],[Planned_Units]]</f>
        <v>0.63168556834906076</v>
      </c>
      <c r="Y171" s="10">
        <f>PharmaProduction[[#This Row],[Rejected_Units]]/PharmaProduction[[#This Row],[Actual_Units]]</f>
        <v>1.3586589157766662E-2</v>
      </c>
      <c r="Z171" s="11">
        <f>PharmaProduction[[#This Row],[Actual_Units]]/PharmaProduction[[#This Row],[Labor_Hours]]</f>
        <v>164.74387527839644</v>
      </c>
      <c r="AA171" s="12">
        <f>PharmaProduction[[#This Row],[Energy_kWh]]/PharmaProduction[[#This Row],[Actual_Units]]</f>
        <v>0.50669190212248205</v>
      </c>
      <c r="AB171" s="12">
        <f>PharmaProduction[[#This Row],[Run_Hours]]+PharmaProduction[[#This Row],[Downtime_hr]]</f>
        <v>10.58</v>
      </c>
    </row>
    <row r="172" spans="1:28" x14ac:dyDescent="0.25">
      <c r="A172" s="9">
        <v>168</v>
      </c>
      <c r="B172" s="8">
        <v>46106</v>
      </c>
      <c r="C172" s="9" t="s">
        <v>35</v>
      </c>
      <c r="D172" s="9" t="s">
        <v>38</v>
      </c>
      <c r="E172" s="9" t="s">
        <v>32</v>
      </c>
      <c r="F172" s="9">
        <v>9995</v>
      </c>
      <c r="G172" s="9">
        <v>6494.5</v>
      </c>
      <c r="H172" s="9">
        <v>6388.1</v>
      </c>
      <c r="I172" s="9">
        <v>106.4</v>
      </c>
      <c r="J172" s="9">
        <v>6671</v>
      </c>
      <c r="K172" s="9">
        <v>3.3</v>
      </c>
      <c r="L172" s="9" t="s">
        <v>43</v>
      </c>
      <c r="M172" s="9" t="s">
        <v>34</v>
      </c>
      <c r="N172" s="9" t="s">
        <v>33</v>
      </c>
      <c r="O172" s="9">
        <v>0</v>
      </c>
      <c r="P172" s="9">
        <v>43</v>
      </c>
      <c r="Q172" s="9">
        <v>3565.3</v>
      </c>
      <c r="R172" s="9">
        <v>7.8</v>
      </c>
      <c r="S172" s="10">
        <f>PharmaProduction[[#This Row],[Actual_Units]]/PharmaProduction[[#This Row],[Planned_Units]]</f>
        <v>0.64977488744372192</v>
      </c>
      <c r="T172" s="10">
        <f>(8-PharmaProduction[[#This Row],[Downtime_hr]])/8</f>
        <v>0.58750000000000002</v>
      </c>
      <c r="U172" s="10">
        <f>((PharmaProduction[[#This Row],[Actual_Units]]/(8-PharmaProduction[[#This Row],[Downtime_hr]]))*8)/(PharmaProduction[[#This Row],[Planned_Units]])</f>
        <v>1.1059998084148457</v>
      </c>
      <c r="V172" s="10">
        <f>PharmaProduction[[#This Row],[Good_Units]]/PharmaProduction[[#This Row],[Actual_Units]]</f>
        <v>0.98361690661328827</v>
      </c>
      <c r="W172" s="10">
        <f>PharmaProduction[[#This Row],[Availability_%]]*PharmaProduction[[#This Row],[Performance_%]]*PharmaProduction[[#This Row],[Quality_%]]</f>
        <v>0.63912956478239136</v>
      </c>
      <c r="X172" s="10">
        <f>PharmaProduction[[#This Row],[Good_Units]]/PharmaProduction[[#This Row],[Planned_Units]]</f>
        <v>0.63912956478239125</v>
      </c>
      <c r="Y172" s="10">
        <f>PharmaProduction[[#This Row],[Rejected_Units]]/PharmaProduction[[#This Row],[Actual_Units]]</f>
        <v>1.6383093386711834E-2</v>
      </c>
      <c r="Z172" s="11">
        <f>PharmaProduction[[#This Row],[Actual_Units]]/PharmaProduction[[#This Row],[Labor_Hours]]</f>
        <v>151.03488372093022</v>
      </c>
      <c r="AA172" s="12">
        <f>PharmaProduction[[#This Row],[Energy_kWh]]/PharmaProduction[[#This Row],[Actual_Units]]</f>
        <v>0.54897220725229046</v>
      </c>
      <c r="AB172" s="12">
        <f>PharmaProduction[[#This Row],[Run_Hours]]+PharmaProduction[[#This Row],[Downtime_hr]]</f>
        <v>11.1</v>
      </c>
    </row>
    <row r="173" spans="1:28" x14ac:dyDescent="0.25">
      <c r="A173" s="9">
        <v>169</v>
      </c>
      <c r="B173" s="8">
        <v>46107</v>
      </c>
      <c r="C173" s="9" t="s">
        <v>30</v>
      </c>
      <c r="D173" s="9" t="s">
        <v>31</v>
      </c>
      <c r="E173" s="9" t="s">
        <v>39</v>
      </c>
      <c r="F173" s="9">
        <v>9544</v>
      </c>
      <c r="G173" s="9">
        <v>8344.6</v>
      </c>
      <c r="H173" s="9">
        <v>8208.2000000000007</v>
      </c>
      <c r="I173" s="9">
        <v>136.5</v>
      </c>
      <c r="J173" s="9">
        <v>8442.5</v>
      </c>
      <c r="K173" s="9">
        <v>0.27</v>
      </c>
      <c r="L173" s="9" t="s">
        <v>33</v>
      </c>
      <c r="M173" s="9" t="s">
        <v>49</v>
      </c>
      <c r="N173" s="9" t="s">
        <v>33</v>
      </c>
      <c r="O173" s="9">
        <v>0</v>
      </c>
      <c r="P173" s="9">
        <v>46.3</v>
      </c>
      <c r="Q173" s="9">
        <v>4589.8</v>
      </c>
      <c r="R173" s="9">
        <v>6.59</v>
      </c>
      <c r="S173" s="10">
        <f>PharmaProduction[[#This Row],[Actual_Units]]/PharmaProduction[[#This Row],[Planned_Units]]</f>
        <v>0.87432942162615257</v>
      </c>
      <c r="T173" s="10">
        <f>(8-PharmaProduction[[#This Row],[Downtime_hr]])/8</f>
        <v>0.96625000000000005</v>
      </c>
      <c r="U173" s="10">
        <f>((PharmaProduction[[#This Row],[Actual_Units]]/(8-PharmaProduction[[#This Row],[Downtime_hr]]))*8)/(PharmaProduction[[#This Row],[Planned_Units]])</f>
        <v>0.90486874165707909</v>
      </c>
      <c r="V173" s="10">
        <f>PharmaProduction[[#This Row],[Good_Units]]/PharmaProduction[[#This Row],[Actual_Units]]</f>
        <v>0.98365409965726347</v>
      </c>
      <c r="W173" s="10">
        <f>PharmaProduction[[#This Row],[Availability_%]]*PharmaProduction[[#This Row],[Performance_%]]*PharmaProduction[[#This Row],[Quality_%]]</f>
        <v>0.86003772003352907</v>
      </c>
      <c r="X173" s="10">
        <f>PharmaProduction[[#This Row],[Good_Units]]/PharmaProduction[[#This Row],[Planned_Units]]</f>
        <v>0.86003772003352896</v>
      </c>
      <c r="Y173" s="10">
        <f>PharmaProduction[[#This Row],[Rejected_Units]]/PharmaProduction[[#This Row],[Actual_Units]]</f>
        <v>1.6357884140641852E-2</v>
      </c>
      <c r="Z173" s="11">
        <f>PharmaProduction[[#This Row],[Actual_Units]]/PharmaProduction[[#This Row],[Labor_Hours]]</f>
        <v>180.22894168466524</v>
      </c>
      <c r="AA173" s="12">
        <f>PharmaProduction[[#This Row],[Energy_kWh]]/PharmaProduction[[#This Row],[Actual_Units]]</f>
        <v>0.5500323562543441</v>
      </c>
      <c r="AB173" s="12">
        <f>PharmaProduction[[#This Row],[Run_Hours]]+PharmaProduction[[#This Row],[Downtime_hr]]</f>
        <v>6.8599999999999994</v>
      </c>
    </row>
    <row r="174" spans="1:28" x14ac:dyDescent="0.25">
      <c r="A174" s="9">
        <v>170</v>
      </c>
      <c r="B174" s="8">
        <v>46107</v>
      </c>
      <c r="C174" s="9" t="s">
        <v>35</v>
      </c>
      <c r="D174" s="9" t="s">
        <v>38</v>
      </c>
      <c r="E174" s="9" t="s">
        <v>32</v>
      </c>
      <c r="F174" s="9">
        <v>9031</v>
      </c>
      <c r="G174" s="9">
        <v>6151.2</v>
      </c>
      <c r="H174" s="9">
        <v>6061.9</v>
      </c>
      <c r="I174" s="9">
        <v>89.3</v>
      </c>
      <c r="J174" s="9">
        <v>6231</v>
      </c>
      <c r="K174" s="9">
        <v>1.61</v>
      </c>
      <c r="L174" s="9" t="s">
        <v>33</v>
      </c>
      <c r="M174" s="9" t="s">
        <v>34</v>
      </c>
      <c r="N174" s="9" t="s">
        <v>33</v>
      </c>
      <c r="O174" s="9">
        <v>0</v>
      </c>
      <c r="P174" s="9">
        <v>37.799999999999997</v>
      </c>
      <c r="Q174" s="9">
        <v>3347.5</v>
      </c>
      <c r="R174" s="9">
        <v>7.18</v>
      </c>
      <c r="S174" s="10">
        <f>PharmaProduction[[#This Row],[Actual_Units]]/PharmaProduction[[#This Row],[Planned_Units]]</f>
        <v>0.68112058465286229</v>
      </c>
      <c r="T174" s="10">
        <f>(8-PharmaProduction[[#This Row],[Downtime_hr]])/8</f>
        <v>0.79874999999999996</v>
      </c>
      <c r="U174" s="10">
        <f>((PharmaProduction[[#This Row],[Actual_Units]]/(8-PharmaProduction[[#This Row],[Downtime_hr]]))*8)/(PharmaProduction[[#This Row],[Planned_Units]])</f>
        <v>0.85273312632596232</v>
      </c>
      <c r="V174" s="10">
        <f>PharmaProduction[[#This Row],[Good_Units]]/PharmaProduction[[#This Row],[Actual_Units]]</f>
        <v>0.98548250747821564</v>
      </c>
      <c r="W174" s="10">
        <f>PharmaProduction[[#This Row],[Availability_%]]*PharmaProduction[[#This Row],[Performance_%]]*PharmaProduction[[#This Row],[Quality_%]]</f>
        <v>0.67123242165873109</v>
      </c>
      <c r="X174" s="10">
        <f>PharmaProduction[[#This Row],[Good_Units]]/PharmaProduction[[#This Row],[Planned_Units]]</f>
        <v>0.67123242165873098</v>
      </c>
      <c r="Y174" s="10">
        <f>PharmaProduction[[#This Row],[Rejected_Units]]/PharmaProduction[[#This Row],[Actual_Units]]</f>
        <v>1.4517492521784367E-2</v>
      </c>
      <c r="Z174" s="11">
        <f>PharmaProduction[[#This Row],[Actual_Units]]/PharmaProduction[[#This Row],[Labor_Hours]]</f>
        <v>162.73015873015873</v>
      </c>
      <c r="AA174" s="12">
        <f>PharmaProduction[[#This Row],[Energy_kWh]]/PharmaProduction[[#This Row],[Actual_Units]]</f>
        <v>0.54420275718558986</v>
      </c>
      <c r="AB174" s="12">
        <f>PharmaProduction[[#This Row],[Run_Hours]]+PharmaProduction[[#This Row],[Downtime_hr]]</f>
        <v>8.7899999999999991</v>
      </c>
    </row>
    <row r="175" spans="1:28" x14ac:dyDescent="0.25">
      <c r="A175" s="9">
        <v>171</v>
      </c>
      <c r="B175" s="8">
        <v>46108</v>
      </c>
      <c r="C175" s="9" t="s">
        <v>30</v>
      </c>
      <c r="D175" s="9" t="s">
        <v>36</v>
      </c>
      <c r="E175" s="9" t="s">
        <v>39</v>
      </c>
      <c r="F175" s="9">
        <v>11253</v>
      </c>
      <c r="G175" s="9">
        <v>8970.2999999999993</v>
      </c>
      <c r="H175" s="9">
        <v>8823.7000000000007</v>
      </c>
      <c r="I175" s="9">
        <v>146.6</v>
      </c>
      <c r="J175" s="9">
        <v>9173.2000000000007</v>
      </c>
      <c r="K175" s="9">
        <v>0.97</v>
      </c>
      <c r="L175" s="9" t="s">
        <v>33</v>
      </c>
      <c r="M175" s="9" t="s">
        <v>34</v>
      </c>
      <c r="N175" s="9" t="s">
        <v>47</v>
      </c>
      <c r="O175" s="9">
        <v>1581.73</v>
      </c>
      <c r="P175" s="9">
        <v>32.799999999999997</v>
      </c>
      <c r="Q175" s="9">
        <v>4469.2</v>
      </c>
      <c r="R175" s="9">
        <v>7.02</v>
      </c>
      <c r="S175" s="10">
        <f>PharmaProduction[[#This Row],[Actual_Units]]/PharmaProduction[[#This Row],[Planned_Units]]</f>
        <v>0.79714742735270583</v>
      </c>
      <c r="T175" s="10">
        <f>(8-PharmaProduction[[#This Row],[Downtime_hr]])/8</f>
        <v>0.87875000000000003</v>
      </c>
      <c r="U175" s="10">
        <f>((PharmaProduction[[#This Row],[Actual_Units]]/(8-PharmaProduction[[#This Row],[Downtime_hr]]))*8)/(PharmaProduction[[#This Row],[Planned_Units]])</f>
        <v>0.90713789741417461</v>
      </c>
      <c r="V175" s="10">
        <f>PharmaProduction[[#This Row],[Good_Units]]/PharmaProduction[[#This Row],[Actual_Units]]</f>
        <v>0.98365717980446599</v>
      </c>
      <c r="W175" s="10">
        <f>PharmaProduction[[#This Row],[Availability_%]]*PharmaProduction[[#This Row],[Performance_%]]*PharmaProduction[[#This Row],[Quality_%]]</f>
        <v>0.78411979027814815</v>
      </c>
      <c r="X175" s="10">
        <f>PharmaProduction[[#This Row],[Good_Units]]/PharmaProduction[[#This Row],[Planned_Units]]</f>
        <v>0.78411979027814815</v>
      </c>
      <c r="Y175" s="10">
        <f>PharmaProduction[[#This Row],[Rejected_Units]]/PharmaProduction[[#This Row],[Actual_Units]]</f>
        <v>1.6342820195534152E-2</v>
      </c>
      <c r="Z175" s="11">
        <f>PharmaProduction[[#This Row],[Actual_Units]]/PharmaProduction[[#This Row],[Labor_Hours]]</f>
        <v>273.48475609756099</v>
      </c>
      <c r="AA175" s="12">
        <f>PharmaProduction[[#This Row],[Energy_kWh]]/PharmaProduction[[#This Row],[Actual_Units]]</f>
        <v>0.49822191008104527</v>
      </c>
      <c r="AB175" s="12">
        <f>PharmaProduction[[#This Row],[Run_Hours]]+PharmaProduction[[#This Row],[Downtime_hr]]</f>
        <v>7.9899999999999993</v>
      </c>
    </row>
    <row r="176" spans="1:28" x14ac:dyDescent="0.25">
      <c r="A176" s="9">
        <v>172</v>
      </c>
      <c r="B176" s="8">
        <v>46108</v>
      </c>
      <c r="C176" s="9" t="s">
        <v>35</v>
      </c>
      <c r="D176" s="9" t="s">
        <v>38</v>
      </c>
      <c r="E176" s="9" t="s">
        <v>32</v>
      </c>
      <c r="F176" s="9">
        <v>10464</v>
      </c>
      <c r="G176" s="9">
        <v>6926.9</v>
      </c>
      <c r="H176" s="9">
        <v>6911.3</v>
      </c>
      <c r="I176" s="9">
        <v>15.6</v>
      </c>
      <c r="J176" s="9">
        <v>6963.7</v>
      </c>
      <c r="K176" s="9">
        <v>2.25</v>
      </c>
      <c r="L176" s="9" t="s">
        <v>45</v>
      </c>
      <c r="M176" s="9" t="s">
        <v>34</v>
      </c>
      <c r="N176" s="9" t="s">
        <v>33</v>
      </c>
      <c r="O176" s="9">
        <v>0</v>
      </c>
      <c r="P176" s="9">
        <v>38.299999999999997</v>
      </c>
      <c r="Q176" s="9">
        <v>3987.1</v>
      </c>
      <c r="R176" s="9">
        <v>7.57</v>
      </c>
      <c r="S176" s="10">
        <f>PharmaProduction[[#This Row],[Actual_Units]]/PharmaProduction[[#This Row],[Planned_Units]]</f>
        <v>0.66197438837920486</v>
      </c>
      <c r="T176" s="10">
        <f>(8-PharmaProduction[[#This Row],[Downtime_hr]])/8</f>
        <v>0.71875</v>
      </c>
      <c r="U176" s="10">
        <f>((PharmaProduction[[#This Row],[Actual_Units]]/(8-PharmaProduction[[#This Row],[Downtime_hr]]))*8)/(PharmaProduction[[#This Row],[Planned_Units]])</f>
        <v>0.92100784470150232</v>
      </c>
      <c r="V176" s="10">
        <f>PharmaProduction[[#This Row],[Good_Units]]/PharmaProduction[[#This Row],[Actual_Units]]</f>
        <v>0.99774791032063415</v>
      </c>
      <c r="W176" s="10">
        <f>PharmaProduction[[#This Row],[Availability_%]]*PharmaProduction[[#This Row],[Performance_%]]*PharmaProduction[[#This Row],[Quality_%]]</f>
        <v>0.6604835626911314</v>
      </c>
      <c r="X176" s="10">
        <f>PharmaProduction[[#This Row],[Good_Units]]/PharmaProduction[[#This Row],[Planned_Units]]</f>
        <v>0.66048356269113151</v>
      </c>
      <c r="Y176" s="10">
        <f>PharmaProduction[[#This Row],[Rejected_Units]]/PharmaProduction[[#This Row],[Actual_Units]]</f>
        <v>2.2520896793659503E-3</v>
      </c>
      <c r="Z176" s="11">
        <f>PharmaProduction[[#This Row],[Actual_Units]]/PharmaProduction[[#This Row],[Labor_Hours]]</f>
        <v>180.85900783289819</v>
      </c>
      <c r="AA176" s="12">
        <f>PharmaProduction[[#This Row],[Energy_kWh]]/PharmaProduction[[#This Row],[Actual_Units]]</f>
        <v>0.57559658721794749</v>
      </c>
      <c r="AB176" s="12">
        <f>PharmaProduction[[#This Row],[Run_Hours]]+PharmaProduction[[#This Row],[Downtime_hr]]</f>
        <v>9.82</v>
      </c>
    </row>
    <row r="177" spans="1:28" x14ac:dyDescent="0.25">
      <c r="A177" s="9">
        <v>173</v>
      </c>
      <c r="B177" s="8">
        <v>46109</v>
      </c>
      <c r="C177" s="9" t="s">
        <v>30</v>
      </c>
      <c r="D177" s="9" t="s">
        <v>38</v>
      </c>
      <c r="E177" s="9" t="s">
        <v>32</v>
      </c>
      <c r="F177" s="9">
        <v>11937</v>
      </c>
      <c r="G177" s="9">
        <v>10580.5</v>
      </c>
      <c r="H177" s="9">
        <v>10412.700000000001</v>
      </c>
      <c r="I177" s="9">
        <v>167.8</v>
      </c>
      <c r="J177" s="9">
        <v>10638</v>
      </c>
      <c r="K177" s="9">
        <v>0.13</v>
      </c>
      <c r="L177" s="9" t="s">
        <v>33</v>
      </c>
      <c r="M177" s="9" t="s">
        <v>34</v>
      </c>
      <c r="N177" s="9" t="s">
        <v>33</v>
      </c>
      <c r="O177" s="9">
        <v>0</v>
      </c>
      <c r="P177" s="9">
        <v>35.6</v>
      </c>
      <c r="Q177" s="9">
        <v>5193.7</v>
      </c>
      <c r="R177" s="9">
        <v>7.45</v>
      </c>
      <c r="S177" s="10">
        <f>PharmaProduction[[#This Row],[Actual_Units]]/PharmaProduction[[#This Row],[Planned_Units]]</f>
        <v>0.8863617324285834</v>
      </c>
      <c r="T177" s="10">
        <f>(8-PharmaProduction[[#This Row],[Downtime_hr]])/8</f>
        <v>0.98375000000000001</v>
      </c>
      <c r="U177" s="10">
        <f>((PharmaProduction[[#This Row],[Actual_Units]]/(8-PharmaProduction[[#This Row],[Downtime_hr]]))*8)/(PharmaProduction[[#This Row],[Planned_Units]])</f>
        <v>0.90100303169360452</v>
      </c>
      <c r="V177" s="10">
        <f>PharmaProduction[[#This Row],[Good_Units]]/PharmaProduction[[#This Row],[Actual_Units]]</f>
        <v>0.98414063607579993</v>
      </c>
      <c r="W177" s="10">
        <f>PharmaProduction[[#This Row],[Availability_%]]*PharmaProduction[[#This Row],[Performance_%]]*PharmaProduction[[#This Row],[Quality_%]]</f>
        <v>0.87230459914551406</v>
      </c>
      <c r="X177" s="10">
        <f>PharmaProduction[[#This Row],[Good_Units]]/PharmaProduction[[#This Row],[Planned_Units]]</f>
        <v>0.87230459914551406</v>
      </c>
      <c r="Y177" s="10">
        <f>PharmaProduction[[#This Row],[Rejected_Units]]/PharmaProduction[[#This Row],[Actual_Units]]</f>
        <v>1.585936392420018E-2</v>
      </c>
      <c r="Z177" s="11">
        <f>PharmaProduction[[#This Row],[Actual_Units]]/PharmaProduction[[#This Row],[Labor_Hours]]</f>
        <v>297.20505617977528</v>
      </c>
      <c r="AA177" s="12">
        <f>PharmaProduction[[#This Row],[Energy_kWh]]/PharmaProduction[[#This Row],[Actual_Units]]</f>
        <v>0.49087472236661783</v>
      </c>
      <c r="AB177" s="12">
        <f>PharmaProduction[[#This Row],[Run_Hours]]+PharmaProduction[[#This Row],[Downtime_hr]]</f>
        <v>7.58</v>
      </c>
    </row>
    <row r="178" spans="1:28" x14ac:dyDescent="0.25">
      <c r="A178" s="9">
        <v>174</v>
      </c>
      <c r="B178" s="8">
        <v>46109</v>
      </c>
      <c r="C178" s="9" t="s">
        <v>35</v>
      </c>
      <c r="D178" s="9" t="s">
        <v>38</v>
      </c>
      <c r="E178" s="9" t="s">
        <v>32</v>
      </c>
      <c r="F178" s="9">
        <v>10859</v>
      </c>
      <c r="G178" s="9">
        <v>9981</v>
      </c>
      <c r="H178" s="9">
        <v>9924.5</v>
      </c>
      <c r="I178" s="9">
        <v>56.5</v>
      </c>
      <c r="J178" s="9">
        <v>10153.700000000001</v>
      </c>
      <c r="K178" s="9">
        <v>0.03</v>
      </c>
      <c r="L178" s="9" t="s">
        <v>33</v>
      </c>
      <c r="M178" s="9" t="s">
        <v>34</v>
      </c>
      <c r="N178" s="9" t="s">
        <v>33</v>
      </c>
      <c r="O178" s="9">
        <v>0</v>
      </c>
      <c r="P178" s="9">
        <v>48.7</v>
      </c>
      <c r="Q178" s="9">
        <v>5462.4</v>
      </c>
      <c r="R178" s="9">
        <v>7.04</v>
      </c>
      <c r="S178" s="10">
        <f>PharmaProduction[[#This Row],[Actual_Units]]/PharmaProduction[[#This Row],[Planned_Units]]</f>
        <v>0.91914540933787636</v>
      </c>
      <c r="T178" s="10">
        <f>(8-PharmaProduction[[#This Row],[Downtime_hr]])/8</f>
        <v>0.99624999999999997</v>
      </c>
      <c r="U178" s="10">
        <f>((PharmaProduction[[#This Row],[Actual_Units]]/(8-PharmaProduction[[#This Row],[Downtime_hr]]))*8)/(PharmaProduction[[#This Row],[Planned_Units]])</f>
        <v>0.92260517875821968</v>
      </c>
      <c r="V178" s="10">
        <f>PharmaProduction[[#This Row],[Good_Units]]/PharmaProduction[[#This Row],[Actual_Units]]</f>
        <v>0.99433924456467293</v>
      </c>
      <c r="W178" s="10">
        <f>PharmaProduction[[#This Row],[Availability_%]]*PharmaProduction[[#This Row],[Performance_%]]*PharmaProduction[[#This Row],[Quality_%]]</f>
        <v>0.91394235196611107</v>
      </c>
      <c r="X178" s="10">
        <f>PharmaProduction[[#This Row],[Good_Units]]/PharmaProduction[[#This Row],[Planned_Units]]</f>
        <v>0.91394235196611107</v>
      </c>
      <c r="Y178" s="10">
        <f>PharmaProduction[[#This Row],[Rejected_Units]]/PharmaProduction[[#This Row],[Actual_Units]]</f>
        <v>5.6607554353271215E-3</v>
      </c>
      <c r="Z178" s="11">
        <f>PharmaProduction[[#This Row],[Actual_Units]]/PharmaProduction[[#This Row],[Labor_Hours]]</f>
        <v>204.94866529774126</v>
      </c>
      <c r="AA178" s="12">
        <f>PharmaProduction[[#This Row],[Energy_kWh]]/PharmaProduction[[#This Row],[Actual_Units]]</f>
        <v>0.54727983168019234</v>
      </c>
      <c r="AB178" s="12">
        <f>PharmaProduction[[#This Row],[Run_Hours]]+PharmaProduction[[#This Row],[Downtime_hr]]</f>
        <v>7.07</v>
      </c>
    </row>
    <row r="179" spans="1:28" x14ac:dyDescent="0.25">
      <c r="A179" s="9">
        <v>175</v>
      </c>
      <c r="B179" s="8">
        <v>46110</v>
      </c>
      <c r="C179" s="9" t="s">
        <v>30</v>
      </c>
      <c r="D179" s="9" t="s">
        <v>36</v>
      </c>
      <c r="E179" s="9" t="s">
        <v>32</v>
      </c>
      <c r="F179" s="9">
        <v>10386</v>
      </c>
      <c r="G179" s="9">
        <v>6606</v>
      </c>
      <c r="H179" s="9">
        <v>6435.3</v>
      </c>
      <c r="I179" s="9">
        <v>170.7</v>
      </c>
      <c r="J179" s="9">
        <v>6691.5</v>
      </c>
      <c r="K179" s="9">
        <v>3.65</v>
      </c>
      <c r="L179" s="9" t="s">
        <v>45</v>
      </c>
      <c r="M179" s="9" t="s">
        <v>34</v>
      </c>
      <c r="N179" s="9" t="s">
        <v>33</v>
      </c>
      <c r="O179" s="9">
        <v>0</v>
      </c>
      <c r="P179" s="9">
        <v>50.4</v>
      </c>
      <c r="Q179" s="9">
        <v>3397.6</v>
      </c>
      <c r="R179" s="9">
        <v>6.72</v>
      </c>
      <c r="S179" s="10">
        <f>PharmaProduction[[#This Row],[Actual_Units]]/PharmaProduction[[#This Row],[Planned_Units]]</f>
        <v>0.63604852686308488</v>
      </c>
      <c r="T179" s="10">
        <f>(8-PharmaProduction[[#This Row],[Downtime_hr]])/8</f>
        <v>0.54374999999999996</v>
      </c>
      <c r="U179" s="10">
        <f>((PharmaProduction[[#This Row],[Actual_Units]]/(8-PharmaProduction[[#This Row],[Downtime_hr]]))*8)/(PharmaProduction[[#This Row],[Planned_Units]])</f>
        <v>1.1697444172194666</v>
      </c>
      <c r="V179" s="10">
        <f>PharmaProduction[[#This Row],[Good_Units]]/PharmaProduction[[#This Row],[Actual_Units]]</f>
        <v>0.97415985467756583</v>
      </c>
      <c r="W179" s="10">
        <f>PharmaProduction[[#This Row],[Availability_%]]*PharmaProduction[[#This Row],[Performance_%]]*PharmaProduction[[#This Row],[Quality_%]]</f>
        <v>0.61961294049682258</v>
      </c>
      <c r="X179" s="10">
        <f>PharmaProduction[[#This Row],[Good_Units]]/PharmaProduction[[#This Row],[Planned_Units]]</f>
        <v>0.6196129404968227</v>
      </c>
      <c r="Y179" s="10">
        <f>PharmaProduction[[#This Row],[Rejected_Units]]/PharmaProduction[[#This Row],[Actual_Units]]</f>
        <v>2.5840145322434151E-2</v>
      </c>
      <c r="Z179" s="11">
        <f>PharmaProduction[[#This Row],[Actual_Units]]/PharmaProduction[[#This Row],[Labor_Hours]]</f>
        <v>131.07142857142858</v>
      </c>
      <c r="AA179" s="12">
        <f>PharmaProduction[[#This Row],[Energy_kWh]]/PharmaProduction[[#This Row],[Actual_Units]]</f>
        <v>0.51432031486527396</v>
      </c>
      <c r="AB179" s="12">
        <f>PharmaProduction[[#This Row],[Run_Hours]]+PharmaProduction[[#This Row],[Downtime_hr]]</f>
        <v>10.37</v>
      </c>
    </row>
    <row r="180" spans="1:28" x14ac:dyDescent="0.25">
      <c r="A180" s="9">
        <v>176</v>
      </c>
      <c r="B180" s="8">
        <v>46110</v>
      </c>
      <c r="C180" s="9" t="s">
        <v>35</v>
      </c>
      <c r="D180" s="9" t="s">
        <v>38</v>
      </c>
      <c r="E180" s="9" t="s">
        <v>42</v>
      </c>
      <c r="F180" s="9">
        <v>9514</v>
      </c>
      <c r="G180" s="9">
        <v>6090</v>
      </c>
      <c r="H180" s="9">
        <v>5915</v>
      </c>
      <c r="I180" s="9">
        <v>175</v>
      </c>
      <c r="J180" s="9">
        <v>6204.3</v>
      </c>
      <c r="K180" s="9">
        <v>2.54</v>
      </c>
      <c r="L180" s="9" t="s">
        <v>33</v>
      </c>
      <c r="M180" s="9" t="s">
        <v>34</v>
      </c>
      <c r="N180" s="9" t="s">
        <v>33</v>
      </c>
      <c r="O180" s="9">
        <v>0</v>
      </c>
      <c r="P180" s="9">
        <v>38.5</v>
      </c>
      <c r="Q180" s="9">
        <v>3090.4</v>
      </c>
      <c r="R180" s="9">
        <v>6.85</v>
      </c>
      <c r="S180" s="10">
        <f>PharmaProduction[[#This Row],[Actual_Units]]/PharmaProduction[[#This Row],[Planned_Units]]</f>
        <v>0.64010931259196968</v>
      </c>
      <c r="T180" s="10">
        <f>(8-PharmaProduction[[#This Row],[Downtime_hr]])/8</f>
        <v>0.6825</v>
      </c>
      <c r="U180" s="10">
        <f>((PharmaProduction[[#This Row],[Actual_Units]]/(8-PharmaProduction[[#This Row],[Downtime_hr]]))*8)/(PharmaProduction[[#This Row],[Planned_Units]])</f>
        <v>0.93788910269885684</v>
      </c>
      <c r="V180" s="10">
        <f>PharmaProduction[[#This Row],[Good_Units]]/PharmaProduction[[#This Row],[Actual_Units]]</f>
        <v>0.97126436781609193</v>
      </c>
      <c r="W180" s="10">
        <f>PharmaProduction[[#This Row],[Availability_%]]*PharmaProduction[[#This Row],[Performance_%]]*PharmaProduction[[#This Row],[Quality_%]]</f>
        <v>0.62171536682783268</v>
      </c>
      <c r="X180" s="10">
        <f>PharmaProduction[[#This Row],[Good_Units]]/PharmaProduction[[#This Row],[Planned_Units]]</f>
        <v>0.62171536682783268</v>
      </c>
      <c r="Y180" s="10">
        <f>PharmaProduction[[#This Row],[Rejected_Units]]/PharmaProduction[[#This Row],[Actual_Units]]</f>
        <v>2.8735632183908046E-2</v>
      </c>
      <c r="Z180" s="11">
        <f>PharmaProduction[[#This Row],[Actual_Units]]/PharmaProduction[[#This Row],[Labor_Hours]]</f>
        <v>158.18181818181819</v>
      </c>
      <c r="AA180" s="12">
        <f>PharmaProduction[[#This Row],[Energy_kWh]]/PharmaProduction[[#This Row],[Actual_Units]]</f>
        <v>0.50745484400656815</v>
      </c>
      <c r="AB180" s="12">
        <f>PharmaProduction[[#This Row],[Run_Hours]]+PharmaProduction[[#This Row],[Downtime_hr]]</f>
        <v>9.39</v>
      </c>
    </row>
    <row r="181" spans="1:28" x14ac:dyDescent="0.25">
      <c r="A181" s="9">
        <v>177</v>
      </c>
      <c r="B181" s="8">
        <v>46111</v>
      </c>
      <c r="C181" s="9" t="s">
        <v>30</v>
      </c>
      <c r="D181" s="9" t="s">
        <v>36</v>
      </c>
      <c r="E181" s="9" t="s">
        <v>39</v>
      </c>
      <c r="F181" s="9">
        <v>9119</v>
      </c>
      <c r="G181" s="9">
        <v>6955.8</v>
      </c>
      <c r="H181" s="9">
        <v>6874.7</v>
      </c>
      <c r="I181" s="9">
        <v>81.099999999999994</v>
      </c>
      <c r="J181" s="9">
        <v>6993.6</v>
      </c>
      <c r="K181" s="9">
        <v>1.34</v>
      </c>
      <c r="L181" s="9" t="s">
        <v>33</v>
      </c>
      <c r="M181" s="9" t="s">
        <v>34</v>
      </c>
      <c r="N181" s="9" t="s">
        <v>33</v>
      </c>
      <c r="O181" s="9">
        <v>0</v>
      </c>
      <c r="P181" s="9">
        <v>49.6</v>
      </c>
      <c r="Q181" s="9">
        <v>3759.3</v>
      </c>
      <c r="R181" s="9">
        <v>7.59</v>
      </c>
      <c r="S181" s="10">
        <f>PharmaProduction[[#This Row],[Actual_Units]]/PharmaProduction[[#This Row],[Planned_Units]]</f>
        <v>0.76278100668933002</v>
      </c>
      <c r="T181" s="10">
        <f>(8-PharmaProduction[[#This Row],[Downtime_hr]])/8</f>
        <v>0.83250000000000002</v>
      </c>
      <c r="U181" s="10">
        <f>((PharmaProduction[[#This Row],[Actual_Units]]/(8-PharmaProduction[[#This Row],[Downtime_hr]]))*8)/(PharmaProduction[[#This Row],[Planned_Units]])</f>
        <v>0.9162534614886847</v>
      </c>
      <c r="V181" s="10">
        <f>PharmaProduction[[#This Row],[Good_Units]]/PharmaProduction[[#This Row],[Actual_Units]]</f>
        <v>0.98834066534402942</v>
      </c>
      <c r="W181" s="10">
        <f>PharmaProduction[[#This Row],[Availability_%]]*PharmaProduction[[#This Row],[Performance_%]]*PharmaProduction[[#This Row],[Quality_%]]</f>
        <v>0.75388748766312097</v>
      </c>
      <c r="X181" s="10">
        <f>PharmaProduction[[#This Row],[Good_Units]]/PharmaProduction[[#This Row],[Planned_Units]]</f>
        <v>0.75388748766312097</v>
      </c>
      <c r="Y181" s="10">
        <f>PharmaProduction[[#This Row],[Rejected_Units]]/PharmaProduction[[#This Row],[Actual_Units]]</f>
        <v>1.1659334655970556E-2</v>
      </c>
      <c r="Z181" s="11">
        <f>PharmaProduction[[#This Row],[Actual_Units]]/PharmaProduction[[#This Row],[Labor_Hours]]</f>
        <v>140.23790322580646</v>
      </c>
      <c r="AA181" s="12">
        <f>PharmaProduction[[#This Row],[Energy_kWh]]/PharmaProduction[[#This Row],[Actual_Units]]</f>
        <v>0.54045544725265249</v>
      </c>
      <c r="AB181" s="12">
        <f>PharmaProduction[[#This Row],[Run_Hours]]+PharmaProduction[[#This Row],[Downtime_hr]]</f>
        <v>8.93</v>
      </c>
    </row>
    <row r="182" spans="1:28" x14ac:dyDescent="0.25">
      <c r="A182" s="9">
        <v>178</v>
      </c>
      <c r="B182" s="8">
        <v>46111</v>
      </c>
      <c r="C182" s="9" t="s">
        <v>35</v>
      </c>
      <c r="D182" s="9" t="s">
        <v>36</v>
      </c>
      <c r="E182" s="9" t="s">
        <v>42</v>
      </c>
      <c r="F182" s="9">
        <v>11875</v>
      </c>
      <c r="G182" s="9">
        <v>7757.3</v>
      </c>
      <c r="H182" s="9">
        <v>7738.5</v>
      </c>
      <c r="I182" s="9">
        <v>18.8</v>
      </c>
      <c r="J182" s="9">
        <v>7814.6</v>
      </c>
      <c r="K182" s="9">
        <v>3.05</v>
      </c>
      <c r="L182" s="9" t="s">
        <v>45</v>
      </c>
      <c r="M182" s="9" t="s">
        <v>34</v>
      </c>
      <c r="N182" s="9" t="s">
        <v>33</v>
      </c>
      <c r="O182" s="9">
        <v>0</v>
      </c>
      <c r="P182" s="9">
        <v>37.6</v>
      </c>
      <c r="Q182" s="9">
        <v>3865.4</v>
      </c>
      <c r="R182" s="9">
        <v>6.74</v>
      </c>
      <c r="S182" s="10">
        <f>PharmaProduction[[#This Row],[Actual_Units]]/PharmaProduction[[#This Row],[Planned_Units]]</f>
        <v>0.65324631578947367</v>
      </c>
      <c r="T182" s="10">
        <f>(8-PharmaProduction[[#This Row],[Downtime_hr]])/8</f>
        <v>0.61875000000000002</v>
      </c>
      <c r="U182" s="10">
        <f>((PharmaProduction[[#This Row],[Actual_Units]]/(8-PharmaProduction[[#This Row],[Downtime_hr]]))*8)/(PharmaProduction[[#This Row],[Planned_Units]])</f>
        <v>1.0557516214779372</v>
      </c>
      <c r="V182" s="10">
        <f>PharmaProduction[[#This Row],[Good_Units]]/PharmaProduction[[#This Row],[Actual_Units]]</f>
        <v>0.99757647635130775</v>
      </c>
      <c r="W182" s="10">
        <f>PharmaProduction[[#This Row],[Availability_%]]*PharmaProduction[[#This Row],[Performance_%]]*PharmaProduction[[#This Row],[Quality_%]]</f>
        <v>0.65166315789473683</v>
      </c>
      <c r="X182" s="10">
        <f>PharmaProduction[[#This Row],[Good_Units]]/PharmaProduction[[#This Row],[Planned_Units]]</f>
        <v>0.65166315789473683</v>
      </c>
      <c r="Y182" s="10">
        <f>PharmaProduction[[#This Row],[Rejected_Units]]/PharmaProduction[[#This Row],[Actual_Units]]</f>
        <v>2.4235236486921997E-3</v>
      </c>
      <c r="Z182" s="11">
        <f>PharmaProduction[[#This Row],[Actual_Units]]/PharmaProduction[[#This Row],[Labor_Hours]]</f>
        <v>206.31117021276594</v>
      </c>
      <c r="AA182" s="12">
        <f>PharmaProduction[[#This Row],[Energy_kWh]]/PharmaProduction[[#This Row],[Actual_Units]]</f>
        <v>0.49829193147100148</v>
      </c>
      <c r="AB182" s="12">
        <f>PharmaProduction[[#This Row],[Run_Hours]]+PharmaProduction[[#This Row],[Downtime_hr]]</f>
        <v>9.7899999999999991</v>
      </c>
    </row>
    <row r="183" spans="1:28" x14ac:dyDescent="0.25">
      <c r="A183" s="9">
        <v>179</v>
      </c>
      <c r="B183" s="8">
        <v>46112</v>
      </c>
      <c r="C183" s="9" t="s">
        <v>30</v>
      </c>
      <c r="D183" s="9" t="s">
        <v>36</v>
      </c>
      <c r="E183" s="9" t="s">
        <v>42</v>
      </c>
      <c r="F183" s="9">
        <v>11426</v>
      </c>
      <c r="G183" s="9">
        <v>10096.700000000001</v>
      </c>
      <c r="H183" s="9">
        <v>9986.2000000000007</v>
      </c>
      <c r="I183" s="9">
        <v>110.5</v>
      </c>
      <c r="J183" s="9">
        <v>10221.700000000001</v>
      </c>
      <c r="K183" s="9">
        <v>0.9</v>
      </c>
      <c r="L183" s="9" t="s">
        <v>33</v>
      </c>
      <c r="M183" s="9" t="s">
        <v>34</v>
      </c>
      <c r="N183" s="9" t="s">
        <v>37</v>
      </c>
      <c r="O183" s="9">
        <v>165.16</v>
      </c>
      <c r="P183" s="9">
        <v>34.1</v>
      </c>
      <c r="Q183" s="9">
        <v>5229.1000000000004</v>
      </c>
      <c r="R183" s="9">
        <v>7.65</v>
      </c>
      <c r="S183" s="10">
        <f>PharmaProduction[[#This Row],[Actual_Units]]/PharmaProduction[[#This Row],[Planned_Units]]</f>
        <v>0.8836600735165413</v>
      </c>
      <c r="T183" s="10">
        <f>(8-PharmaProduction[[#This Row],[Downtime_hr]])/8</f>
        <v>0.88749999999999996</v>
      </c>
      <c r="U183" s="10">
        <f>((PharmaProduction[[#This Row],[Actual_Units]]/(8-PharmaProduction[[#This Row],[Downtime_hr]]))*8)/(PharmaProduction[[#This Row],[Planned_Units]])</f>
        <v>0.99567332227215932</v>
      </c>
      <c r="V183" s="10">
        <f>PharmaProduction[[#This Row],[Good_Units]]/PharmaProduction[[#This Row],[Actual_Units]]</f>
        <v>0.98905583012271336</v>
      </c>
      <c r="W183" s="10">
        <f>PharmaProduction[[#This Row],[Availability_%]]*PharmaProduction[[#This Row],[Performance_%]]*PharmaProduction[[#This Row],[Quality_%]]</f>
        <v>0.87398914755820067</v>
      </c>
      <c r="X183" s="10">
        <f>PharmaProduction[[#This Row],[Good_Units]]/PharmaProduction[[#This Row],[Planned_Units]]</f>
        <v>0.87398914755820067</v>
      </c>
      <c r="Y183" s="10">
        <f>PharmaProduction[[#This Row],[Rejected_Units]]/PharmaProduction[[#This Row],[Actual_Units]]</f>
        <v>1.0944169877286638E-2</v>
      </c>
      <c r="Z183" s="11">
        <f>PharmaProduction[[#This Row],[Actual_Units]]/PharmaProduction[[#This Row],[Labor_Hours]]</f>
        <v>296.09090909090912</v>
      </c>
      <c r="AA183" s="12">
        <f>PharmaProduction[[#This Row],[Energy_kWh]]/PharmaProduction[[#This Row],[Actual_Units]]</f>
        <v>0.51790188873592358</v>
      </c>
      <c r="AB183" s="12">
        <f>PharmaProduction[[#This Row],[Run_Hours]]+PharmaProduction[[#This Row],[Downtime_hr]]</f>
        <v>8.5500000000000007</v>
      </c>
    </row>
    <row r="184" spans="1:28" x14ac:dyDescent="0.25">
      <c r="A184" s="9">
        <v>180</v>
      </c>
      <c r="B184" s="8">
        <v>46112</v>
      </c>
      <c r="C184" s="9" t="s">
        <v>35</v>
      </c>
      <c r="D184" s="9" t="s">
        <v>31</v>
      </c>
      <c r="E184" s="9" t="s">
        <v>39</v>
      </c>
      <c r="F184" s="9">
        <v>11505</v>
      </c>
      <c r="G184" s="9">
        <v>8664</v>
      </c>
      <c r="H184" s="9">
        <v>8605.9</v>
      </c>
      <c r="I184" s="9">
        <v>58.2</v>
      </c>
      <c r="J184" s="9">
        <v>8684.1</v>
      </c>
      <c r="K184" s="9">
        <v>1.89</v>
      </c>
      <c r="L184" s="9" t="s">
        <v>33</v>
      </c>
      <c r="M184" s="9" t="s">
        <v>34</v>
      </c>
      <c r="N184" s="9" t="s">
        <v>33</v>
      </c>
      <c r="O184" s="9">
        <v>0</v>
      </c>
      <c r="P184" s="9">
        <v>40.200000000000003</v>
      </c>
      <c r="Q184" s="9">
        <v>4614.7</v>
      </c>
      <c r="R184" s="9">
        <v>7.09</v>
      </c>
      <c r="S184" s="10">
        <f>PharmaProduction[[#This Row],[Actual_Units]]/PharmaProduction[[#This Row],[Planned_Units]]</f>
        <v>0.75306388526727508</v>
      </c>
      <c r="T184" s="10">
        <f>(8-PharmaProduction[[#This Row],[Downtime_hr]])/8</f>
        <v>0.76375000000000004</v>
      </c>
      <c r="U184" s="10">
        <f>((PharmaProduction[[#This Row],[Actual_Units]]/(8-PharmaProduction[[#This Row],[Downtime_hr]]))*8)/(PharmaProduction[[#This Row],[Planned_Units]])</f>
        <v>0.98600836041541751</v>
      </c>
      <c r="V184" s="10">
        <f>PharmaProduction[[#This Row],[Good_Units]]/PharmaProduction[[#This Row],[Actual_Units]]</f>
        <v>0.99329409048938133</v>
      </c>
      <c r="W184" s="10">
        <f>PharmaProduction[[#This Row],[Availability_%]]*PharmaProduction[[#This Row],[Performance_%]]*PharmaProduction[[#This Row],[Quality_%]]</f>
        <v>0.74801390699695791</v>
      </c>
      <c r="X184" s="10">
        <f>PharmaProduction[[#This Row],[Good_Units]]/PharmaProduction[[#This Row],[Planned_Units]]</f>
        <v>0.7480139069969578</v>
      </c>
      <c r="Y184" s="10">
        <f>PharmaProduction[[#This Row],[Rejected_Units]]/PharmaProduction[[#This Row],[Actual_Units]]</f>
        <v>6.7174515235457069E-3</v>
      </c>
      <c r="Z184" s="11">
        <f>PharmaProduction[[#This Row],[Actual_Units]]/PharmaProduction[[#This Row],[Labor_Hours]]</f>
        <v>215.52238805970148</v>
      </c>
      <c r="AA184" s="12">
        <f>PharmaProduction[[#This Row],[Energy_kWh]]/PharmaProduction[[#This Row],[Actual_Units]]</f>
        <v>0.53262927054478304</v>
      </c>
      <c r="AB184" s="12">
        <f>PharmaProduction[[#This Row],[Run_Hours]]+PharmaProduction[[#This Row],[Downtime_hr]]</f>
        <v>8.98</v>
      </c>
    </row>
    <row r="185" spans="1:28" x14ac:dyDescent="0.25">
      <c r="A185" s="9">
        <v>181</v>
      </c>
      <c r="B185" s="8">
        <v>46113</v>
      </c>
      <c r="C185" s="9" t="s">
        <v>30</v>
      </c>
      <c r="D185" s="9" t="s">
        <v>36</v>
      </c>
      <c r="E185" s="9" t="s">
        <v>42</v>
      </c>
      <c r="F185" s="9">
        <v>9647</v>
      </c>
      <c r="G185" s="9">
        <v>8352</v>
      </c>
      <c r="H185" s="9">
        <v>8236.7999999999993</v>
      </c>
      <c r="I185" s="9">
        <v>115.2</v>
      </c>
      <c r="J185" s="9">
        <v>8637</v>
      </c>
      <c r="K185" s="9">
        <v>0.49</v>
      </c>
      <c r="L185" s="9" t="s">
        <v>33</v>
      </c>
      <c r="M185" s="9" t="s">
        <v>34</v>
      </c>
      <c r="N185" s="9" t="s">
        <v>33</v>
      </c>
      <c r="O185" s="9">
        <v>0</v>
      </c>
      <c r="P185" s="9">
        <v>43.5</v>
      </c>
      <c r="Q185" s="9">
        <v>4683.3</v>
      </c>
      <c r="R185" s="9">
        <v>7.26</v>
      </c>
      <c r="S185" s="10">
        <f>PharmaProduction[[#This Row],[Actual_Units]]/PharmaProduction[[#This Row],[Planned_Units]]</f>
        <v>0.86576137659375973</v>
      </c>
      <c r="T185" s="10">
        <f>(8-PharmaProduction[[#This Row],[Downtime_hr]])/8</f>
        <v>0.93874999999999997</v>
      </c>
      <c r="U185" s="10">
        <f>((PharmaProduction[[#This Row],[Actual_Units]]/(8-PharmaProduction[[#This Row],[Downtime_hr]]))*8)/(PharmaProduction[[#This Row],[Planned_Units]])</f>
        <v>0.92224913618509685</v>
      </c>
      <c r="V185" s="10">
        <f>PharmaProduction[[#This Row],[Good_Units]]/PharmaProduction[[#This Row],[Actual_Units]]</f>
        <v>0.986206896551724</v>
      </c>
      <c r="W185" s="10">
        <f>PharmaProduction[[#This Row],[Availability_%]]*PharmaProduction[[#This Row],[Performance_%]]*PharmaProduction[[#This Row],[Quality_%]]</f>
        <v>0.85381984036488001</v>
      </c>
      <c r="X185" s="10">
        <f>PharmaProduction[[#This Row],[Good_Units]]/PharmaProduction[[#This Row],[Planned_Units]]</f>
        <v>0.85381984036488023</v>
      </c>
      <c r="Y185" s="10">
        <f>PharmaProduction[[#This Row],[Rejected_Units]]/PharmaProduction[[#This Row],[Actual_Units]]</f>
        <v>1.3793103448275862E-2</v>
      </c>
      <c r="Z185" s="11">
        <f>PharmaProduction[[#This Row],[Actual_Units]]/PharmaProduction[[#This Row],[Labor_Hours]]</f>
        <v>192</v>
      </c>
      <c r="AA185" s="12">
        <f>PharmaProduction[[#This Row],[Energy_kWh]]/PharmaProduction[[#This Row],[Actual_Units]]</f>
        <v>0.5607399425287356</v>
      </c>
      <c r="AB185" s="12">
        <f>PharmaProduction[[#This Row],[Run_Hours]]+PharmaProduction[[#This Row],[Downtime_hr]]</f>
        <v>7.75</v>
      </c>
    </row>
    <row r="186" spans="1:28" x14ac:dyDescent="0.25">
      <c r="A186" s="9">
        <v>182</v>
      </c>
      <c r="B186" s="8">
        <v>46113</v>
      </c>
      <c r="C186" s="9" t="s">
        <v>35</v>
      </c>
      <c r="D186" s="9" t="s">
        <v>38</v>
      </c>
      <c r="E186" s="9" t="s">
        <v>32</v>
      </c>
      <c r="F186" s="9">
        <v>11849</v>
      </c>
      <c r="G186" s="9">
        <v>8373.6</v>
      </c>
      <c r="H186" s="9">
        <v>8202.1</v>
      </c>
      <c r="I186" s="9">
        <v>171.6</v>
      </c>
      <c r="J186" s="9">
        <v>8465.4</v>
      </c>
      <c r="K186" s="9">
        <v>1.66</v>
      </c>
      <c r="L186" s="9" t="s">
        <v>33</v>
      </c>
      <c r="M186" s="9" t="s">
        <v>34</v>
      </c>
      <c r="N186" s="9" t="s">
        <v>44</v>
      </c>
      <c r="O186" s="9">
        <v>1011.66</v>
      </c>
      <c r="P186" s="9">
        <v>38</v>
      </c>
      <c r="Q186" s="9">
        <v>4495.8999999999996</v>
      </c>
      <c r="R186" s="9">
        <v>7.96</v>
      </c>
      <c r="S186" s="10">
        <f>PharmaProduction[[#This Row],[Actual_Units]]/PharmaProduction[[#This Row],[Planned_Units]]</f>
        <v>0.70669254789433711</v>
      </c>
      <c r="T186" s="10">
        <f>(8-PharmaProduction[[#This Row],[Downtime_hr]])/8</f>
        <v>0.79249999999999998</v>
      </c>
      <c r="U186" s="10">
        <f>((PharmaProduction[[#This Row],[Actual_Units]]/(8-PharmaProduction[[#This Row],[Downtime_hr]]))*8)/(PharmaProduction[[#This Row],[Planned_Units]])</f>
        <v>0.89172561248496807</v>
      </c>
      <c r="V186" s="10">
        <f>PharmaProduction[[#This Row],[Good_Units]]/PharmaProduction[[#This Row],[Actual_Units]]</f>
        <v>0.97951896436419228</v>
      </c>
      <c r="W186" s="10">
        <f>PharmaProduction[[#This Row],[Availability_%]]*PharmaProduction[[#This Row],[Performance_%]]*PharmaProduction[[#This Row],[Quality_%]]</f>
        <v>0.69221875263735355</v>
      </c>
      <c r="X186" s="10">
        <f>PharmaProduction[[#This Row],[Good_Units]]/PharmaProduction[[#This Row],[Planned_Units]]</f>
        <v>0.69221875263735344</v>
      </c>
      <c r="Y186" s="10">
        <f>PharmaProduction[[#This Row],[Rejected_Units]]/PharmaProduction[[#This Row],[Actual_Units]]</f>
        <v>2.0492977930639152E-2</v>
      </c>
      <c r="Z186" s="11">
        <f>PharmaProduction[[#This Row],[Actual_Units]]/PharmaProduction[[#This Row],[Labor_Hours]]</f>
        <v>220.35789473684213</v>
      </c>
      <c r="AA186" s="12">
        <f>PharmaProduction[[#This Row],[Energy_kWh]]/PharmaProduction[[#This Row],[Actual_Units]]</f>
        <v>0.53691363332377939</v>
      </c>
      <c r="AB186" s="12">
        <f>PharmaProduction[[#This Row],[Run_Hours]]+PharmaProduction[[#This Row],[Downtime_hr]]</f>
        <v>9.6199999999999992</v>
      </c>
    </row>
    <row r="187" spans="1:28" x14ac:dyDescent="0.25">
      <c r="A187" s="9">
        <v>183</v>
      </c>
      <c r="B187" s="8">
        <v>46114</v>
      </c>
      <c r="C187" s="9" t="s">
        <v>30</v>
      </c>
      <c r="D187" s="9" t="s">
        <v>31</v>
      </c>
      <c r="E187" s="9" t="s">
        <v>32</v>
      </c>
      <c r="F187" s="9">
        <v>9507</v>
      </c>
      <c r="G187" s="9">
        <v>7752.9</v>
      </c>
      <c r="H187" s="9">
        <v>7681</v>
      </c>
      <c r="I187" s="9">
        <v>72</v>
      </c>
      <c r="J187" s="9">
        <v>7838.1</v>
      </c>
      <c r="K187" s="9">
        <v>0.74</v>
      </c>
      <c r="L187" s="9" t="s">
        <v>33</v>
      </c>
      <c r="M187" s="9" t="s">
        <v>34</v>
      </c>
      <c r="N187" s="9" t="s">
        <v>44</v>
      </c>
      <c r="O187" s="9">
        <v>839.7</v>
      </c>
      <c r="P187" s="9">
        <v>45.8</v>
      </c>
      <c r="Q187" s="9">
        <v>3900.3</v>
      </c>
      <c r="R187" s="9">
        <v>7.57</v>
      </c>
      <c r="S187" s="10">
        <f>PharmaProduction[[#This Row],[Actual_Units]]/PharmaProduction[[#This Row],[Planned_Units]]</f>
        <v>0.81549384663931834</v>
      </c>
      <c r="T187" s="10">
        <f>(8-PharmaProduction[[#This Row],[Downtime_hr]])/8</f>
        <v>0.90749999999999997</v>
      </c>
      <c r="U187" s="10">
        <f>((PharmaProduction[[#This Row],[Actual_Units]]/(8-PharmaProduction[[#This Row],[Downtime_hr]]))*8)/(PharmaProduction[[#This Row],[Planned_Units]])</f>
        <v>0.89861580896894588</v>
      </c>
      <c r="V187" s="10">
        <f>PharmaProduction[[#This Row],[Good_Units]]/PharmaProduction[[#This Row],[Actual_Units]]</f>
        <v>0.99072605089708377</v>
      </c>
      <c r="W187" s="10">
        <f>PharmaProduction[[#This Row],[Availability_%]]*PharmaProduction[[#This Row],[Performance_%]]*PharmaProduction[[#This Row],[Quality_%]]</f>
        <v>0.80793099821184389</v>
      </c>
      <c r="X187" s="10">
        <f>PharmaProduction[[#This Row],[Good_Units]]/PharmaProduction[[#This Row],[Planned_Units]]</f>
        <v>0.80793099821184389</v>
      </c>
      <c r="Y187" s="10">
        <f>PharmaProduction[[#This Row],[Rejected_Units]]/PharmaProduction[[#This Row],[Actual_Units]]</f>
        <v>9.2868475022249743E-3</v>
      </c>
      <c r="Z187" s="11">
        <f>PharmaProduction[[#This Row],[Actual_Units]]/PharmaProduction[[#This Row],[Labor_Hours]]</f>
        <v>169.27729257641923</v>
      </c>
      <c r="AA187" s="12">
        <f>PharmaProduction[[#This Row],[Energy_kWh]]/PharmaProduction[[#This Row],[Actual_Units]]</f>
        <v>0.50307626823511209</v>
      </c>
      <c r="AB187" s="12">
        <f>PharmaProduction[[#This Row],[Run_Hours]]+PharmaProduction[[#This Row],[Downtime_hr]]</f>
        <v>8.31</v>
      </c>
    </row>
    <row r="188" spans="1:28" x14ac:dyDescent="0.25">
      <c r="A188" s="9">
        <v>184</v>
      </c>
      <c r="B188" s="8">
        <v>46114</v>
      </c>
      <c r="C188" s="9" t="s">
        <v>35</v>
      </c>
      <c r="D188" s="9" t="s">
        <v>38</v>
      </c>
      <c r="E188" s="9" t="s">
        <v>42</v>
      </c>
      <c r="F188" s="9">
        <v>10736</v>
      </c>
      <c r="G188" s="9">
        <v>7103.5</v>
      </c>
      <c r="H188" s="9">
        <v>7049.3</v>
      </c>
      <c r="I188" s="9">
        <v>54.2</v>
      </c>
      <c r="J188" s="9">
        <v>7156.7</v>
      </c>
      <c r="K188" s="9">
        <v>2.02</v>
      </c>
      <c r="L188" s="9" t="s">
        <v>33</v>
      </c>
      <c r="M188" s="9" t="s">
        <v>34</v>
      </c>
      <c r="N188" s="9" t="s">
        <v>33</v>
      </c>
      <c r="O188" s="9">
        <v>0</v>
      </c>
      <c r="P188" s="9">
        <v>32.4</v>
      </c>
      <c r="Q188" s="9">
        <v>3637.2</v>
      </c>
      <c r="R188" s="9">
        <v>7.76</v>
      </c>
      <c r="S188" s="10">
        <f>PharmaProduction[[#This Row],[Actual_Units]]/PharmaProduction[[#This Row],[Planned_Units]]</f>
        <v>0.66165238450074515</v>
      </c>
      <c r="T188" s="10">
        <f>(8-PharmaProduction[[#This Row],[Downtime_hr]])/8</f>
        <v>0.74750000000000005</v>
      </c>
      <c r="U188" s="10">
        <f>((PharmaProduction[[#This Row],[Actual_Units]]/(8-PharmaProduction[[#This Row],[Downtime_hr]]))*8)/(PharmaProduction[[#This Row],[Planned_Units]])</f>
        <v>0.88515369163979285</v>
      </c>
      <c r="V188" s="10">
        <f>PharmaProduction[[#This Row],[Good_Units]]/PharmaProduction[[#This Row],[Actual_Units]]</f>
        <v>0.99236995847117626</v>
      </c>
      <c r="W188" s="10">
        <f>PharmaProduction[[#This Row],[Availability_%]]*PharmaProduction[[#This Row],[Performance_%]]*PharmaProduction[[#This Row],[Quality_%]]</f>
        <v>0.65660394932935917</v>
      </c>
      <c r="X188" s="10">
        <f>PharmaProduction[[#This Row],[Good_Units]]/PharmaProduction[[#This Row],[Planned_Units]]</f>
        <v>0.65660394932935917</v>
      </c>
      <c r="Y188" s="10">
        <f>PharmaProduction[[#This Row],[Rejected_Units]]/PharmaProduction[[#This Row],[Actual_Units]]</f>
        <v>7.6300415288238195E-3</v>
      </c>
      <c r="Z188" s="11">
        <f>PharmaProduction[[#This Row],[Actual_Units]]/PharmaProduction[[#This Row],[Labor_Hours]]</f>
        <v>219.24382716049385</v>
      </c>
      <c r="AA188" s="12">
        <f>PharmaProduction[[#This Row],[Energy_kWh]]/PharmaProduction[[#This Row],[Actual_Units]]</f>
        <v>0.51202928134018444</v>
      </c>
      <c r="AB188" s="12">
        <f>PharmaProduction[[#This Row],[Run_Hours]]+PharmaProduction[[#This Row],[Downtime_hr]]</f>
        <v>9.7799999999999994</v>
      </c>
    </row>
    <row r="189" spans="1:28" x14ac:dyDescent="0.25">
      <c r="A189" s="9">
        <v>185</v>
      </c>
      <c r="B189" s="8">
        <v>46115</v>
      </c>
      <c r="C189" s="9" t="s">
        <v>30</v>
      </c>
      <c r="D189" s="9" t="s">
        <v>38</v>
      </c>
      <c r="E189" s="9" t="s">
        <v>32</v>
      </c>
      <c r="F189" s="9">
        <v>10291</v>
      </c>
      <c r="G189" s="9">
        <v>8695</v>
      </c>
      <c r="H189" s="9">
        <v>8570.9</v>
      </c>
      <c r="I189" s="9">
        <v>124.1</v>
      </c>
      <c r="J189" s="9">
        <v>8857.9</v>
      </c>
      <c r="K189" s="9">
        <v>0.38</v>
      </c>
      <c r="L189" s="9" t="s">
        <v>33</v>
      </c>
      <c r="M189" s="9" t="s">
        <v>34</v>
      </c>
      <c r="N189" s="9" t="s">
        <v>33</v>
      </c>
      <c r="O189" s="9">
        <v>0</v>
      </c>
      <c r="P189" s="9">
        <v>45.2</v>
      </c>
      <c r="Q189" s="9">
        <v>4553.8</v>
      </c>
      <c r="R189" s="9">
        <v>6.99</v>
      </c>
      <c r="S189" s="10">
        <f>PharmaProduction[[#This Row],[Actual_Units]]/PharmaProduction[[#This Row],[Planned_Units]]</f>
        <v>0.8449130308036148</v>
      </c>
      <c r="T189" s="10">
        <f>(8-PharmaProduction[[#This Row],[Downtime_hr]])/8</f>
        <v>0.95250000000000001</v>
      </c>
      <c r="U189" s="10">
        <f>((PharmaProduction[[#This Row],[Actual_Units]]/(8-PharmaProduction[[#This Row],[Downtime_hr]]))*8)/(PharmaProduction[[#This Row],[Planned_Units]])</f>
        <v>0.88704780136862449</v>
      </c>
      <c r="V189" s="10">
        <f>PharmaProduction[[#This Row],[Good_Units]]/PharmaProduction[[#This Row],[Actual_Units]]</f>
        <v>0.98572742955721671</v>
      </c>
      <c r="W189" s="10">
        <f>PharmaProduction[[#This Row],[Availability_%]]*PharmaProduction[[#This Row],[Performance_%]]*PharmaProduction[[#This Row],[Quality_%]]</f>
        <v>0.83285395005344465</v>
      </c>
      <c r="X189" s="10">
        <f>PharmaProduction[[#This Row],[Good_Units]]/PharmaProduction[[#This Row],[Planned_Units]]</f>
        <v>0.83285395005344476</v>
      </c>
      <c r="Y189" s="10">
        <f>PharmaProduction[[#This Row],[Rejected_Units]]/PharmaProduction[[#This Row],[Actual_Units]]</f>
        <v>1.4272570442783208E-2</v>
      </c>
      <c r="Z189" s="11">
        <f>PharmaProduction[[#This Row],[Actual_Units]]/PharmaProduction[[#This Row],[Labor_Hours]]</f>
        <v>192.36725663716814</v>
      </c>
      <c r="AA189" s="12">
        <f>PharmaProduction[[#This Row],[Energy_kWh]]/PharmaProduction[[#This Row],[Actual_Units]]</f>
        <v>0.52372627947096029</v>
      </c>
      <c r="AB189" s="12">
        <f>PharmaProduction[[#This Row],[Run_Hours]]+PharmaProduction[[#This Row],[Downtime_hr]]</f>
        <v>7.37</v>
      </c>
    </row>
    <row r="190" spans="1:28" x14ac:dyDescent="0.25">
      <c r="A190" s="9">
        <v>186</v>
      </c>
      <c r="B190" s="8">
        <v>46115</v>
      </c>
      <c r="C190" s="9" t="s">
        <v>35</v>
      </c>
      <c r="D190" s="9" t="s">
        <v>31</v>
      </c>
      <c r="E190" s="9" t="s">
        <v>39</v>
      </c>
      <c r="F190" s="9">
        <v>9505</v>
      </c>
      <c r="G190" s="9">
        <v>6557.6</v>
      </c>
      <c r="H190" s="9">
        <v>6426.7</v>
      </c>
      <c r="I190" s="9">
        <v>130.9</v>
      </c>
      <c r="J190" s="9">
        <v>6644.9</v>
      </c>
      <c r="K190" s="9">
        <v>1.98</v>
      </c>
      <c r="L190" s="9" t="s">
        <v>33</v>
      </c>
      <c r="M190" s="9" t="s">
        <v>34</v>
      </c>
      <c r="N190" s="9" t="s">
        <v>44</v>
      </c>
      <c r="O190" s="9">
        <v>510.41</v>
      </c>
      <c r="P190" s="9">
        <v>43.5</v>
      </c>
      <c r="Q190" s="9">
        <v>3326.8</v>
      </c>
      <c r="R190" s="9">
        <v>6.77</v>
      </c>
      <c r="S190" s="10">
        <f>PharmaProduction[[#This Row],[Actual_Units]]/PharmaProduction[[#This Row],[Planned_Units]]</f>
        <v>0.68991057338243034</v>
      </c>
      <c r="T190" s="10">
        <f>(8-PharmaProduction[[#This Row],[Downtime_hr]])/8</f>
        <v>0.75249999999999995</v>
      </c>
      <c r="U190" s="10">
        <f>((PharmaProduction[[#This Row],[Actual_Units]]/(8-PharmaProduction[[#This Row],[Downtime_hr]]))*8)/(PharmaProduction[[#This Row],[Planned_Units]])</f>
        <v>0.91682468223578795</v>
      </c>
      <c r="V190" s="10">
        <f>PharmaProduction[[#This Row],[Good_Units]]/PharmaProduction[[#This Row],[Actual_Units]]</f>
        <v>0.98003842869342439</v>
      </c>
      <c r="W190" s="10">
        <f>PharmaProduction[[#This Row],[Availability_%]]*PharmaProduction[[#This Row],[Performance_%]]*PharmaProduction[[#This Row],[Quality_%]]</f>
        <v>0.6761388742766965</v>
      </c>
      <c r="X190" s="10">
        <f>PharmaProduction[[#This Row],[Good_Units]]/PharmaProduction[[#This Row],[Planned_Units]]</f>
        <v>0.6761388742766965</v>
      </c>
      <c r="Y190" s="10">
        <f>PharmaProduction[[#This Row],[Rejected_Units]]/PharmaProduction[[#This Row],[Actual_Units]]</f>
        <v>1.9961571306575575E-2</v>
      </c>
      <c r="Z190" s="11">
        <f>PharmaProduction[[#This Row],[Actual_Units]]/PharmaProduction[[#This Row],[Labor_Hours]]</f>
        <v>150.74942528735633</v>
      </c>
      <c r="AA190" s="12">
        <f>PharmaProduction[[#This Row],[Energy_kWh]]/PharmaProduction[[#This Row],[Actual_Units]]</f>
        <v>0.50731975112846162</v>
      </c>
      <c r="AB190" s="12">
        <f>PharmaProduction[[#This Row],[Run_Hours]]+PharmaProduction[[#This Row],[Downtime_hr]]</f>
        <v>8.75</v>
      </c>
    </row>
    <row r="191" spans="1:28" x14ac:dyDescent="0.25">
      <c r="A191" s="9">
        <v>187</v>
      </c>
      <c r="B191" s="8">
        <v>46116</v>
      </c>
      <c r="C191" s="9" t="s">
        <v>30</v>
      </c>
      <c r="D191" s="9" t="s">
        <v>38</v>
      </c>
      <c r="E191" s="9" t="s">
        <v>42</v>
      </c>
      <c r="F191" s="9">
        <v>11849</v>
      </c>
      <c r="G191" s="9">
        <v>7857.7</v>
      </c>
      <c r="H191" s="9">
        <v>7726.3</v>
      </c>
      <c r="I191" s="9">
        <v>131.4</v>
      </c>
      <c r="J191" s="9">
        <v>7960.4</v>
      </c>
      <c r="K191" s="9">
        <v>2.71</v>
      </c>
      <c r="L191" s="9" t="s">
        <v>33</v>
      </c>
      <c r="M191" s="9" t="s">
        <v>34</v>
      </c>
      <c r="N191" s="9" t="s">
        <v>33</v>
      </c>
      <c r="O191" s="9">
        <v>0</v>
      </c>
      <c r="P191" s="9">
        <v>35.1</v>
      </c>
      <c r="Q191" s="9">
        <v>3975.8</v>
      </c>
      <c r="R191" s="9">
        <v>7.13</v>
      </c>
      <c r="S191" s="10">
        <f>PharmaProduction[[#This Row],[Actual_Units]]/PharmaProduction[[#This Row],[Planned_Units]]</f>
        <v>0.66315300869271665</v>
      </c>
      <c r="T191" s="10">
        <f>(8-PharmaProduction[[#This Row],[Downtime_hr]])/8</f>
        <v>0.66125</v>
      </c>
      <c r="U191" s="10">
        <f>((PharmaProduction[[#This Row],[Actual_Units]]/(8-PharmaProduction[[#This Row],[Downtime_hr]]))*8)/(PharmaProduction[[#This Row],[Planned_Units]])</f>
        <v>1.0028778959436169</v>
      </c>
      <c r="V191" s="10">
        <f>PharmaProduction[[#This Row],[Good_Units]]/PharmaProduction[[#This Row],[Actual_Units]]</f>
        <v>0.98327754941013279</v>
      </c>
      <c r="W191" s="10">
        <f>PharmaProduction[[#This Row],[Availability_%]]*PharmaProduction[[#This Row],[Performance_%]]*PharmaProduction[[#This Row],[Quality_%]]</f>
        <v>0.65206346527133097</v>
      </c>
      <c r="X191" s="10">
        <f>PharmaProduction[[#This Row],[Good_Units]]/PharmaProduction[[#This Row],[Planned_Units]]</f>
        <v>0.65206346527133097</v>
      </c>
      <c r="Y191" s="10">
        <f>PharmaProduction[[#This Row],[Rejected_Units]]/PharmaProduction[[#This Row],[Actual_Units]]</f>
        <v>1.6722450589867266E-2</v>
      </c>
      <c r="Z191" s="11">
        <f>PharmaProduction[[#This Row],[Actual_Units]]/PharmaProduction[[#This Row],[Labor_Hours]]</f>
        <v>223.86609686609685</v>
      </c>
      <c r="AA191" s="12">
        <f>PharmaProduction[[#This Row],[Energy_kWh]]/PharmaProduction[[#This Row],[Actual_Units]]</f>
        <v>0.50597503086144802</v>
      </c>
      <c r="AB191" s="12">
        <f>PharmaProduction[[#This Row],[Run_Hours]]+PharmaProduction[[#This Row],[Downtime_hr]]</f>
        <v>9.84</v>
      </c>
    </row>
    <row r="192" spans="1:28" x14ac:dyDescent="0.25">
      <c r="A192" s="9">
        <v>188</v>
      </c>
      <c r="B192" s="8">
        <v>46116</v>
      </c>
      <c r="C192" s="9" t="s">
        <v>35</v>
      </c>
      <c r="D192" s="9" t="s">
        <v>36</v>
      </c>
      <c r="E192" s="9" t="s">
        <v>42</v>
      </c>
      <c r="F192" s="9">
        <v>10585</v>
      </c>
      <c r="G192" s="9">
        <v>9617.9</v>
      </c>
      <c r="H192" s="9">
        <v>9471.2000000000007</v>
      </c>
      <c r="I192" s="9">
        <v>146.69999999999999</v>
      </c>
      <c r="J192" s="9">
        <v>9761.2999999999993</v>
      </c>
      <c r="K192" s="9">
        <v>0</v>
      </c>
      <c r="L192" s="9" t="s">
        <v>33</v>
      </c>
      <c r="M192" s="9" t="s">
        <v>34</v>
      </c>
      <c r="N192" s="9" t="s">
        <v>33</v>
      </c>
      <c r="O192" s="9">
        <v>0</v>
      </c>
      <c r="P192" s="9">
        <v>41.2</v>
      </c>
      <c r="Q192" s="9">
        <v>5025.7</v>
      </c>
      <c r="R192" s="9">
        <v>7.08</v>
      </c>
      <c r="S192" s="10">
        <f>PharmaProduction[[#This Row],[Actual_Units]]/PharmaProduction[[#This Row],[Planned_Units]]</f>
        <v>0.90863486065186583</v>
      </c>
      <c r="T192" s="10">
        <f>(8-PharmaProduction[[#This Row],[Downtime_hr]])/8</f>
        <v>1</v>
      </c>
      <c r="U192" s="10">
        <f>((PharmaProduction[[#This Row],[Actual_Units]]/(8-PharmaProduction[[#This Row],[Downtime_hr]]))*8)/(PharmaProduction[[#This Row],[Planned_Units]])</f>
        <v>0.90863486065186583</v>
      </c>
      <c r="V192" s="10">
        <f>PharmaProduction[[#This Row],[Good_Units]]/PharmaProduction[[#This Row],[Actual_Units]]</f>
        <v>0.98474719013506073</v>
      </c>
      <c r="W192" s="10">
        <f>PharmaProduction[[#This Row],[Availability_%]]*PharmaProduction[[#This Row],[Performance_%]]*PharmaProduction[[#This Row],[Quality_%]]</f>
        <v>0.89477562588568738</v>
      </c>
      <c r="X192" s="10">
        <f>PharmaProduction[[#This Row],[Good_Units]]/PharmaProduction[[#This Row],[Planned_Units]]</f>
        <v>0.89477562588568738</v>
      </c>
      <c r="Y192" s="10">
        <f>PharmaProduction[[#This Row],[Rejected_Units]]/PharmaProduction[[#This Row],[Actual_Units]]</f>
        <v>1.5252809864939331E-2</v>
      </c>
      <c r="Z192" s="11">
        <f>PharmaProduction[[#This Row],[Actual_Units]]/PharmaProduction[[#This Row],[Labor_Hours]]</f>
        <v>233.44417475728153</v>
      </c>
      <c r="AA192" s="12">
        <f>PharmaProduction[[#This Row],[Energy_kWh]]/PharmaProduction[[#This Row],[Actual_Units]]</f>
        <v>0.5225361045550484</v>
      </c>
      <c r="AB192" s="12">
        <f>PharmaProduction[[#This Row],[Run_Hours]]+PharmaProduction[[#This Row],[Downtime_hr]]</f>
        <v>7.08</v>
      </c>
    </row>
    <row r="193" spans="1:28" x14ac:dyDescent="0.25">
      <c r="A193" s="9">
        <v>189</v>
      </c>
      <c r="B193" s="8">
        <v>46117</v>
      </c>
      <c r="C193" s="9" t="s">
        <v>30</v>
      </c>
      <c r="D193" s="9" t="s">
        <v>38</v>
      </c>
      <c r="E193" s="9" t="s">
        <v>32</v>
      </c>
      <c r="F193" s="9">
        <v>9146</v>
      </c>
      <c r="G193" s="9">
        <v>7711.5</v>
      </c>
      <c r="H193" s="9">
        <v>7584.3</v>
      </c>
      <c r="I193" s="9">
        <v>127.2</v>
      </c>
      <c r="J193" s="9">
        <v>7786.8</v>
      </c>
      <c r="K193" s="9">
        <v>0.48</v>
      </c>
      <c r="L193" s="9" t="s">
        <v>33</v>
      </c>
      <c r="M193" s="9" t="s">
        <v>34</v>
      </c>
      <c r="N193" s="9" t="s">
        <v>33</v>
      </c>
      <c r="O193" s="9">
        <v>0</v>
      </c>
      <c r="P193" s="9">
        <v>51.9</v>
      </c>
      <c r="Q193" s="9">
        <v>4259.7</v>
      </c>
      <c r="R193" s="9">
        <v>6.83</v>
      </c>
      <c r="S193" s="10">
        <f>PharmaProduction[[#This Row],[Actual_Units]]/PharmaProduction[[#This Row],[Planned_Units]]</f>
        <v>0.84315547780450473</v>
      </c>
      <c r="T193" s="10">
        <f>(8-PharmaProduction[[#This Row],[Downtime_hr]])/8</f>
        <v>0.94</v>
      </c>
      <c r="U193" s="10">
        <f>((PharmaProduction[[#This Row],[Actual_Units]]/(8-PharmaProduction[[#This Row],[Downtime_hr]]))*8)/(PharmaProduction[[#This Row],[Planned_Units]])</f>
        <v>0.89697391255798375</v>
      </c>
      <c r="V193" s="10">
        <f>PharmaProduction[[#This Row],[Good_Units]]/PharmaProduction[[#This Row],[Actual_Units]]</f>
        <v>0.98350515463917532</v>
      </c>
      <c r="W193" s="10">
        <f>PharmaProduction[[#This Row],[Availability_%]]*PharmaProduction[[#This Row],[Performance_%]]*PharmaProduction[[#This Row],[Quality_%]]</f>
        <v>0.82924775858298716</v>
      </c>
      <c r="X193" s="10">
        <f>PharmaProduction[[#This Row],[Good_Units]]/PharmaProduction[[#This Row],[Planned_Units]]</f>
        <v>0.82924775858298716</v>
      </c>
      <c r="Y193" s="10">
        <f>PharmaProduction[[#This Row],[Rejected_Units]]/PharmaProduction[[#This Row],[Actual_Units]]</f>
        <v>1.6494845360824743E-2</v>
      </c>
      <c r="Z193" s="11">
        <f>PharmaProduction[[#This Row],[Actual_Units]]/PharmaProduction[[#This Row],[Labor_Hours]]</f>
        <v>148.58381502890174</v>
      </c>
      <c r="AA193" s="12">
        <f>PharmaProduction[[#This Row],[Energy_kWh]]/PharmaProduction[[#This Row],[Actual_Units]]</f>
        <v>0.55238280490177005</v>
      </c>
      <c r="AB193" s="12">
        <f>PharmaProduction[[#This Row],[Run_Hours]]+PharmaProduction[[#This Row],[Downtime_hr]]</f>
        <v>7.3100000000000005</v>
      </c>
    </row>
    <row r="194" spans="1:28" x14ac:dyDescent="0.25">
      <c r="A194" s="9">
        <v>190</v>
      </c>
      <c r="B194" s="8">
        <v>46117</v>
      </c>
      <c r="C194" s="9" t="s">
        <v>35</v>
      </c>
      <c r="D194" s="9" t="s">
        <v>31</v>
      </c>
      <c r="E194" s="9" t="s">
        <v>39</v>
      </c>
      <c r="F194" s="9">
        <v>10097</v>
      </c>
      <c r="G194" s="9">
        <v>6516</v>
      </c>
      <c r="H194" s="9">
        <v>6472.8</v>
      </c>
      <c r="I194" s="9">
        <v>43.1</v>
      </c>
      <c r="J194" s="9">
        <v>6634.3</v>
      </c>
      <c r="K194" s="9">
        <v>2.73</v>
      </c>
      <c r="L194" s="9" t="s">
        <v>33</v>
      </c>
      <c r="M194" s="9" t="s">
        <v>34</v>
      </c>
      <c r="N194" s="9" t="s">
        <v>44</v>
      </c>
      <c r="O194" s="9">
        <v>998.86</v>
      </c>
      <c r="P194" s="9">
        <v>45.9</v>
      </c>
      <c r="Q194" s="9">
        <v>3510.9</v>
      </c>
      <c r="R194" s="9">
        <v>7.21</v>
      </c>
      <c r="S194" s="10">
        <f>PharmaProduction[[#This Row],[Actual_Units]]/PharmaProduction[[#This Row],[Planned_Units]]</f>
        <v>0.64534020005942361</v>
      </c>
      <c r="T194" s="10">
        <f>(8-PharmaProduction[[#This Row],[Downtime_hr]])/8</f>
        <v>0.65874999999999995</v>
      </c>
      <c r="U194" s="10">
        <f>((PharmaProduction[[#This Row],[Actual_Units]]/(8-PharmaProduction[[#This Row],[Downtime_hr]]))*8)/(PharmaProduction[[#This Row],[Planned_Units]])</f>
        <v>0.97964356745263548</v>
      </c>
      <c r="V194" s="10">
        <f>PharmaProduction[[#This Row],[Good_Units]]/PharmaProduction[[#This Row],[Actual_Units]]</f>
        <v>0.99337016574585635</v>
      </c>
      <c r="W194" s="10">
        <f>PharmaProduction[[#This Row],[Availability_%]]*PharmaProduction[[#This Row],[Performance_%]]*PharmaProduction[[#This Row],[Quality_%]]</f>
        <v>0.64106170149549369</v>
      </c>
      <c r="X194" s="10">
        <f>PharmaProduction[[#This Row],[Good_Units]]/PharmaProduction[[#This Row],[Planned_Units]]</f>
        <v>0.64106170149549369</v>
      </c>
      <c r="Y194" s="10">
        <f>PharmaProduction[[#This Row],[Rejected_Units]]/PharmaProduction[[#This Row],[Actual_Units]]</f>
        <v>6.6144874155923883E-3</v>
      </c>
      <c r="Z194" s="11">
        <f>PharmaProduction[[#This Row],[Actual_Units]]/PharmaProduction[[#This Row],[Labor_Hours]]</f>
        <v>141.9607843137255</v>
      </c>
      <c r="AA194" s="12">
        <f>PharmaProduction[[#This Row],[Energy_kWh]]/PharmaProduction[[#This Row],[Actual_Units]]</f>
        <v>0.53881215469613264</v>
      </c>
      <c r="AB194" s="12">
        <f>PharmaProduction[[#This Row],[Run_Hours]]+PharmaProduction[[#This Row],[Downtime_hr]]</f>
        <v>9.94</v>
      </c>
    </row>
    <row r="195" spans="1:28" x14ac:dyDescent="0.25">
      <c r="A195" s="9">
        <v>191</v>
      </c>
      <c r="B195" s="8">
        <v>46118</v>
      </c>
      <c r="C195" s="9" t="s">
        <v>30</v>
      </c>
      <c r="D195" s="9" t="s">
        <v>36</v>
      </c>
      <c r="E195" s="9" t="s">
        <v>39</v>
      </c>
      <c r="F195" s="9">
        <v>11160</v>
      </c>
      <c r="G195" s="9">
        <v>9182.2000000000007</v>
      </c>
      <c r="H195" s="9">
        <v>9076.9</v>
      </c>
      <c r="I195" s="9">
        <v>105.3</v>
      </c>
      <c r="J195" s="9">
        <v>9219.9</v>
      </c>
      <c r="K195" s="9">
        <v>0.77</v>
      </c>
      <c r="L195" s="9" t="s">
        <v>40</v>
      </c>
      <c r="M195" s="9" t="s">
        <v>34</v>
      </c>
      <c r="N195" s="9" t="s">
        <v>33</v>
      </c>
      <c r="O195" s="9">
        <v>0</v>
      </c>
      <c r="P195" s="9">
        <v>32.1</v>
      </c>
      <c r="Q195" s="9">
        <v>5471.9</v>
      </c>
      <c r="R195" s="9">
        <v>6.63</v>
      </c>
      <c r="S195" s="10">
        <f>PharmaProduction[[#This Row],[Actual_Units]]/PharmaProduction[[#This Row],[Planned_Units]]</f>
        <v>0.82277777777777783</v>
      </c>
      <c r="T195" s="10">
        <f>(8-PharmaProduction[[#This Row],[Downtime_hr]])/8</f>
        <v>0.90375000000000005</v>
      </c>
      <c r="U195" s="10">
        <f>((PharmaProduction[[#This Row],[Actual_Units]]/(8-PharmaProduction[[#This Row],[Downtime_hr]]))*8)/(PharmaProduction[[#This Row],[Planned_Units]])</f>
        <v>0.9104041801137237</v>
      </c>
      <c r="V195" s="10">
        <f>PharmaProduction[[#This Row],[Good_Units]]/PharmaProduction[[#This Row],[Actual_Units]]</f>
        <v>0.98853216004878997</v>
      </c>
      <c r="W195" s="10">
        <f>PharmaProduction[[#This Row],[Availability_%]]*PharmaProduction[[#This Row],[Performance_%]]*PharmaProduction[[#This Row],[Quality_%]]</f>
        <v>0.81334229390681001</v>
      </c>
      <c r="X195" s="10">
        <f>PharmaProduction[[#This Row],[Good_Units]]/PharmaProduction[[#This Row],[Planned_Units]]</f>
        <v>0.81334229390681001</v>
      </c>
      <c r="Y195" s="10">
        <f>PharmaProduction[[#This Row],[Rejected_Units]]/PharmaProduction[[#This Row],[Actual_Units]]</f>
        <v>1.1467839951209948E-2</v>
      </c>
      <c r="Z195" s="11">
        <f>PharmaProduction[[#This Row],[Actual_Units]]/PharmaProduction[[#This Row],[Labor_Hours]]</f>
        <v>286.04984423676012</v>
      </c>
      <c r="AA195" s="12">
        <f>PharmaProduction[[#This Row],[Energy_kWh]]/PharmaProduction[[#This Row],[Actual_Units]]</f>
        <v>0.5959247239223715</v>
      </c>
      <c r="AB195" s="12">
        <f>PharmaProduction[[#This Row],[Run_Hours]]+PharmaProduction[[#This Row],[Downtime_hr]]</f>
        <v>7.4</v>
      </c>
    </row>
    <row r="196" spans="1:28" x14ac:dyDescent="0.25">
      <c r="A196" s="9">
        <v>192</v>
      </c>
      <c r="B196" s="8">
        <v>46118</v>
      </c>
      <c r="C196" s="9" t="s">
        <v>35</v>
      </c>
      <c r="D196" s="9" t="s">
        <v>36</v>
      </c>
      <c r="E196" s="9" t="s">
        <v>39</v>
      </c>
      <c r="F196" s="9">
        <v>10957</v>
      </c>
      <c r="G196" s="9">
        <v>8533.1</v>
      </c>
      <c r="H196" s="9">
        <v>8416.5</v>
      </c>
      <c r="I196" s="9">
        <v>116.6</v>
      </c>
      <c r="J196" s="9">
        <v>8691.2000000000007</v>
      </c>
      <c r="K196" s="9">
        <v>1.48</v>
      </c>
      <c r="L196" s="9" t="s">
        <v>33</v>
      </c>
      <c r="M196" s="9" t="s">
        <v>34</v>
      </c>
      <c r="N196" s="9" t="s">
        <v>33</v>
      </c>
      <c r="O196" s="9">
        <v>0</v>
      </c>
      <c r="P196" s="9">
        <v>41</v>
      </c>
      <c r="Q196" s="9">
        <v>4614.6000000000004</v>
      </c>
      <c r="R196" s="9">
        <v>7.16</v>
      </c>
      <c r="S196" s="10">
        <f>PharmaProduction[[#This Row],[Actual_Units]]/PharmaProduction[[#This Row],[Planned_Units]]</f>
        <v>0.77878068814456514</v>
      </c>
      <c r="T196" s="10">
        <f>(8-PharmaProduction[[#This Row],[Downtime_hr]])/8</f>
        <v>0.81499999999999995</v>
      </c>
      <c r="U196" s="10">
        <f>((PharmaProduction[[#This Row],[Actual_Units]]/(8-PharmaProduction[[#This Row],[Downtime_hr]]))*8)/(PharmaProduction[[#This Row],[Planned_Units]])</f>
        <v>0.95555912655774877</v>
      </c>
      <c r="V196" s="10">
        <f>PharmaProduction[[#This Row],[Good_Units]]/PharmaProduction[[#This Row],[Actual_Units]]</f>
        <v>0.9863355638630743</v>
      </c>
      <c r="W196" s="10">
        <f>PharmaProduction[[#This Row],[Availability_%]]*PharmaProduction[[#This Row],[Performance_%]]*PharmaProduction[[#This Row],[Quality_%]]</f>
        <v>0.76813908916674278</v>
      </c>
      <c r="X196" s="10">
        <f>PharmaProduction[[#This Row],[Good_Units]]/PharmaProduction[[#This Row],[Planned_Units]]</f>
        <v>0.76813908916674267</v>
      </c>
      <c r="Y196" s="10">
        <f>PharmaProduction[[#This Row],[Rejected_Units]]/PharmaProduction[[#This Row],[Actual_Units]]</f>
        <v>1.3664436136925617E-2</v>
      </c>
      <c r="Z196" s="11">
        <f>PharmaProduction[[#This Row],[Actual_Units]]/PharmaProduction[[#This Row],[Labor_Hours]]</f>
        <v>208.12439024390244</v>
      </c>
      <c r="AA196" s="12">
        <f>PharmaProduction[[#This Row],[Energy_kWh]]/PharmaProduction[[#This Row],[Actual_Units]]</f>
        <v>0.54078822467801857</v>
      </c>
      <c r="AB196" s="12">
        <f>PharmaProduction[[#This Row],[Run_Hours]]+PharmaProduction[[#This Row],[Downtime_hr]]</f>
        <v>8.64</v>
      </c>
    </row>
    <row r="197" spans="1:28" x14ac:dyDescent="0.25">
      <c r="A197" s="9">
        <v>193</v>
      </c>
      <c r="B197" s="8">
        <v>46119</v>
      </c>
      <c r="C197" s="9" t="s">
        <v>30</v>
      </c>
      <c r="D197" s="9" t="s">
        <v>36</v>
      </c>
      <c r="E197" s="9" t="s">
        <v>39</v>
      </c>
      <c r="F197" s="9">
        <v>10893</v>
      </c>
      <c r="G197" s="9">
        <v>7686</v>
      </c>
      <c r="H197" s="9">
        <v>7570.8</v>
      </c>
      <c r="I197" s="9">
        <v>115.3</v>
      </c>
      <c r="J197" s="9">
        <v>7796.6</v>
      </c>
      <c r="K197" s="9">
        <v>1.68</v>
      </c>
      <c r="L197" s="9" t="s">
        <v>43</v>
      </c>
      <c r="M197" s="9" t="s">
        <v>34</v>
      </c>
      <c r="N197" s="9" t="s">
        <v>33</v>
      </c>
      <c r="O197" s="9">
        <v>0</v>
      </c>
      <c r="P197" s="9">
        <v>41.5</v>
      </c>
      <c r="Q197" s="9">
        <v>3866.6</v>
      </c>
      <c r="R197" s="9">
        <v>7.03</v>
      </c>
      <c r="S197" s="10">
        <f>PharmaProduction[[#This Row],[Actual_Units]]/PharmaProduction[[#This Row],[Planned_Units]]</f>
        <v>0.70559074635086749</v>
      </c>
      <c r="T197" s="10">
        <f>(8-PharmaProduction[[#This Row],[Downtime_hr]])/8</f>
        <v>0.79</v>
      </c>
      <c r="U197" s="10">
        <f>((PharmaProduction[[#This Row],[Actual_Units]]/(8-PharmaProduction[[#This Row],[Downtime_hr]]))*8)/(PharmaProduction[[#This Row],[Planned_Units]])</f>
        <v>0.89315284348211077</v>
      </c>
      <c r="V197" s="10">
        <f>PharmaProduction[[#This Row],[Good_Units]]/PharmaProduction[[#This Row],[Actual_Units]]</f>
        <v>0.98501170960187356</v>
      </c>
      <c r="W197" s="10">
        <f>PharmaProduction[[#This Row],[Availability_%]]*PharmaProduction[[#This Row],[Performance_%]]*PharmaProduction[[#This Row],[Quality_%]]</f>
        <v>0.69501514734232994</v>
      </c>
      <c r="X197" s="10">
        <f>PharmaProduction[[#This Row],[Good_Units]]/PharmaProduction[[#This Row],[Planned_Units]]</f>
        <v>0.69501514734232994</v>
      </c>
      <c r="Y197" s="10">
        <f>PharmaProduction[[#This Row],[Rejected_Units]]/PharmaProduction[[#This Row],[Actual_Units]]</f>
        <v>1.5001301066874837E-2</v>
      </c>
      <c r="Z197" s="11">
        <f>PharmaProduction[[#This Row],[Actual_Units]]/PharmaProduction[[#This Row],[Labor_Hours]]</f>
        <v>185.20481927710844</v>
      </c>
      <c r="AA197" s="12">
        <f>PharmaProduction[[#This Row],[Energy_kWh]]/PharmaProduction[[#This Row],[Actual_Units]]</f>
        <v>0.5030705178246162</v>
      </c>
      <c r="AB197" s="12">
        <f>PharmaProduction[[#This Row],[Run_Hours]]+PharmaProduction[[#This Row],[Downtime_hr]]</f>
        <v>8.7100000000000009</v>
      </c>
    </row>
    <row r="198" spans="1:28" x14ac:dyDescent="0.25">
      <c r="A198" s="9">
        <v>194</v>
      </c>
      <c r="B198" s="8">
        <v>46119</v>
      </c>
      <c r="C198" s="9" t="s">
        <v>35</v>
      </c>
      <c r="D198" s="9" t="s">
        <v>36</v>
      </c>
      <c r="E198" s="9" t="s">
        <v>39</v>
      </c>
      <c r="F198" s="9">
        <v>9418</v>
      </c>
      <c r="G198" s="9">
        <v>9256.6</v>
      </c>
      <c r="H198" s="9">
        <v>9208.2999999999993</v>
      </c>
      <c r="I198" s="9">
        <v>48.3</v>
      </c>
      <c r="J198" s="9">
        <v>9341.7000000000007</v>
      </c>
      <c r="K198" s="9">
        <v>0</v>
      </c>
      <c r="L198" s="9" t="s">
        <v>33</v>
      </c>
      <c r="M198" s="9" t="s">
        <v>34</v>
      </c>
      <c r="N198" s="9" t="s">
        <v>47</v>
      </c>
      <c r="O198" s="9">
        <v>1756.92</v>
      </c>
      <c r="P198" s="9">
        <v>36.799999999999997</v>
      </c>
      <c r="Q198" s="9">
        <v>4607.2</v>
      </c>
      <c r="R198" s="9">
        <v>7.35</v>
      </c>
      <c r="S198" s="10">
        <f>PharmaProduction[[#This Row],[Actual_Units]]/PharmaProduction[[#This Row],[Planned_Units]]</f>
        <v>0.98286260352516464</v>
      </c>
      <c r="T198" s="10">
        <f>(8-PharmaProduction[[#This Row],[Downtime_hr]])/8</f>
        <v>1</v>
      </c>
      <c r="U198" s="10">
        <f>((PharmaProduction[[#This Row],[Actual_Units]]/(8-PharmaProduction[[#This Row],[Downtime_hr]]))*8)/(PharmaProduction[[#This Row],[Planned_Units]])</f>
        <v>0.98286260352516464</v>
      </c>
      <c r="V198" s="10">
        <f>PharmaProduction[[#This Row],[Good_Units]]/PharmaProduction[[#This Row],[Actual_Units]]</f>
        <v>0.99478210141952761</v>
      </c>
      <c r="W198" s="10">
        <f>PharmaProduction[[#This Row],[Availability_%]]*PharmaProduction[[#This Row],[Performance_%]]*PharmaProduction[[#This Row],[Quality_%]]</f>
        <v>0.97773412614143129</v>
      </c>
      <c r="X198" s="10">
        <f>PharmaProduction[[#This Row],[Good_Units]]/PharmaProduction[[#This Row],[Planned_Units]]</f>
        <v>0.97773412614143118</v>
      </c>
      <c r="Y198" s="10">
        <f>PharmaProduction[[#This Row],[Rejected_Units]]/PharmaProduction[[#This Row],[Actual_Units]]</f>
        <v>5.2178985804723112E-3</v>
      </c>
      <c r="Z198" s="11">
        <f>PharmaProduction[[#This Row],[Actual_Units]]/PharmaProduction[[#This Row],[Labor_Hours]]</f>
        <v>251.5380434782609</v>
      </c>
      <c r="AA198" s="12">
        <f>PharmaProduction[[#This Row],[Energy_kWh]]/PharmaProduction[[#This Row],[Actual_Units]]</f>
        <v>0.49772054534062177</v>
      </c>
      <c r="AB198" s="12">
        <f>PharmaProduction[[#This Row],[Run_Hours]]+PharmaProduction[[#This Row],[Downtime_hr]]</f>
        <v>7.35</v>
      </c>
    </row>
    <row r="199" spans="1:28" x14ac:dyDescent="0.25">
      <c r="A199" s="9">
        <v>195</v>
      </c>
      <c r="B199" s="8">
        <v>46120</v>
      </c>
      <c r="C199" s="9" t="s">
        <v>30</v>
      </c>
      <c r="D199" s="9" t="s">
        <v>38</v>
      </c>
      <c r="E199" s="9" t="s">
        <v>42</v>
      </c>
      <c r="F199" s="9">
        <v>11551</v>
      </c>
      <c r="G199" s="9">
        <v>9513.7000000000007</v>
      </c>
      <c r="H199" s="9">
        <v>9237.9</v>
      </c>
      <c r="I199" s="9">
        <v>275.8</v>
      </c>
      <c r="J199" s="9">
        <v>9686.7000000000007</v>
      </c>
      <c r="K199" s="9">
        <v>0.61</v>
      </c>
      <c r="L199" s="9" t="s">
        <v>33</v>
      </c>
      <c r="M199" s="9" t="s">
        <v>34</v>
      </c>
      <c r="N199" s="9" t="s">
        <v>33</v>
      </c>
      <c r="O199" s="9">
        <v>0</v>
      </c>
      <c r="P199" s="9">
        <v>42.3</v>
      </c>
      <c r="Q199" s="9">
        <v>4332.2</v>
      </c>
      <c r="R199" s="9">
        <v>6.84</v>
      </c>
      <c r="S199" s="10">
        <f>PharmaProduction[[#This Row],[Actual_Units]]/PharmaProduction[[#This Row],[Planned_Units]]</f>
        <v>0.82362566011600735</v>
      </c>
      <c r="T199" s="10">
        <f>(8-PharmaProduction[[#This Row],[Downtime_hr]])/8</f>
        <v>0.92374999999999996</v>
      </c>
      <c r="U199" s="10">
        <f>((PharmaProduction[[#This Row],[Actual_Units]]/(8-PharmaProduction[[#This Row],[Downtime_hr]]))*8)/(PharmaProduction[[#This Row],[Planned_Units]])</f>
        <v>0.89161099877240302</v>
      </c>
      <c r="V199" s="10">
        <f>PharmaProduction[[#This Row],[Good_Units]]/PharmaProduction[[#This Row],[Actual_Units]]</f>
        <v>0.97101022735633868</v>
      </c>
      <c r="W199" s="10">
        <f>PharmaProduction[[#This Row],[Availability_%]]*PharmaProduction[[#This Row],[Performance_%]]*PharmaProduction[[#This Row],[Quality_%]]</f>
        <v>0.79974893948575876</v>
      </c>
      <c r="X199" s="10">
        <f>PharmaProduction[[#This Row],[Good_Units]]/PharmaProduction[[#This Row],[Planned_Units]]</f>
        <v>0.79974893948575876</v>
      </c>
      <c r="Y199" s="10">
        <f>PharmaProduction[[#This Row],[Rejected_Units]]/PharmaProduction[[#This Row],[Actual_Units]]</f>
        <v>2.8989772643661246E-2</v>
      </c>
      <c r="Z199" s="11">
        <f>PharmaProduction[[#This Row],[Actual_Units]]/PharmaProduction[[#This Row],[Labor_Hours]]</f>
        <v>224.91016548463361</v>
      </c>
      <c r="AA199" s="12">
        <f>PharmaProduction[[#This Row],[Energy_kWh]]/PharmaProduction[[#This Row],[Actual_Units]]</f>
        <v>0.45536436927798851</v>
      </c>
      <c r="AB199" s="12">
        <f>PharmaProduction[[#This Row],[Run_Hours]]+PharmaProduction[[#This Row],[Downtime_hr]]</f>
        <v>7.45</v>
      </c>
    </row>
    <row r="200" spans="1:28" x14ac:dyDescent="0.25">
      <c r="A200" s="9">
        <v>196</v>
      </c>
      <c r="B200" s="8">
        <v>46120</v>
      </c>
      <c r="C200" s="9" t="s">
        <v>35</v>
      </c>
      <c r="D200" s="9" t="s">
        <v>38</v>
      </c>
      <c r="E200" s="9" t="s">
        <v>39</v>
      </c>
      <c r="F200" s="9">
        <v>9940</v>
      </c>
      <c r="G200" s="9">
        <v>7093.1</v>
      </c>
      <c r="H200" s="9">
        <v>7005.8</v>
      </c>
      <c r="I200" s="9">
        <v>87.3</v>
      </c>
      <c r="J200" s="9">
        <v>7203.9</v>
      </c>
      <c r="K200" s="9">
        <v>1.52</v>
      </c>
      <c r="L200" s="9" t="s">
        <v>33</v>
      </c>
      <c r="M200" s="9" t="s">
        <v>34</v>
      </c>
      <c r="N200" s="9" t="s">
        <v>33</v>
      </c>
      <c r="O200" s="9">
        <v>0</v>
      </c>
      <c r="P200" s="9">
        <v>45.4</v>
      </c>
      <c r="Q200" s="9">
        <v>3716</v>
      </c>
      <c r="R200" s="9">
        <v>6.52</v>
      </c>
      <c r="S200" s="10">
        <f>PharmaProduction[[#This Row],[Actual_Units]]/PharmaProduction[[#This Row],[Planned_Units]]</f>
        <v>0.71359154929577473</v>
      </c>
      <c r="T200" s="10">
        <f>(8-PharmaProduction[[#This Row],[Downtime_hr]])/8</f>
        <v>0.81</v>
      </c>
      <c r="U200" s="10">
        <f>((PharmaProduction[[#This Row],[Actual_Units]]/(8-PharmaProduction[[#This Row],[Downtime_hr]]))*8)/(PharmaProduction[[#This Row],[Planned_Units]])</f>
        <v>0.8809772213528082</v>
      </c>
      <c r="V200" s="10">
        <f>PharmaProduction[[#This Row],[Good_Units]]/PharmaProduction[[#This Row],[Actual_Units]]</f>
        <v>0.98769226431320578</v>
      </c>
      <c r="W200" s="10">
        <f>PharmaProduction[[#This Row],[Availability_%]]*PharmaProduction[[#This Row],[Performance_%]]*PharmaProduction[[#This Row],[Quality_%]]</f>
        <v>0.70480885311871233</v>
      </c>
      <c r="X200" s="10">
        <f>PharmaProduction[[#This Row],[Good_Units]]/PharmaProduction[[#This Row],[Planned_Units]]</f>
        <v>0.70480885311871233</v>
      </c>
      <c r="Y200" s="10">
        <f>PharmaProduction[[#This Row],[Rejected_Units]]/PharmaProduction[[#This Row],[Actual_Units]]</f>
        <v>1.2307735686794207E-2</v>
      </c>
      <c r="Z200" s="11">
        <f>PharmaProduction[[#This Row],[Actual_Units]]/PharmaProduction[[#This Row],[Labor_Hours]]</f>
        <v>156.23568281938327</v>
      </c>
      <c r="AA200" s="12">
        <f>PharmaProduction[[#This Row],[Energy_kWh]]/PharmaProduction[[#This Row],[Actual_Units]]</f>
        <v>0.52388941365552433</v>
      </c>
      <c r="AB200" s="12">
        <f>PharmaProduction[[#This Row],[Run_Hours]]+PharmaProduction[[#This Row],[Downtime_hr]]</f>
        <v>8.0399999999999991</v>
      </c>
    </row>
    <row r="201" spans="1:28" x14ac:dyDescent="0.25">
      <c r="A201" s="9">
        <v>197</v>
      </c>
      <c r="B201" s="8">
        <v>46121</v>
      </c>
      <c r="C201" s="9" t="s">
        <v>30</v>
      </c>
      <c r="D201" s="9" t="s">
        <v>36</v>
      </c>
      <c r="E201" s="9" t="s">
        <v>39</v>
      </c>
      <c r="F201" s="9">
        <v>11671</v>
      </c>
      <c r="G201" s="9">
        <v>10185.299999999999</v>
      </c>
      <c r="H201" s="9">
        <v>10028</v>
      </c>
      <c r="I201" s="9">
        <v>157.30000000000001</v>
      </c>
      <c r="J201" s="9">
        <v>10393.799999999999</v>
      </c>
      <c r="K201" s="9">
        <v>0.48</v>
      </c>
      <c r="L201" s="9" t="s">
        <v>33</v>
      </c>
      <c r="M201" s="9" t="s">
        <v>34</v>
      </c>
      <c r="N201" s="9" t="s">
        <v>33</v>
      </c>
      <c r="O201" s="9">
        <v>0</v>
      </c>
      <c r="P201" s="9">
        <v>40.299999999999997</v>
      </c>
      <c r="Q201" s="9">
        <v>5883.2</v>
      </c>
      <c r="R201" s="9">
        <v>7.36</v>
      </c>
      <c r="S201" s="10">
        <f>PharmaProduction[[#This Row],[Actual_Units]]/PharmaProduction[[#This Row],[Planned_Units]]</f>
        <v>0.87270156798903253</v>
      </c>
      <c r="T201" s="10">
        <f>(8-PharmaProduction[[#This Row],[Downtime_hr]])/8</f>
        <v>0.94</v>
      </c>
      <c r="U201" s="10">
        <f>((PharmaProduction[[#This Row],[Actual_Units]]/(8-PharmaProduction[[#This Row],[Downtime_hr]]))*8)/(PharmaProduction[[#This Row],[Planned_Units]])</f>
        <v>0.92840592339258798</v>
      </c>
      <c r="V201" s="10">
        <f>PharmaProduction[[#This Row],[Good_Units]]/PharmaProduction[[#This Row],[Actual_Units]]</f>
        <v>0.98455617409403751</v>
      </c>
      <c r="W201" s="10">
        <f>PharmaProduction[[#This Row],[Availability_%]]*PharmaProduction[[#This Row],[Performance_%]]*PharmaProduction[[#This Row],[Quality_%]]</f>
        <v>0.85922371690514954</v>
      </c>
      <c r="X201" s="10">
        <f>PharmaProduction[[#This Row],[Good_Units]]/PharmaProduction[[#This Row],[Planned_Units]]</f>
        <v>0.85922371690514954</v>
      </c>
      <c r="Y201" s="10">
        <f>PharmaProduction[[#This Row],[Rejected_Units]]/PharmaProduction[[#This Row],[Actual_Units]]</f>
        <v>1.5443825905962516E-2</v>
      </c>
      <c r="Z201" s="11">
        <f>PharmaProduction[[#This Row],[Actual_Units]]/PharmaProduction[[#This Row],[Labor_Hours]]</f>
        <v>252.73697270471465</v>
      </c>
      <c r="AA201" s="12">
        <f>PharmaProduction[[#This Row],[Energy_kWh]]/PharmaProduction[[#This Row],[Actual_Units]]</f>
        <v>0.57761676141105323</v>
      </c>
      <c r="AB201" s="12">
        <f>PharmaProduction[[#This Row],[Run_Hours]]+PharmaProduction[[#This Row],[Downtime_hr]]</f>
        <v>7.84</v>
      </c>
    </row>
    <row r="202" spans="1:28" x14ac:dyDescent="0.25">
      <c r="A202" s="9">
        <v>198</v>
      </c>
      <c r="B202" s="8">
        <v>46121</v>
      </c>
      <c r="C202" s="9" t="s">
        <v>35</v>
      </c>
      <c r="D202" s="9" t="s">
        <v>38</v>
      </c>
      <c r="E202" s="9" t="s">
        <v>32</v>
      </c>
      <c r="F202" s="9">
        <v>9198</v>
      </c>
      <c r="G202" s="9">
        <v>6139.9</v>
      </c>
      <c r="H202" s="9">
        <v>6063.6</v>
      </c>
      <c r="I202" s="9">
        <v>76.2</v>
      </c>
      <c r="J202" s="9">
        <v>6281.9</v>
      </c>
      <c r="K202" s="9">
        <v>2.15</v>
      </c>
      <c r="L202" s="9" t="s">
        <v>33</v>
      </c>
      <c r="M202" s="9" t="s">
        <v>34</v>
      </c>
      <c r="N202" s="9" t="s">
        <v>44</v>
      </c>
      <c r="O202" s="9">
        <v>981.65</v>
      </c>
      <c r="P202" s="9">
        <v>36.1</v>
      </c>
      <c r="Q202" s="9">
        <v>2961.3</v>
      </c>
      <c r="R202" s="9">
        <v>7.37</v>
      </c>
      <c r="S202" s="10">
        <f>PharmaProduction[[#This Row],[Actual_Units]]/PharmaProduction[[#This Row],[Planned_Units]]</f>
        <v>0.66752554903239836</v>
      </c>
      <c r="T202" s="10">
        <f>(8-PharmaProduction[[#This Row],[Downtime_hr]])/8</f>
        <v>0.73124999999999996</v>
      </c>
      <c r="U202" s="10">
        <f>((PharmaProduction[[#This Row],[Actual_Units]]/(8-PharmaProduction[[#This Row],[Downtime_hr]]))*8)/(PharmaProduction[[#This Row],[Planned_Units]])</f>
        <v>0.91285545166823712</v>
      </c>
      <c r="V202" s="10">
        <f>PharmaProduction[[#This Row],[Good_Units]]/PharmaProduction[[#This Row],[Actual_Units]]</f>
        <v>0.98757308750956863</v>
      </c>
      <c r="W202" s="10">
        <f>PharmaProduction[[#This Row],[Availability_%]]*PharmaProduction[[#This Row],[Performance_%]]*PharmaProduction[[#This Row],[Quality_%]]</f>
        <v>0.65923026744944557</v>
      </c>
      <c r="X202" s="10">
        <f>PharmaProduction[[#This Row],[Good_Units]]/PharmaProduction[[#This Row],[Planned_Units]]</f>
        <v>0.65923026744944557</v>
      </c>
      <c r="Y202" s="10">
        <f>PharmaProduction[[#This Row],[Rejected_Units]]/PharmaProduction[[#This Row],[Actual_Units]]</f>
        <v>1.2410625580221178E-2</v>
      </c>
      <c r="Z202" s="11">
        <f>PharmaProduction[[#This Row],[Actual_Units]]/PharmaProduction[[#This Row],[Labor_Hours]]</f>
        <v>170.08033240997227</v>
      </c>
      <c r="AA202" s="12">
        <f>PharmaProduction[[#This Row],[Energy_kWh]]/PharmaProduction[[#This Row],[Actual_Units]]</f>
        <v>0.48230427205654819</v>
      </c>
      <c r="AB202" s="12">
        <f>PharmaProduction[[#This Row],[Run_Hours]]+PharmaProduction[[#This Row],[Downtime_hr]]</f>
        <v>9.52</v>
      </c>
    </row>
    <row r="203" spans="1:28" x14ac:dyDescent="0.25">
      <c r="A203" s="9">
        <v>199</v>
      </c>
      <c r="B203" s="8">
        <v>46122</v>
      </c>
      <c r="C203" s="9" t="s">
        <v>30</v>
      </c>
      <c r="D203" s="9" t="s">
        <v>36</v>
      </c>
      <c r="E203" s="9" t="s">
        <v>32</v>
      </c>
      <c r="F203" s="9">
        <v>10611</v>
      </c>
      <c r="G203" s="9">
        <v>7629.5</v>
      </c>
      <c r="H203" s="9">
        <v>7499.4</v>
      </c>
      <c r="I203" s="9">
        <v>130</v>
      </c>
      <c r="J203" s="9">
        <v>7726</v>
      </c>
      <c r="K203" s="9">
        <v>1.83</v>
      </c>
      <c r="L203" s="9" t="s">
        <v>33</v>
      </c>
      <c r="M203" s="9" t="s">
        <v>34</v>
      </c>
      <c r="N203" s="9" t="s">
        <v>33</v>
      </c>
      <c r="O203" s="9">
        <v>0</v>
      </c>
      <c r="P203" s="9">
        <v>32.1</v>
      </c>
      <c r="Q203" s="9">
        <v>3654</v>
      </c>
      <c r="R203" s="9">
        <v>7.28</v>
      </c>
      <c r="S203" s="10">
        <f>PharmaProduction[[#This Row],[Actual_Units]]/PharmaProduction[[#This Row],[Planned_Units]]</f>
        <v>0.71901800018848361</v>
      </c>
      <c r="T203" s="10">
        <f>(8-PharmaProduction[[#This Row],[Downtime_hr]])/8</f>
        <v>0.77124999999999999</v>
      </c>
      <c r="U203" s="10">
        <f>((PharmaProduction[[#This Row],[Actual_Units]]/(8-PharmaProduction[[#This Row],[Downtime_hr]]))*8)/(PharmaProduction[[#This Row],[Planned_Units]])</f>
        <v>0.93227617528490592</v>
      </c>
      <c r="V203" s="10">
        <f>PharmaProduction[[#This Row],[Good_Units]]/PharmaProduction[[#This Row],[Actual_Units]]</f>
        <v>0.98294776853004784</v>
      </c>
      <c r="W203" s="10">
        <f>PharmaProduction[[#This Row],[Availability_%]]*PharmaProduction[[#This Row],[Performance_%]]*PharmaProduction[[#This Row],[Quality_%]]</f>
        <v>0.70675713881820756</v>
      </c>
      <c r="X203" s="10">
        <f>PharmaProduction[[#This Row],[Good_Units]]/PharmaProduction[[#This Row],[Planned_Units]]</f>
        <v>0.70675713881820745</v>
      </c>
      <c r="Y203" s="10">
        <f>PharmaProduction[[#This Row],[Rejected_Units]]/PharmaProduction[[#This Row],[Actual_Units]]</f>
        <v>1.7039124451143587E-2</v>
      </c>
      <c r="Z203" s="11">
        <f>PharmaProduction[[#This Row],[Actual_Units]]/PharmaProduction[[#This Row],[Labor_Hours]]</f>
        <v>237.67912772585669</v>
      </c>
      <c r="AA203" s="12">
        <f>PharmaProduction[[#This Row],[Energy_kWh]]/PharmaProduction[[#This Row],[Actual_Units]]</f>
        <v>0.47893046726522054</v>
      </c>
      <c r="AB203" s="12">
        <f>PharmaProduction[[#This Row],[Run_Hours]]+PharmaProduction[[#This Row],[Downtime_hr]]</f>
        <v>9.11</v>
      </c>
    </row>
    <row r="204" spans="1:28" x14ac:dyDescent="0.25">
      <c r="A204" s="9">
        <v>200</v>
      </c>
      <c r="B204" s="8">
        <v>46122</v>
      </c>
      <c r="C204" s="9" t="s">
        <v>35</v>
      </c>
      <c r="D204" s="9" t="s">
        <v>36</v>
      </c>
      <c r="E204" s="9" t="s">
        <v>39</v>
      </c>
      <c r="F204" s="9">
        <v>11312</v>
      </c>
      <c r="G204" s="9">
        <v>10494.5</v>
      </c>
      <c r="H204" s="9">
        <v>10305.799999999999</v>
      </c>
      <c r="I204" s="9">
        <v>188.7</v>
      </c>
      <c r="J204" s="9">
        <v>10457.9</v>
      </c>
      <c r="K204" s="9">
        <v>0</v>
      </c>
      <c r="L204" s="9" t="s">
        <v>33</v>
      </c>
      <c r="M204" s="9" t="s">
        <v>34</v>
      </c>
      <c r="N204" s="9" t="s">
        <v>33</v>
      </c>
      <c r="O204" s="9">
        <v>0</v>
      </c>
      <c r="P204" s="9">
        <v>36.9</v>
      </c>
      <c r="Q204" s="9">
        <v>6136.3</v>
      </c>
      <c r="R204" s="9">
        <v>6.97</v>
      </c>
      <c r="S204" s="10">
        <f>PharmaProduction[[#This Row],[Actual_Units]]/PharmaProduction[[#This Row],[Planned_Units]]</f>
        <v>0.92773161244695901</v>
      </c>
      <c r="T204" s="10">
        <f>(8-PharmaProduction[[#This Row],[Downtime_hr]])/8</f>
        <v>1</v>
      </c>
      <c r="U204" s="10">
        <f>((PharmaProduction[[#This Row],[Actual_Units]]/(8-PharmaProduction[[#This Row],[Downtime_hr]]))*8)/(PharmaProduction[[#This Row],[Planned_Units]])</f>
        <v>0.92773161244695901</v>
      </c>
      <c r="V204" s="10">
        <f>PharmaProduction[[#This Row],[Good_Units]]/PharmaProduction[[#This Row],[Actual_Units]]</f>
        <v>0.98201915288960873</v>
      </c>
      <c r="W204" s="10">
        <f>PharmaProduction[[#This Row],[Availability_%]]*PharmaProduction[[#This Row],[Performance_%]]*PharmaProduction[[#This Row],[Quality_%]]</f>
        <v>0.91105021216407345</v>
      </c>
      <c r="X204" s="10">
        <f>PharmaProduction[[#This Row],[Good_Units]]/PharmaProduction[[#This Row],[Planned_Units]]</f>
        <v>0.91105021216407345</v>
      </c>
      <c r="Y204" s="10">
        <f>PharmaProduction[[#This Row],[Rejected_Units]]/PharmaProduction[[#This Row],[Actual_Units]]</f>
        <v>1.7980847110391156E-2</v>
      </c>
      <c r="Z204" s="11">
        <f>PharmaProduction[[#This Row],[Actual_Units]]/PharmaProduction[[#This Row],[Labor_Hours]]</f>
        <v>284.40379403794037</v>
      </c>
      <c r="AA204" s="12">
        <f>PharmaProduction[[#This Row],[Energy_kWh]]/PharmaProduction[[#This Row],[Actual_Units]]</f>
        <v>0.58471580351612751</v>
      </c>
      <c r="AB204" s="12">
        <f>PharmaProduction[[#This Row],[Run_Hours]]+PharmaProduction[[#This Row],[Downtime_hr]]</f>
        <v>6.97</v>
      </c>
    </row>
    <row r="205" spans="1:28" x14ac:dyDescent="0.25">
      <c r="A205" s="9">
        <v>201</v>
      </c>
      <c r="B205" s="8">
        <v>46123</v>
      </c>
      <c r="C205" s="9" t="s">
        <v>30</v>
      </c>
      <c r="D205" s="9" t="s">
        <v>31</v>
      </c>
      <c r="E205" s="9" t="s">
        <v>32</v>
      </c>
      <c r="F205" s="9">
        <v>11080</v>
      </c>
      <c r="G205" s="9">
        <v>8403.7999999999993</v>
      </c>
      <c r="H205" s="9">
        <v>8345.7999999999993</v>
      </c>
      <c r="I205" s="9">
        <v>58</v>
      </c>
      <c r="J205" s="9">
        <v>8470.7000000000007</v>
      </c>
      <c r="K205" s="9">
        <v>1.33</v>
      </c>
      <c r="L205" s="9" t="s">
        <v>33</v>
      </c>
      <c r="M205" s="9" t="s">
        <v>34</v>
      </c>
      <c r="N205" s="9" t="s">
        <v>44</v>
      </c>
      <c r="O205" s="9">
        <v>521.6</v>
      </c>
      <c r="P205" s="9">
        <v>38.299999999999997</v>
      </c>
      <c r="Q205" s="9">
        <v>4316</v>
      </c>
      <c r="R205" s="9">
        <v>7.31</v>
      </c>
      <c r="S205" s="10">
        <f>PharmaProduction[[#This Row],[Actual_Units]]/PharmaProduction[[#This Row],[Planned_Units]]</f>
        <v>0.75846570397111912</v>
      </c>
      <c r="T205" s="10">
        <f>(8-PharmaProduction[[#This Row],[Downtime_hr]])/8</f>
        <v>0.83374999999999999</v>
      </c>
      <c r="U205" s="10">
        <f>((PharmaProduction[[#This Row],[Actual_Units]]/(8-PharmaProduction[[#This Row],[Downtime_hr]]))*8)/(PharmaProduction[[#This Row],[Planned_Units]])</f>
        <v>0.90970399276895841</v>
      </c>
      <c r="V205" s="10">
        <f>PharmaProduction[[#This Row],[Good_Units]]/PharmaProduction[[#This Row],[Actual_Units]]</f>
        <v>0.99309836026559417</v>
      </c>
      <c r="W205" s="10">
        <f>PharmaProduction[[#This Row],[Availability_%]]*PharmaProduction[[#This Row],[Performance_%]]*PharmaProduction[[#This Row],[Quality_%]]</f>
        <v>0.75323104693140797</v>
      </c>
      <c r="X205" s="10">
        <f>PharmaProduction[[#This Row],[Good_Units]]/PharmaProduction[[#This Row],[Planned_Units]]</f>
        <v>0.75323104693140785</v>
      </c>
      <c r="Y205" s="10">
        <f>PharmaProduction[[#This Row],[Rejected_Units]]/PharmaProduction[[#This Row],[Actual_Units]]</f>
        <v>6.9016397344058645E-3</v>
      </c>
      <c r="Z205" s="11">
        <f>PharmaProduction[[#This Row],[Actual_Units]]/PharmaProduction[[#This Row],[Labor_Hours]]</f>
        <v>219.42036553524804</v>
      </c>
      <c r="AA205" s="12">
        <f>PharmaProduction[[#This Row],[Energy_kWh]]/PharmaProduction[[#This Row],[Actual_Units]]</f>
        <v>0.51357719127061574</v>
      </c>
      <c r="AB205" s="12">
        <f>PharmaProduction[[#This Row],[Run_Hours]]+PharmaProduction[[#This Row],[Downtime_hr]]</f>
        <v>8.64</v>
      </c>
    </row>
    <row r="206" spans="1:28" x14ac:dyDescent="0.25">
      <c r="A206" s="9">
        <v>202</v>
      </c>
      <c r="B206" s="8">
        <v>46123</v>
      </c>
      <c r="C206" s="9" t="s">
        <v>35</v>
      </c>
      <c r="D206" s="9" t="s">
        <v>38</v>
      </c>
      <c r="E206" s="9" t="s">
        <v>32</v>
      </c>
      <c r="F206" s="9">
        <v>11838</v>
      </c>
      <c r="G206" s="9">
        <v>9211.6</v>
      </c>
      <c r="H206" s="9">
        <v>9064.4</v>
      </c>
      <c r="I206" s="9">
        <v>147.19999999999999</v>
      </c>
      <c r="J206" s="9">
        <v>9217</v>
      </c>
      <c r="K206" s="9">
        <v>1.41</v>
      </c>
      <c r="L206" s="9" t="s">
        <v>33</v>
      </c>
      <c r="M206" s="9" t="s">
        <v>34</v>
      </c>
      <c r="N206" s="9" t="s">
        <v>33</v>
      </c>
      <c r="O206" s="9">
        <v>0</v>
      </c>
      <c r="P206" s="9">
        <v>34.200000000000003</v>
      </c>
      <c r="Q206" s="9">
        <v>4920.6000000000004</v>
      </c>
      <c r="R206" s="9">
        <v>6.8</v>
      </c>
      <c r="S206" s="10">
        <f>PharmaProduction[[#This Row],[Actual_Units]]/PharmaProduction[[#This Row],[Planned_Units]]</f>
        <v>0.77813819902010473</v>
      </c>
      <c r="T206" s="10">
        <f>(8-PharmaProduction[[#This Row],[Downtime_hr]])/8</f>
        <v>0.82374999999999998</v>
      </c>
      <c r="U206" s="10">
        <f>((PharmaProduction[[#This Row],[Actual_Units]]/(8-PharmaProduction[[#This Row],[Downtime_hr]]))*8)/(PharmaProduction[[#This Row],[Planned_Units]])</f>
        <v>0.94462907316552935</v>
      </c>
      <c r="V206" s="10">
        <f>PharmaProduction[[#This Row],[Good_Units]]/PharmaProduction[[#This Row],[Actual_Units]]</f>
        <v>0.98402014850840236</v>
      </c>
      <c r="W206" s="10">
        <f>PharmaProduction[[#This Row],[Availability_%]]*PharmaProduction[[#This Row],[Performance_%]]*PharmaProduction[[#This Row],[Quality_%]]</f>
        <v>0.76570366615982433</v>
      </c>
      <c r="X206" s="10">
        <f>PharmaProduction[[#This Row],[Good_Units]]/PharmaProduction[[#This Row],[Planned_Units]]</f>
        <v>0.76570366615982421</v>
      </c>
      <c r="Y206" s="10">
        <f>PharmaProduction[[#This Row],[Rejected_Units]]/PharmaProduction[[#This Row],[Actual_Units]]</f>
        <v>1.5979851491597551E-2</v>
      </c>
      <c r="Z206" s="11">
        <f>PharmaProduction[[#This Row],[Actual_Units]]/PharmaProduction[[#This Row],[Labor_Hours]]</f>
        <v>269.34502923976606</v>
      </c>
      <c r="AA206" s="12">
        <f>PharmaProduction[[#This Row],[Energy_kWh]]/PharmaProduction[[#This Row],[Actual_Units]]</f>
        <v>0.53417430196708504</v>
      </c>
      <c r="AB206" s="12">
        <f>PharmaProduction[[#This Row],[Run_Hours]]+PharmaProduction[[#This Row],[Downtime_hr]]</f>
        <v>8.2099999999999991</v>
      </c>
    </row>
    <row r="207" spans="1:28" x14ac:dyDescent="0.25">
      <c r="A207" s="9">
        <v>203</v>
      </c>
      <c r="B207" s="8">
        <v>46124</v>
      </c>
      <c r="C207" s="9" t="s">
        <v>30</v>
      </c>
      <c r="D207" s="9" t="s">
        <v>38</v>
      </c>
      <c r="E207" s="9" t="s">
        <v>32</v>
      </c>
      <c r="F207" s="9">
        <v>9231</v>
      </c>
      <c r="G207" s="9">
        <v>6503.6</v>
      </c>
      <c r="H207" s="9">
        <v>6359.3</v>
      </c>
      <c r="I207" s="9">
        <v>144.30000000000001</v>
      </c>
      <c r="J207" s="9">
        <v>6554.8</v>
      </c>
      <c r="K207" s="9">
        <v>1.68</v>
      </c>
      <c r="L207" s="9" t="s">
        <v>33</v>
      </c>
      <c r="M207" s="9" t="s">
        <v>34</v>
      </c>
      <c r="N207" s="9" t="s">
        <v>33</v>
      </c>
      <c r="O207" s="9">
        <v>0</v>
      </c>
      <c r="P207" s="9">
        <v>39</v>
      </c>
      <c r="Q207" s="9">
        <v>3734.7</v>
      </c>
      <c r="R207" s="9">
        <v>7.12</v>
      </c>
      <c r="S207" s="10">
        <f>PharmaProduction[[#This Row],[Actual_Units]]/PharmaProduction[[#This Row],[Planned_Units]]</f>
        <v>0.70453905319033694</v>
      </c>
      <c r="T207" s="10">
        <f>(8-PharmaProduction[[#This Row],[Downtime_hr]])/8</f>
        <v>0.79</v>
      </c>
      <c r="U207" s="10">
        <f>((PharmaProduction[[#This Row],[Actual_Units]]/(8-PharmaProduction[[#This Row],[Downtime_hr]]))*8)/(PharmaProduction[[#This Row],[Planned_Units]])</f>
        <v>0.89182158631688213</v>
      </c>
      <c r="V207" s="10">
        <f>PharmaProduction[[#This Row],[Good_Units]]/PharmaProduction[[#This Row],[Actual_Units]]</f>
        <v>0.97781228857863334</v>
      </c>
      <c r="W207" s="10">
        <f>PharmaProduction[[#This Row],[Availability_%]]*PharmaProduction[[#This Row],[Performance_%]]*PharmaProduction[[#This Row],[Quality_%]]</f>
        <v>0.68890694399306684</v>
      </c>
      <c r="X207" s="10">
        <f>PharmaProduction[[#This Row],[Good_Units]]/PharmaProduction[[#This Row],[Planned_Units]]</f>
        <v>0.68890694399306684</v>
      </c>
      <c r="Y207" s="10">
        <f>PharmaProduction[[#This Row],[Rejected_Units]]/PharmaProduction[[#This Row],[Actual_Units]]</f>
        <v>2.2187711421366628E-2</v>
      </c>
      <c r="Z207" s="11">
        <f>PharmaProduction[[#This Row],[Actual_Units]]/PharmaProduction[[#This Row],[Labor_Hours]]</f>
        <v>166.75897435897437</v>
      </c>
      <c r="AA207" s="12">
        <f>PharmaProduction[[#This Row],[Energy_kWh]]/PharmaProduction[[#This Row],[Actual_Units]]</f>
        <v>0.57425118395965302</v>
      </c>
      <c r="AB207" s="12">
        <f>PharmaProduction[[#This Row],[Run_Hours]]+PharmaProduction[[#This Row],[Downtime_hr]]</f>
        <v>8.8000000000000007</v>
      </c>
    </row>
    <row r="208" spans="1:28" x14ac:dyDescent="0.25">
      <c r="A208" s="9">
        <v>204</v>
      </c>
      <c r="B208" s="8">
        <v>46124</v>
      </c>
      <c r="C208" s="9" t="s">
        <v>35</v>
      </c>
      <c r="D208" s="9" t="s">
        <v>36</v>
      </c>
      <c r="E208" s="9" t="s">
        <v>32</v>
      </c>
      <c r="F208" s="9">
        <v>9869</v>
      </c>
      <c r="G208" s="9">
        <v>6118.5</v>
      </c>
      <c r="H208" s="9">
        <v>6069.3</v>
      </c>
      <c r="I208" s="9">
        <v>49.2</v>
      </c>
      <c r="J208" s="9">
        <v>6242.7</v>
      </c>
      <c r="K208" s="9">
        <v>2.31</v>
      </c>
      <c r="L208" s="9" t="s">
        <v>43</v>
      </c>
      <c r="M208" s="9" t="s">
        <v>34</v>
      </c>
      <c r="N208" s="9" t="s">
        <v>33</v>
      </c>
      <c r="O208" s="9">
        <v>0</v>
      </c>
      <c r="P208" s="9">
        <v>39.299999999999997</v>
      </c>
      <c r="Q208" s="9">
        <v>3365.6</v>
      </c>
      <c r="R208" s="9">
        <v>7.4</v>
      </c>
      <c r="S208" s="10">
        <f>PharmaProduction[[#This Row],[Actual_Units]]/PharmaProduction[[#This Row],[Planned_Units]]</f>
        <v>0.61997162833113795</v>
      </c>
      <c r="T208" s="10">
        <f>(8-PharmaProduction[[#This Row],[Downtime_hr]])/8</f>
        <v>0.71124999999999994</v>
      </c>
      <c r="U208" s="10">
        <f>((PharmaProduction[[#This Row],[Actual_Units]]/(8-PharmaProduction[[#This Row],[Downtime_hr]]))*8)/(PharmaProduction[[#This Row],[Planned_Units]])</f>
        <v>0.87166485529861226</v>
      </c>
      <c r="V208" s="10">
        <f>PharmaProduction[[#This Row],[Good_Units]]/PharmaProduction[[#This Row],[Actual_Units]]</f>
        <v>0.99195881343466541</v>
      </c>
      <c r="W208" s="10">
        <f>PharmaProduction[[#This Row],[Availability_%]]*PharmaProduction[[#This Row],[Performance_%]]*PharmaProduction[[#This Row],[Quality_%]]</f>
        <v>0.61498632080251303</v>
      </c>
      <c r="X208" s="10">
        <f>PharmaProduction[[#This Row],[Good_Units]]/PharmaProduction[[#This Row],[Planned_Units]]</f>
        <v>0.61498632080251292</v>
      </c>
      <c r="Y208" s="10">
        <f>PharmaProduction[[#This Row],[Rejected_Units]]/PharmaProduction[[#This Row],[Actual_Units]]</f>
        <v>8.0411865653346407E-3</v>
      </c>
      <c r="Z208" s="11">
        <f>PharmaProduction[[#This Row],[Actual_Units]]/PharmaProduction[[#This Row],[Labor_Hours]]</f>
        <v>155.68702290076337</v>
      </c>
      <c r="AA208" s="12">
        <f>PharmaProduction[[#This Row],[Energy_kWh]]/PharmaProduction[[#This Row],[Actual_Units]]</f>
        <v>0.55006946146931435</v>
      </c>
      <c r="AB208" s="12">
        <f>PharmaProduction[[#This Row],[Run_Hours]]+PharmaProduction[[#This Row],[Downtime_hr]]</f>
        <v>9.7100000000000009</v>
      </c>
    </row>
    <row r="209" spans="1:28" x14ac:dyDescent="0.25">
      <c r="A209" s="9">
        <v>205</v>
      </c>
      <c r="B209" s="8">
        <v>46125</v>
      </c>
      <c r="C209" s="9" t="s">
        <v>30</v>
      </c>
      <c r="D209" s="9" t="s">
        <v>36</v>
      </c>
      <c r="E209" s="9" t="s">
        <v>42</v>
      </c>
      <c r="F209" s="9">
        <v>11099</v>
      </c>
      <c r="G209" s="9">
        <v>6920.4</v>
      </c>
      <c r="H209" s="9">
        <v>6834.1</v>
      </c>
      <c r="I209" s="9">
        <v>86.3</v>
      </c>
      <c r="J209" s="9">
        <v>6971.8</v>
      </c>
      <c r="K209" s="9">
        <v>3.99</v>
      </c>
      <c r="L209" s="9" t="s">
        <v>40</v>
      </c>
      <c r="M209" s="9" t="s">
        <v>34</v>
      </c>
      <c r="N209" s="9" t="s">
        <v>33</v>
      </c>
      <c r="O209" s="9">
        <v>0</v>
      </c>
      <c r="P209" s="9">
        <v>46.3</v>
      </c>
      <c r="Q209" s="9">
        <v>3544.6</v>
      </c>
      <c r="R209" s="9">
        <v>6.59</v>
      </c>
      <c r="S209" s="10">
        <f>PharmaProduction[[#This Row],[Actual_Units]]/PharmaProduction[[#This Row],[Planned_Units]]</f>
        <v>0.62351563203892235</v>
      </c>
      <c r="T209" s="10">
        <f>(8-PharmaProduction[[#This Row],[Downtime_hr]])/8</f>
        <v>0.50124999999999997</v>
      </c>
      <c r="U209" s="10">
        <f>((PharmaProduction[[#This Row],[Actual_Units]]/(8-PharmaProduction[[#This Row],[Downtime_hr]]))*8)/(PharmaProduction[[#This Row],[Planned_Units]])</f>
        <v>1.2439214604267779</v>
      </c>
      <c r="V209" s="10">
        <f>PharmaProduction[[#This Row],[Good_Units]]/PharmaProduction[[#This Row],[Actual_Units]]</f>
        <v>0.98752962256516974</v>
      </c>
      <c r="W209" s="10">
        <f>PharmaProduction[[#This Row],[Availability_%]]*PharmaProduction[[#This Row],[Performance_%]]*PharmaProduction[[#This Row],[Quality_%]]</f>
        <v>0.61574015677088023</v>
      </c>
      <c r="X209" s="10">
        <f>PharmaProduction[[#This Row],[Good_Units]]/PharmaProduction[[#This Row],[Planned_Units]]</f>
        <v>0.61574015677088034</v>
      </c>
      <c r="Y209" s="10">
        <f>PharmaProduction[[#This Row],[Rejected_Units]]/PharmaProduction[[#This Row],[Actual_Units]]</f>
        <v>1.2470377434830357E-2</v>
      </c>
      <c r="Z209" s="11">
        <f>PharmaProduction[[#This Row],[Actual_Units]]/PharmaProduction[[#This Row],[Labor_Hours]]</f>
        <v>149.46868250539956</v>
      </c>
      <c r="AA209" s="12">
        <f>PharmaProduction[[#This Row],[Energy_kWh]]/PharmaProduction[[#This Row],[Actual_Units]]</f>
        <v>0.51219582683081899</v>
      </c>
      <c r="AB209" s="12">
        <f>PharmaProduction[[#This Row],[Run_Hours]]+PharmaProduction[[#This Row],[Downtime_hr]]</f>
        <v>10.58</v>
      </c>
    </row>
    <row r="210" spans="1:28" x14ac:dyDescent="0.25">
      <c r="A210" s="9">
        <v>206</v>
      </c>
      <c r="B210" s="8">
        <v>46125</v>
      </c>
      <c r="C210" s="9" t="s">
        <v>35</v>
      </c>
      <c r="D210" s="9" t="s">
        <v>38</v>
      </c>
      <c r="E210" s="9" t="s">
        <v>32</v>
      </c>
      <c r="F210" s="9">
        <v>9733</v>
      </c>
      <c r="G210" s="9">
        <v>7035</v>
      </c>
      <c r="H210" s="9">
        <v>6948</v>
      </c>
      <c r="I210" s="9">
        <v>86.9</v>
      </c>
      <c r="J210" s="9">
        <v>7124.1</v>
      </c>
      <c r="K210" s="9">
        <v>1.68</v>
      </c>
      <c r="L210" s="9" t="s">
        <v>48</v>
      </c>
      <c r="M210" s="9" t="s">
        <v>34</v>
      </c>
      <c r="N210" s="9" t="s">
        <v>37</v>
      </c>
      <c r="O210" s="9">
        <v>200.55</v>
      </c>
      <c r="P210" s="9">
        <v>50.6</v>
      </c>
      <c r="Q210" s="9">
        <v>3604.3</v>
      </c>
      <c r="R210" s="9">
        <v>6.75</v>
      </c>
      <c r="S210" s="10">
        <f>PharmaProduction[[#This Row],[Actual_Units]]/PharmaProduction[[#This Row],[Planned_Units]]</f>
        <v>0.7227987259837666</v>
      </c>
      <c r="T210" s="10">
        <f>(8-PharmaProduction[[#This Row],[Downtime_hr]])/8</f>
        <v>0.79</v>
      </c>
      <c r="U210" s="10">
        <f>((PharmaProduction[[#This Row],[Actual_Units]]/(8-PharmaProduction[[#This Row],[Downtime_hr]]))*8)/(PharmaProduction[[#This Row],[Planned_Units]])</f>
        <v>0.91493509618198299</v>
      </c>
      <c r="V210" s="10">
        <f>PharmaProduction[[#This Row],[Good_Units]]/PharmaProduction[[#This Row],[Actual_Units]]</f>
        <v>0.98763326226012793</v>
      </c>
      <c r="W210" s="10">
        <f>PharmaProduction[[#This Row],[Availability_%]]*PharmaProduction[[#This Row],[Performance_%]]*PharmaProduction[[#This Row],[Quality_%]]</f>
        <v>0.71386006370081168</v>
      </c>
      <c r="X210" s="10">
        <f>PharmaProduction[[#This Row],[Good_Units]]/PharmaProduction[[#This Row],[Planned_Units]]</f>
        <v>0.71386006370081168</v>
      </c>
      <c r="Y210" s="10">
        <f>PharmaProduction[[#This Row],[Rejected_Units]]/PharmaProduction[[#This Row],[Actual_Units]]</f>
        <v>1.2352523098791757E-2</v>
      </c>
      <c r="Z210" s="11">
        <f>PharmaProduction[[#This Row],[Actual_Units]]/PharmaProduction[[#This Row],[Labor_Hours]]</f>
        <v>139.03162055335969</v>
      </c>
      <c r="AA210" s="12">
        <f>PharmaProduction[[#This Row],[Energy_kWh]]/PharmaProduction[[#This Row],[Actual_Units]]</f>
        <v>0.51233830845771144</v>
      </c>
      <c r="AB210" s="12">
        <f>PharmaProduction[[#This Row],[Run_Hours]]+PharmaProduction[[#This Row],[Downtime_hr]]</f>
        <v>8.43</v>
      </c>
    </row>
    <row r="211" spans="1:28" x14ac:dyDescent="0.25">
      <c r="A211" s="9">
        <v>207</v>
      </c>
      <c r="B211" s="8">
        <v>46126</v>
      </c>
      <c r="C211" s="9" t="s">
        <v>30</v>
      </c>
      <c r="D211" s="9" t="s">
        <v>38</v>
      </c>
      <c r="E211" s="9" t="s">
        <v>42</v>
      </c>
      <c r="F211" s="9">
        <v>11839</v>
      </c>
      <c r="G211" s="9">
        <v>7807.9</v>
      </c>
      <c r="H211" s="9">
        <v>7700.9</v>
      </c>
      <c r="I211" s="9">
        <v>107</v>
      </c>
      <c r="J211" s="9">
        <v>7921.5</v>
      </c>
      <c r="K211" s="9">
        <v>2.11</v>
      </c>
      <c r="L211" s="9" t="s">
        <v>40</v>
      </c>
      <c r="M211" s="9" t="s">
        <v>34</v>
      </c>
      <c r="N211" s="9" t="s">
        <v>47</v>
      </c>
      <c r="O211" s="9">
        <v>2045.88</v>
      </c>
      <c r="P211" s="9">
        <v>50.2</v>
      </c>
      <c r="Q211" s="9">
        <v>3971.3</v>
      </c>
      <c r="R211" s="9">
        <v>7</v>
      </c>
      <c r="S211" s="10">
        <f>PharmaProduction[[#This Row],[Actual_Units]]/PharmaProduction[[#This Row],[Planned_Units]]</f>
        <v>0.65950671509418024</v>
      </c>
      <c r="T211" s="10">
        <f>(8-PharmaProduction[[#This Row],[Downtime_hr]])/8</f>
        <v>0.73625000000000007</v>
      </c>
      <c r="U211" s="10">
        <f>((PharmaProduction[[#This Row],[Actual_Units]]/(8-PharmaProduction[[#This Row],[Downtime_hr]]))*8)/(PharmaProduction[[#This Row],[Planned_Units]])</f>
        <v>0.89576463849803756</v>
      </c>
      <c r="V211" s="10">
        <f>PharmaProduction[[#This Row],[Good_Units]]/PharmaProduction[[#This Row],[Actual_Units]]</f>
        <v>0.98629593104419877</v>
      </c>
      <c r="W211" s="10">
        <f>PharmaProduction[[#This Row],[Availability_%]]*PharmaProduction[[#This Row],[Performance_%]]*PharmaProduction[[#This Row],[Quality_%]]</f>
        <v>0.65046878959371568</v>
      </c>
      <c r="X211" s="10">
        <f>PharmaProduction[[#This Row],[Good_Units]]/PharmaProduction[[#This Row],[Planned_Units]]</f>
        <v>0.65046878959371568</v>
      </c>
      <c r="Y211" s="10">
        <f>PharmaProduction[[#This Row],[Rejected_Units]]/PharmaProduction[[#This Row],[Actual_Units]]</f>
        <v>1.3704068955801176E-2</v>
      </c>
      <c r="Z211" s="11">
        <f>PharmaProduction[[#This Row],[Actual_Units]]/PharmaProduction[[#This Row],[Labor_Hours]]</f>
        <v>155.53585657370516</v>
      </c>
      <c r="AA211" s="12">
        <f>PharmaProduction[[#This Row],[Energy_kWh]]/PharmaProduction[[#This Row],[Actual_Units]]</f>
        <v>0.50862587891750666</v>
      </c>
      <c r="AB211" s="12">
        <f>PharmaProduction[[#This Row],[Run_Hours]]+PharmaProduction[[#This Row],[Downtime_hr]]</f>
        <v>9.11</v>
      </c>
    </row>
    <row r="212" spans="1:28" x14ac:dyDescent="0.25">
      <c r="A212" s="9">
        <v>208</v>
      </c>
      <c r="B212" s="8">
        <v>46126</v>
      </c>
      <c r="C212" s="9" t="s">
        <v>35</v>
      </c>
      <c r="D212" s="9" t="s">
        <v>36</v>
      </c>
      <c r="E212" s="9" t="s">
        <v>32</v>
      </c>
      <c r="F212" s="9">
        <v>9844</v>
      </c>
      <c r="G212" s="9">
        <v>9192.5</v>
      </c>
      <c r="H212" s="9">
        <v>9024.4</v>
      </c>
      <c r="I212" s="9">
        <v>168.1</v>
      </c>
      <c r="J212" s="9">
        <v>9204</v>
      </c>
      <c r="K212" s="9">
        <v>0</v>
      </c>
      <c r="L212" s="9" t="s">
        <v>33</v>
      </c>
      <c r="M212" s="9" t="s">
        <v>34</v>
      </c>
      <c r="N212" s="9" t="s">
        <v>33</v>
      </c>
      <c r="O212" s="9">
        <v>0</v>
      </c>
      <c r="P212" s="9">
        <v>41.8</v>
      </c>
      <c r="Q212" s="9">
        <v>4360</v>
      </c>
      <c r="R212" s="9">
        <v>6.98</v>
      </c>
      <c r="S212" s="10">
        <f>PharmaProduction[[#This Row],[Actual_Units]]/PharmaProduction[[#This Row],[Planned_Units]]</f>
        <v>0.9338175538399025</v>
      </c>
      <c r="T212" s="10">
        <f>(8-PharmaProduction[[#This Row],[Downtime_hr]])/8</f>
        <v>1</v>
      </c>
      <c r="U212" s="10">
        <f>((PharmaProduction[[#This Row],[Actual_Units]]/(8-PharmaProduction[[#This Row],[Downtime_hr]]))*8)/(PharmaProduction[[#This Row],[Planned_Units]])</f>
        <v>0.9338175538399025</v>
      </c>
      <c r="V212" s="10">
        <f>PharmaProduction[[#This Row],[Good_Units]]/PharmaProduction[[#This Row],[Actual_Units]]</f>
        <v>0.98171335327712805</v>
      </c>
      <c r="W212" s="10">
        <f>PharmaProduction[[#This Row],[Availability_%]]*PharmaProduction[[#This Row],[Performance_%]]*PharmaProduction[[#This Row],[Quality_%]]</f>
        <v>0.91674116212921575</v>
      </c>
      <c r="X212" s="10">
        <f>PharmaProduction[[#This Row],[Good_Units]]/PharmaProduction[[#This Row],[Planned_Units]]</f>
        <v>0.91674116212921575</v>
      </c>
      <c r="Y212" s="10">
        <f>PharmaProduction[[#This Row],[Rejected_Units]]/PharmaProduction[[#This Row],[Actual_Units]]</f>
        <v>1.8286646722871905E-2</v>
      </c>
      <c r="Z212" s="11">
        <f>PharmaProduction[[#This Row],[Actual_Units]]/PharmaProduction[[#This Row],[Labor_Hours]]</f>
        <v>219.91626794258374</v>
      </c>
      <c r="AA212" s="12">
        <f>PharmaProduction[[#This Row],[Energy_kWh]]/PharmaProduction[[#This Row],[Actual_Units]]</f>
        <v>0.4742997008430786</v>
      </c>
      <c r="AB212" s="12">
        <f>PharmaProduction[[#This Row],[Run_Hours]]+PharmaProduction[[#This Row],[Downtime_hr]]</f>
        <v>6.98</v>
      </c>
    </row>
    <row r="213" spans="1:28" x14ac:dyDescent="0.25">
      <c r="A213" s="9">
        <v>209</v>
      </c>
      <c r="B213" s="8">
        <v>46127</v>
      </c>
      <c r="C213" s="9" t="s">
        <v>30</v>
      </c>
      <c r="D213" s="9" t="s">
        <v>31</v>
      </c>
      <c r="E213" s="9" t="s">
        <v>39</v>
      </c>
      <c r="F213" s="9">
        <v>11419</v>
      </c>
      <c r="G213" s="9">
        <v>10463.1</v>
      </c>
      <c r="H213" s="9">
        <v>10382.5</v>
      </c>
      <c r="I213" s="9">
        <v>80.599999999999994</v>
      </c>
      <c r="J213" s="9">
        <v>10753.3</v>
      </c>
      <c r="K213" s="9">
        <v>0</v>
      </c>
      <c r="L213" s="9" t="s">
        <v>33</v>
      </c>
      <c r="M213" s="9" t="s">
        <v>34</v>
      </c>
      <c r="N213" s="9" t="s">
        <v>33</v>
      </c>
      <c r="O213" s="9">
        <v>0</v>
      </c>
      <c r="P213" s="9">
        <v>34.299999999999997</v>
      </c>
      <c r="Q213" s="9">
        <v>5418.3</v>
      </c>
      <c r="R213" s="9">
        <v>7</v>
      </c>
      <c r="S213" s="10">
        <f>PharmaProduction[[#This Row],[Actual_Units]]/PharmaProduction[[#This Row],[Planned_Units]]</f>
        <v>0.91628864173745517</v>
      </c>
      <c r="T213" s="10">
        <f>(8-PharmaProduction[[#This Row],[Downtime_hr]])/8</f>
        <v>1</v>
      </c>
      <c r="U213" s="10">
        <f>((PharmaProduction[[#This Row],[Actual_Units]]/(8-PharmaProduction[[#This Row],[Downtime_hr]]))*8)/(PharmaProduction[[#This Row],[Planned_Units]])</f>
        <v>0.91628864173745517</v>
      </c>
      <c r="V213" s="10">
        <f>PharmaProduction[[#This Row],[Good_Units]]/PharmaProduction[[#This Row],[Actual_Units]]</f>
        <v>0.99229673806042185</v>
      </c>
      <c r="W213" s="10">
        <f>PharmaProduction[[#This Row],[Availability_%]]*PharmaProduction[[#This Row],[Performance_%]]*PharmaProduction[[#This Row],[Quality_%]]</f>
        <v>0.9092302303178913</v>
      </c>
      <c r="X213" s="10">
        <f>PharmaProduction[[#This Row],[Good_Units]]/PharmaProduction[[#This Row],[Planned_Units]]</f>
        <v>0.90923023031789119</v>
      </c>
      <c r="Y213" s="10">
        <f>PharmaProduction[[#This Row],[Rejected_Units]]/PharmaProduction[[#This Row],[Actual_Units]]</f>
        <v>7.7032619395781361E-3</v>
      </c>
      <c r="Z213" s="11">
        <f>PharmaProduction[[#This Row],[Actual_Units]]/PharmaProduction[[#This Row],[Labor_Hours]]</f>
        <v>305.04664723032073</v>
      </c>
      <c r="AA213" s="12">
        <f>PharmaProduction[[#This Row],[Energy_kWh]]/PharmaProduction[[#This Row],[Actual_Units]]</f>
        <v>0.51784843879920861</v>
      </c>
      <c r="AB213" s="12">
        <f>PharmaProduction[[#This Row],[Run_Hours]]+PharmaProduction[[#This Row],[Downtime_hr]]</f>
        <v>7</v>
      </c>
    </row>
    <row r="214" spans="1:28" x14ac:dyDescent="0.25">
      <c r="A214" s="9">
        <v>210</v>
      </c>
      <c r="B214" s="8">
        <v>46127</v>
      </c>
      <c r="C214" s="9" t="s">
        <v>35</v>
      </c>
      <c r="D214" s="9" t="s">
        <v>36</v>
      </c>
      <c r="E214" s="9" t="s">
        <v>32</v>
      </c>
      <c r="F214" s="9">
        <v>10149</v>
      </c>
      <c r="G214" s="9">
        <v>8480</v>
      </c>
      <c r="H214" s="9">
        <v>8287.2999999999993</v>
      </c>
      <c r="I214" s="9">
        <v>192.6</v>
      </c>
      <c r="J214" s="9">
        <v>8557.7000000000007</v>
      </c>
      <c r="K214" s="9">
        <v>0.53</v>
      </c>
      <c r="L214" s="9" t="s">
        <v>40</v>
      </c>
      <c r="M214" s="9" t="s">
        <v>34</v>
      </c>
      <c r="N214" s="9" t="s">
        <v>33</v>
      </c>
      <c r="O214" s="9">
        <v>0</v>
      </c>
      <c r="P214" s="9">
        <v>44.5</v>
      </c>
      <c r="Q214" s="9">
        <v>4134.1000000000004</v>
      </c>
      <c r="R214" s="9">
        <v>7.37</v>
      </c>
      <c r="S214" s="10">
        <f>PharmaProduction[[#This Row],[Actual_Units]]/PharmaProduction[[#This Row],[Planned_Units]]</f>
        <v>0.8355503005222189</v>
      </c>
      <c r="T214" s="10">
        <f>(8-PharmaProduction[[#This Row],[Downtime_hr]])/8</f>
        <v>0.93374999999999997</v>
      </c>
      <c r="U214" s="10">
        <f>((PharmaProduction[[#This Row],[Actual_Units]]/(8-PharmaProduction[[#This Row],[Downtime_hr]]))*8)/(PharmaProduction[[#This Row],[Planned_Units]])</f>
        <v>0.89483298583370163</v>
      </c>
      <c r="V214" s="10">
        <f>PharmaProduction[[#This Row],[Good_Units]]/PharmaProduction[[#This Row],[Actual_Units]]</f>
        <v>0.97727594339622637</v>
      </c>
      <c r="W214" s="10">
        <f>PharmaProduction[[#This Row],[Availability_%]]*PharmaProduction[[#This Row],[Performance_%]]*PharmaProduction[[#This Row],[Quality_%]]</f>
        <v>0.81656320819785189</v>
      </c>
      <c r="X214" s="10">
        <f>PharmaProduction[[#This Row],[Good_Units]]/PharmaProduction[[#This Row],[Planned_Units]]</f>
        <v>0.81656320819785189</v>
      </c>
      <c r="Y214" s="10">
        <f>PharmaProduction[[#This Row],[Rejected_Units]]/PharmaProduction[[#This Row],[Actual_Units]]</f>
        <v>2.2712264150943396E-2</v>
      </c>
      <c r="Z214" s="11">
        <f>PharmaProduction[[#This Row],[Actual_Units]]/PharmaProduction[[#This Row],[Labor_Hours]]</f>
        <v>190.56179775280899</v>
      </c>
      <c r="AA214" s="12">
        <f>PharmaProduction[[#This Row],[Energy_kWh]]/PharmaProduction[[#This Row],[Actual_Units]]</f>
        <v>0.48751179245283022</v>
      </c>
      <c r="AB214" s="12">
        <f>PharmaProduction[[#This Row],[Run_Hours]]+PharmaProduction[[#This Row],[Downtime_hr]]</f>
        <v>7.9</v>
      </c>
    </row>
    <row r="215" spans="1:28" x14ac:dyDescent="0.25">
      <c r="A215" s="9">
        <v>211</v>
      </c>
      <c r="B215" s="8">
        <v>46128</v>
      </c>
      <c r="C215" s="9" t="s">
        <v>30</v>
      </c>
      <c r="D215" s="9" t="s">
        <v>38</v>
      </c>
      <c r="E215" s="9" t="s">
        <v>39</v>
      </c>
      <c r="F215" s="9">
        <v>9776</v>
      </c>
      <c r="G215" s="9">
        <v>8085.3</v>
      </c>
      <c r="H215" s="9">
        <v>8077.2</v>
      </c>
      <c r="I215" s="9">
        <v>8.1</v>
      </c>
      <c r="J215" s="9">
        <v>8280</v>
      </c>
      <c r="K215" s="9">
        <v>0.55000000000000004</v>
      </c>
      <c r="L215" s="9" t="s">
        <v>33</v>
      </c>
      <c r="M215" s="9" t="s">
        <v>34</v>
      </c>
      <c r="N215" s="9" t="s">
        <v>33</v>
      </c>
      <c r="O215" s="9">
        <v>0</v>
      </c>
      <c r="P215" s="9">
        <v>33.799999999999997</v>
      </c>
      <c r="Q215" s="9">
        <v>4361.5</v>
      </c>
      <c r="R215" s="9">
        <v>7.92</v>
      </c>
      <c r="S215" s="10">
        <f>PharmaProduction[[#This Row],[Actual_Units]]/PharmaProduction[[#This Row],[Planned_Units]]</f>
        <v>0.82705605564648121</v>
      </c>
      <c r="T215" s="10">
        <f>(8-PharmaProduction[[#This Row],[Downtime_hr]])/8</f>
        <v>0.93125000000000002</v>
      </c>
      <c r="U215" s="10">
        <f>((PharmaProduction[[#This Row],[Actual_Units]]/(8-PharmaProduction[[#This Row],[Downtime_hr]]))*8)/(PharmaProduction[[#This Row],[Planned_Units]])</f>
        <v>0.88811388525796642</v>
      </c>
      <c r="V215" s="10">
        <f>PharmaProduction[[#This Row],[Good_Units]]/PharmaProduction[[#This Row],[Actual_Units]]</f>
        <v>0.99899818188564427</v>
      </c>
      <c r="W215" s="10">
        <f>PharmaProduction[[#This Row],[Availability_%]]*PharmaProduction[[#This Row],[Performance_%]]*PharmaProduction[[#This Row],[Quality_%]]</f>
        <v>0.82622749590834699</v>
      </c>
      <c r="X215" s="10">
        <f>PharmaProduction[[#This Row],[Good_Units]]/PharmaProduction[[#This Row],[Planned_Units]]</f>
        <v>0.82622749590834699</v>
      </c>
      <c r="Y215" s="10">
        <f>PharmaProduction[[#This Row],[Rejected_Units]]/PharmaProduction[[#This Row],[Actual_Units]]</f>
        <v>1.0018181143556825E-3</v>
      </c>
      <c r="Z215" s="11">
        <f>PharmaProduction[[#This Row],[Actual_Units]]/PharmaProduction[[#This Row],[Labor_Hours]]</f>
        <v>239.21005917159766</v>
      </c>
      <c r="AA215" s="12">
        <f>PharmaProduction[[#This Row],[Energy_kWh]]/PharmaProduction[[#This Row],[Actual_Units]]</f>
        <v>0.53943576614349498</v>
      </c>
      <c r="AB215" s="12">
        <f>PharmaProduction[[#This Row],[Run_Hours]]+PharmaProduction[[#This Row],[Downtime_hr]]</f>
        <v>8.4700000000000006</v>
      </c>
    </row>
    <row r="216" spans="1:28" x14ac:dyDescent="0.25">
      <c r="A216" s="9">
        <v>212</v>
      </c>
      <c r="B216" s="8">
        <v>46128</v>
      </c>
      <c r="C216" s="9" t="s">
        <v>35</v>
      </c>
      <c r="D216" s="9" t="s">
        <v>38</v>
      </c>
      <c r="E216" s="9" t="s">
        <v>32</v>
      </c>
      <c r="F216" s="9">
        <v>10085</v>
      </c>
      <c r="G216" s="9">
        <v>6962.7</v>
      </c>
      <c r="H216" s="9">
        <v>6863.3</v>
      </c>
      <c r="I216" s="9">
        <v>99.4</v>
      </c>
      <c r="J216" s="9">
        <v>7101.3</v>
      </c>
      <c r="K216" s="9">
        <v>3.81</v>
      </c>
      <c r="L216" s="9" t="s">
        <v>48</v>
      </c>
      <c r="M216" s="9" t="s">
        <v>34</v>
      </c>
      <c r="N216" s="9" t="s">
        <v>33</v>
      </c>
      <c r="O216" s="9">
        <v>0</v>
      </c>
      <c r="P216" s="9">
        <v>37.200000000000003</v>
      </c>
      <c r="Q216" s="9">
        <v>3615.6</v>
      </c>
      <c r="R216" s="9">
        <v>6.69</v>
      </c>
      <c r="S216" s="10">
        <f>PharmaProduction[[#This Row],[Actual_Units]]/PharmaProduction[[#This Row],[Planned_Units]]</f>
        <v>0.69040158651462569</v>
      </c>
      <c r="T216" s="10">
        <f>(8-PharmaProduction[[#This Row],[Downtime_hr]])/8</f>
        <v>0.52374999999999994</v>
      </c>
      <c r="U216" s="10">
        <f>((PharmaProduction[[#This Row],[Actual_Units]]/(8-PharmaProduction[[#This Row],[Downtime_hr]]))*8)/(PharmaProduction[[#This Row],[Planned_Units]])</f>
        <v>1.31818918666277</v>
      </c>
      <c r="V216" s="10">
        <f>PharmaProduction[[#This Row],[Good_Units]]/PharmaProduction[[#This Row],[Actual_Units]]</f>
        <v>0.98572392893561411</v>
      </c>
      <c r="W216" s="10">
        <f>PharmaProduction[[#This Row],[Availability_%]]*PharmaProduction[[#This Row],[Performance_%]]*PharmaProduction[[#This Row],[Quality_%]]</f>
        <v>0.68054536440257818</v>
      </c>
      <c r="X216" s="10">
        <f>PharmaProduction[[#This Row],[Good_Units]]/PharmaProduction[[#This Row],[Planned_Units]]</f>
        <v>0.68054536440257807</v>
      </c>
      <c r="Y216" s="10">
        <f>PharmaProduction[[#This Row],[Rejected_Units]]/PharmaProduction[[#This Row],[Actual_Units]]</f>
        <v>1.4276071064385944E-2</v>
      </c>
      <c r="Z216" s="11">
        <f>PharmaProduction[[#This Row],[Actual_Units]]/PharmaProduction[[#This Row],[Labor_Hours]]</f>
        <v>187.16935483870967</v>
      </c>
      <c r="AA216" s="12">
        <f>PharmaProduction[[#This Row],[Energy_kWh]]/PharmaProduction[[#This Row],[Actual_Units]]</f>
        <v>0.51928131328364002</v>
      </c>
      <c r="AB216" s="12">
        <f>PharmaProduction[[#This Row],[Run_Hours]]+PharmaProduction[[#This Row],[Downtime_hr]]</f>
        <v>10.5</v>
      </c>
    </row>
    <row r="217" spans="1:28" x14ac:dyDescent="0.25">
      <c r="A217" s="9">
        <v>213</v>
      </c>
      <c r="B217" s="8">
        <v>46129</v>
      </c>
      <c r="C217" s="9" t="s">
        <v>30</v>
      </c>
      <c r="D217" s="9" t="s">
        <v>36</v>
      </c>
      <c r="E217" s="9" t="s">
        <v>32</v>
      </c>
      <c r="F217" s="9">
        <v>11040</v>
      </c>
      <c r="G217" s="9">
        <v>8943.7000000000007</v>
      </c>
      <c r="H217" s="9">
        <v>8884.9</v>
      </c>
      <c r="I217" s="9">
        <v>58.8</v>
      </c>
      <c r="J217" s="9">
        <v>8999.1</v>
      </c>
      <c r="K217" s="9">
        <v>1.54</v>
      </c>
      <c r="L217" s="9" t="s">
        <v>33</v>
      </c>
      <c r="M217" s="9" t="s">
        <v>34</v>
      </c>
      <c r="N217" s="9" t="s">
        <v>33</v>
      </c>
      <c r="O217" s="9">
        <v>0</v>
      </c>
      <c r="P217" s="9">
        <v>46.5</v>
      </c>
      <c r="Q217" s="9">
        <v>4459.5</v>
      </c>
      <c r="R217" s="9">
        <v>7.95</v>
      </c>
      <c r="S217" s="10">
        <f>PharmaProduction[[#This Row],[Actual_Units]]/PharmaProduction[[#This Row],[Planned_Units]]</f>
        <v>0.8101177536231885</v>
      </c>
      <c r="T217" s="10">
        <f>(8-PharmaProduction[[#This Row],[Downtime_hr]])/8</f>
        <v>0.8075</v>
      </c>
      <c r="U217" s="10">
        <f>((PharmaProduction[[#This Row],[Actual_Units]]/(8-PharmaProduction[[#This Row],[Downtime_hr]]))*8)/(PharmaProduction[[#This Row],[Planned_Units]])</f>
        <v>1.0032418001525554</v>
      </c>
      <c r="V217" s="10">
        <f>PharmaProduction[[#This Row],[Good_Units]]/PharmaProduction[[#This Row],[Actual_Units]]</f>
        <v>0.99342553976542136</v>
      </c>
      <c r="W217" s="10">
        <f>PharmaProduction[[#This Row],[Availability_%]]*PharmaProduction[[#This Row],[Performance_%]]*PharmaProduction[[#This Row],[Quality_%]]</f>
        <v>0.80479166666666668</v>
      </c>
      <c r="X217" s="10">
        <f>PharmaProduction[[#This Row],[Good_Units]]/PharmaProduction[[#This Row],[Planned_Units]]</f>
        <v>0.80479166666666668</v>
      </c>
      <c r="Y217" s="10">
        <f>PharmaProduction[[#This Row],[Rejected_Units]]/PharmaProduction[[#This Row],[Actual_Units]]</f>
        <v>6.5744602345785292E-3</v>
      </c>
      <c r="Z217" s="11">
        <f>PharmaProduction[[#This Row],[Actual_Units]]/PharmaProduction[[#This Row],[Labor_Hours]]</f>
        <v>192.33763440860216</v>
      </c>
      <c r="AA217" s="12">
        <f>PharmaProduction[[#This Row],[Energy_kWh]]/PharmaProduction[[#This Row],[Actual_Units]]</f>
        <v>0.49861913972964206</v>
      </c>
      <c r="AB217" s="12">
        <f>PharmaProduction[[#This Row],[Run_Hours]]+PharmaProduction[[#This Row],[Downtime_hr]]</f>
        <v>9.49</v>
      </c>
    </row>
    <row r="218" spans="1:28" x14ac:dyDescent="0.25">
      <c r="A218" s="9">
        <v>214</v>
      </c>
      <c r="B218" s="8">
        <v>46129</v>
      </c>
      <c r="C218" s="9" t="s">
        <v>35</v>
      </c>
      <c r="D218" s="9" t="s">
        <v>38</v>
      </c>
      <c r="E218" s="9" t="s">
        <v>32</v>
      </c>
      <c r="F218" s="9">
        <v>10629</v>
      </c>
      <c r="G218" s="9">
        <v>7550.3</v>
      </c>
      <c r="H218" s="9">
        <v>7437.3</v>
      </c>
      <c r="I218" s="9">
        <v>112.9</v>
      </c>
      <c r="J218" s="9">
        <v>7547.5</v>
      </c>
      <c r="K218" s="9">
        <v>1.71</v>
      </c>
      <c r="L218" s="9" t="s">
        <v>33</v>
      </c>
      <c r="M218" s="9" t="s">
        <v>34</v>
      </c>
      <c r="N218" s="9" t="s">
        <v>33</v>
      </c>
      <c r="O218" s="9">
        <v>0</v>
      </c>
      <c r="P218" s="9">
        <v>50.3</v>
      </c>
      <c r="Q218" s="9">
        <v>4186.5</v>
      </c>
      <c r="R218" s="9">
        <v>7.56</v>
      </c>
      <c r="S218" s="10">
        <f>PharmaProduction[[#This Row],[Actual_Units]]/PharmaProduction[[#This Row],[Planned_Units]]</f>
        <v>0.71034904506538721</v>
      </c>
      <c r="T218" s="10">
        <f>(8-PharmaProduction[[#This Row],[Downtime_hr]])/8</f>
        <v>0.78625</v>
      </c>
      <c r="U218" s="10">
        <f>((PharmaProduction[[#This Row],[Actual_Units]]/(8-PharmaProduction[[#This Row],[Downtime_hr]]))*8)/(PharmaProduction[[#This Row],[Planned_Units]])</f>
        <v>0.9034646042167086</v>
      </c>
      <c r="V218" s="10">
        <f>PharmaProduction[[#This Row],[Good_Units]]/PharmaProduction[[#This Row],[Actual_Units]]</f>
        <v>0.9850337072699098</v>
      </c>
      <c r="W218" s="10">
        <f>PharmaProduction[[#This Row],[Availability_%]]*PharmaProduction[[#This Row],[Performance_%]]*PharmaProduction[[#This Row],[Quality_%]]</f>
        <v>0.69971775331639852</v>
      </c>
      <c r="X218" s="10">
        <f>PharmaProduction[[#This Row],[Good_Units]]/PharmaProduction[[#This Row],[Planned_Units]]</f>
        <v>0.69971775331639852</v>
      </c>
      <c r="Y218" s="10">
        <f>PharmaProduction[[#This Row],[Rejected_Units]]/PharmaProduction[[#This Row],[Actual_Units]]</f>
        <v>1.4953048223249407E-2</v>
      </c>
      <c r="Z218" s="11">
        <f>PharmaProduction[[#This Row],[Actual_Units]]/PharmaProduction[[#This Row],[Labor_Hours]]</f>
        <v>150.10536779324056</v>
      </c>
      <c r="AA218" s="12">
        <f>PharmaProduction[[#This Row],[Energy_kWh]]/PharmaProduction[[#This Row],[Actual_Units]]</f>
        <v>0.55448127888958054</v>
      </c>
      <c r="AB218" s="12">
        <f>PharmaProduction[[#This Row],[Run_Hours]]+PharmaProduction[[#This Row],[Downtime_hr]]</f>
        <v>9.27</v>
      </c>
    </row>
    <row r="219" spans="1:28" x14ac:dyDescent="0.25">
      <c r="A219" s="9">
        <v>215</v>
      </c>
      <c r="B219" s="8">
        <v>46130</v>
      </c>
      <c r="C219" s="9" t="s">
        <v>30</v>
      </c>
      <c r="D219" s="9" t="s">
        <v>36</v>
      </c>
      <c r="E219" s="9" t="s">
        <v>32</v>
      </c>
      <c r="F219" s="9">
        <v>11884</v>
      </c>
      <c r="G219" s="9">
        <v>10925.6</v>
      </c>
      <c r="H219" s="9">
        <v>10808.5</v>
      </c>
      <c r="I219" s="9">
        <v>117.1</v>
      </c>
      <c r="J219" s="9">
        <v>11094.7</v>
      </c>
      <c r="K219" s="9">
        <v>0.11</v>
      </c>
      <c r="L219" s="9" t="s">
        <v>33</v>
      </c>
      <c r="M219" s="9" t="s">
        <v>34</v>
      </c>
      <c r="N219" s="9" t="s">
        <v>33</v>
      </c>
      <c r="O219" s="9">
        <v>0</v>
      </c>
      <c r="P219" s="9">
        <v>35.9</v>
      </c>
      <c r="Q219" s="9">
        <v>6102.3</v>
      </c>
      <c r="R219" s="9">
        <v>7.06</v>
      </c>
      <c r="S219" s="10">
        <f>PharmaProduction[[#This Row],[Actual_Units]]/PharmaProduction[[#This Row],[Planned_Units]]</f>
        <v>0.91935375294513633</v>
      </c>
      <c r="T219" s="10">
        <f>(8-PharmaProduction[[#This Row],[Downtime_hr]])/8</f>
        <v>0.98624999999999996</v>
      </c>
      <c r="U219" s="10">
        <f>((PharmaProduction[[#This Row],[Actual_Units]]/(8-PharmaProduction[[#This Row],[Downtime_hr]]))*8)/(PharmaProduction[[#This Row],[Planned_Units]])</f>
        <v>0.93217110564779349</v>
      </c>
      <c r="V219" s="10">
        <f>PharmaProduction[[#This Row],[Good_Units]]/PharmaProduction[[#This Row],[Actual_Units]]</f>
        <v>0.98928205315955187</v>
      </c>
      <c r="W219" s="10">
        <f>PharmaProduction[[#This Row],[Availability_%]]*PharmaProduction[[#This Row],[Performance_%]]*PharmaProduction[[#This Row],[Quality_%]]</f>
        <v>0.90950016829350389</v>
      </c>
      <c r="X219" s="10">
        <f>PharmaProduction[[#This Row],[Good_Units]]/PharmaProduction[[#This Row],[Planned_Units]]</f>
        <v>0.90950016829350389</v>
      </c>
      <c r="Y219" s="10">
        <f>PharmaProduction[[#This Row],[Rejected_Units]]/PharmaProduction[[#This Row],[Actual_Units]]</f>
        <v>1.0717946840448122E-2</v>
      </c>
      <c r="Z219" s="11">
        <f>PharmaProduction[[#This Row],[Actual_Units]]/PharmaProduction[[#This Row],[Labor_Hours]]</f>
        <v>304.33426183844011</v>
      </c>
      <c r="AA219" s="12">
        <f>PharmaProduction[[#This Row],[Energy_kWh]]/PharmaProduction[[#This Row],[Actual_Units]]</f>
        <v>0.5585322545214908</v>
      </c>
      <c r="AB219" s="12">
        <f>PharmaProduction[[#This Row],[Run_Hours]]+PharmaProduction[[#This Row],[Downtime_hr]]</f>
        <v>7.17</v>
      </c>
    </row>
    <row r="220" spans="1:28" x14ac:dyDescent="0.25">
      <c r="A220" s="9">
        <v>216</v>
      </c>
      <c r="B220" s="8">
        <v>46130</v>
      </c>
      <c r="C220" s="9" t="s">
        <v>35</v>
      </c>
      <c r="D220" s="9" t="s">
        <v>31</v>
      </c>
      <c r="E220" s="9" t="s">
        <v>42</v>
      </c>
      <c r="F220" s="9">
        <v>9190</v>
      </c>
      <c r="G220" s="9">
        <v>6938.6</v>
      </c>
      <c r="H220" s="9">
        <v>6363.7</v>
      </c>
      <c r="I220" s="9">
        <v>574.9</v>
      </c>
      <c r="J220" s="9">
        <v>7165</v>
      </c>
      <c r="K220" s="9">
        <v>1.07</v>
      </c>
      <c r="L220" s="9" t="s">
        <v>33</v>
      </c>
      <c r="M220" s="9" t="s">
        <v>41</v>
      </c>
      <c r="N220" s="9" t="s">
        <v>44</v>
      </c>
      <c r="O220" s="9">
        <v>420.19</v>
      </c>
      <c r="P220" s="9">
        <v>37</v>
      </c>
      <c r="Q220" s="9">
        <v>3259</v>
      </c>
      <c r="R220" s="9">
        <v>7.18</v>
      </c>
      <c r="S220" s="10">
        <f>PharmaProduction[[#This Row],[Actual_Units]]/PharmaProduction[[#This Row],[Planned_Units]]</f>
        <v>0.75501632208922742</v>
      </c>
      <c r="T220" s="10">
        <f>(8-PharmaProduction[[#This Row],[Downtime_hr]])/8</f>
        <v>0.86624999999999996</v>
      </c>
      <c r="U220" s="10">
        <f>((PharmaProduction[[#This Row],[Actual_Units]]/(8-PharmaProduction[[#This Row],[Downtime_hr]]))*8)/(PharmaProduction[[#This Row],[Planned_Units]])</f>
        <v>0.87159171381151801</v>
      </c>
      <c r="V220" s="10">
        <f>PharmaProduction[[#This Row],[Good_Units]]/PharmaProduction[[#This Row],[Actual_Units]]</f>
        <v>0.91714466895339108</v>
      </c>
      <c r="W220" s="10">
        <f>PharmaProduction[[#This Row],[Availability_%]]*PharmaProduction[[#This Row],[Performance_%]]*PharmaProduction[[#This Row],[Quality_%]]</f>
        <v>0.69245919477693141</v>
      </c>
      <c r="X220" s="10">
        <f>PharmaProduction[[#This Row],[Good_Units]]/PharmaProduction[[#This Row],[Planned_Units]]</f>
        <v>0.69245919477693141</v>
      </c>
      <c r="Y220" s="10">
        <f>PharmaProduction[[#This Row],[Rejected_Units]]/PharmaProduction[[#This Row],[Actual_Units]]</f>
        <v>8.2855331046608818E-2</v>
      </c>
      <c r="Z220" s="11">
        <f>PharmaProduction[[#This Row],[Actual_Units]]/PharmaProduction[[#This Row],[Labor_Hours]]</f>
        <v>187.52972972972975</v>
      </c>
      <c r="AA220" s="12">
        <f>PharmaProduction[[#This Row],[Energy_kWh]]/PharmaProduction[[#This Row],[Actual_Units]]</f>
        <v>0.46969129219150835</v>
      </c>
      <c r="AB220" s="12">
        <f>PharmaProduction[[#This Row],[Run_Hours]]+PharmaProduction[[#This Row],[Downtime_hr]]</f>
        <v>8.25</v>
      </c>
    </row>
    <row r="221" spans="1:28" x14ac:dyDescent="0.25">
      <c r="A221" s="9">
        <v>217</v>
      </c>
      <c r="B221" s="8">
        <v>46131</v>
      </c>
      <c r="C221" s="9" t="s">
        <v>30</v>
      </c>
      <c r="D221" s="9" t="s">
        <v>38</v>
      </c>
      <c r="E221" s="9" t="s">
        <v>39</v>
      </c>
      <c r="F221" s="9">
        <v>11158</v>
      </c>
      <c r="G221" s="9">
        <v>8434.9</v>
      </c>
      <c r="H221" s="9">
        <v>8297.2999999999993</v>
      </c>
      <c r="I221" s="9">
        <v>137.6</v>
      </c>
      <c r="J221" s="9">
        <v>8520.2999999999993</v>
      </c>
      <c r="K221" s="9">
        <v>1.46</v>
      </c>
      <c r="L221" s="9" t="s">
        <v>33</v>
      </c>
      <c r="M221" s="9" t="s">
        <v>34</v>
      </c>
      <c r="N221" s="9" t="s">
        <v>33</v>
      </c>
      <c r="O221" s="9">
        <v>0</v>
      </c>
      <c r="P221" s="9">
        <v>40.1</v>
      </c>
      <c r="Q221" s="9">
        <v>4416.8999999999996</v>
      </c>
      <c r="R221" s="9">
        <v>7.42</v>
      </c>
      <c r="S221" s="10">
        <f>PharmaProduction[[#This Row],[Actual_Units]]/PharmaProduction[[#This Row],[Planned_Units]]</f>
        <v>0.75595088725578052</v>
      </c>
      <c r="T221" s="10">
        <f>(8-PharmaProduction[[#This Row],[Downtime_hr]])/8</f>
        <v>0.8175</v>
      </c>
      <c r="U221" s="10">
        <f>((PharmaProduction[[#This Row],[Actual_Units]]/(8-PharmaProduction[[#This Row],[Downtime_hr]]))*8)/(PharmaProduction[[#This Row],[Planned_Units]])</f>
        <v>0.92471056545049612</v>
      </c>
      <c r="V221" s="10">
        <f>PharmaProduction[[#This Row],[Good_Units]]/PharmaProduction[[#This Row],[Actual_Units]]</f>
        <v>0.98368682497717808</v>
      </c>
      <c r="W221" s="10">
        <f>PharmaProduction[[#This Row],[Availability_%]]*PharmaProduction[[#This Row],[Performance_%]]*PharmaProduction[[#This Row],[Quality_%]]</f>
        <v>0.74361892812331953</v>
      </c>
      <c r="X221" s="10">
        <f>PharmaProduction[[#This Row],[Good_Units]]/PharmaProduction[[#This Row],[Planned_Units]]</f>
        <v>0.74361892812331953</v>
      </c>
      <c r="Y221" s="10">
        <f>PharmaProduction[[#This Row],[Rejected_Units]]/PharmaProduction[[#This Row],[Actual_Units]]</f>
        <v>1.6313175022821848E-2</v>
      </c>
      <c r="Z221" s="11">
        <f>PharmaProduction[[#This Row],[Actual_Units]]/PharmaProduction[[#This Row],[Labor_Hours]]</f>
        <v>210.34663341645884</v>
      </c>
      <c r="AA221" s="12">
        <f>PharmaProduction[[#This Row],[Energy_kWh]]/PharmaProduction[[#This Row],[Actual_Units]]</f>
        <v>0.52364580492951895</v>
      </c>
      <c r="AB221" s="12">
        <f>PharmaProduction[[#This Row],[Run_Hours]]+PharmaProduction[[#This Row],[Downtime_hr]]</f>
        <v>8.879999999999999</v>
      </c>
    </row>
    <row r="222" spans="1:28" x14ac:dyDescent="0.25">
      <c r="A222" s="9">
        <v>218</v>
      </c>
      <c r="B222" s="8">
        <v>46131</v>
      </c>
      <c r="C222" s="9" t="s">
        <v>35</v>
      </c>
      <c r="D222" s="9" t="s">
        <v>38</v>
      </c>
      <c r="E222" s="9" t="s">
        <v>39</v>
      </c>
      <c r="F222" s="9">
        <v>10878</v>
      </c>
      <c r="G222" s="9">
        <v>9096.6</v>
      </c>
      <c r="H222" s="9">
        <v>8925.4</v>
      </c>
      <c r="I222" s="9">
        <v>171.2</v>
      </c>
      <c r="J222" s="9">
        <v>9394.7999999999993</v>
      </c>
      <c r="K222" s="9">
        <v>0.81</v>
      </c>
      <c r="L222" s="9" t="s">
        <v>33</v>
      </c>
      <c r="M222" s="9" t="s">
        <v>34</v>
      </c>
      <c r="N222" s="9" t="s">
        <v>33</v>
      </c>
      <c r="O222" s="9">
        <v>0</v>
      </c>
      <c r="P222" s="9">
        <v>41.8</v>
      </c>
      <c r="Q222" s="9">
        <v>4856.3999999999996</v>
      </c>
      <c r="R222" s="9">
        <v>7.68</v>
      </c>
      <c r="S222" s="10">
        <f>PharmaProduction[[#This Row],[Actual_Units]]/PharmaProduction[[#This Row],[Planned_Units]]</f>
        <v>0.83623827909542203</v>
      </c>
      <c r="T222" s="10">
        <f>(8-PharmaProduction[[#This Row],[Downtime_hr]])/8</f>
        <v>0.89874999999999994</v>
      </c>
      <c r="U222" s="10">
        <f>((PharmaProduction[[#This Row],[Actual_Units]]/(8-PharmaProduction[[#This Row],[Downtime_hr]]))*8)/(PharmaProduction[[#This Row],[Planned_Units]])</f>
        <v>0.93044592945248628</v>
      </c>
      <c r="V222" s="10">
        <f>PharmaProduction[[#This Row],[Good_Units]]/PharmaProduction[[#This Row],[Actual_Units]]</f>
        <v>0.98117978145680795</v>
      </c>
      <c r="W222" s="10">
        <f>PharmaProduction[[#This Row],[Availability_%]]*PharmaProduction[[#This Row],[Performance_%]]*PharmaProduction[[#This Row],[Quality_%]]</f>
        <v>0.82050009192866336</v>
      </c>
      <c r="X222" s="10">
        <f>PharmaProduction[[#This Row],[Good_Units]]/PharmaProduction[[#This Row],[Planned_Units]]</f>
        <v>0.82050009192866336</v>
      </c>
      <c r="Y222" s="10">
        <f>PharmaProduction[[#This Row],[Rejected_Units]]/PharmaProduction[[#This Row],[Actual_Units]]</f>
        <v>1.882021854319196E-2</v>
      </c>
      <c r="Z222" s="11">
        <f>PharmaProduction[[#This Row],[Actual_Units]]/PharmaProduction[[#This Row],[Labor_Hours]]</f>
        <v>217.62200956937801</v>
      </c>
      <c r="AA222" s="12">
        <f>PharmaProduction[[#This Row],[Energy_kWh]]/PharmaProduction[[#This Row],[Actual_Units]]</f>
        <v>0.53386979750676067</v>
      </c>
      <c r="AB222" s="12">
        <f>PharmaProduction[[#This Row],[Run_Hours]]+PharmaProduction[[#This Row],[Downtime_hr]]</f>
        <v>8.49</v>
      </c>
    </row>
    <row r="223" spans="1:28" x14ac:dyDescent="0.25">
      <c r="A223" s="9">
        <v>219</v>
      </c>
      <c r="B223" s="8">
        <v>46132</v>
      </c>
      <c r="C223" s="9" t="s">
        <v>30</v>
      </c>
      <c r="D223" s="9" t="s">
        <v>36</v>
      </c>
      <c r="E223" s="9" t="s">
        <v>32</v>
      </c>
      <c r="F223" s="9">
        <v>11017</v>
      </c>
      <c r="G223" s="9">
        <v>8870.4</v>
      </c>
      <c r="H223" s="9">
        <v>8846.6</v>
      </c>
      <c r="I223" s="9">
        <v>23.8</v>
      </c>
      <c r="J223" s="9">
        <v>9042.7000000000007</v>
      </c>
      <c r="K223" s="9">
        <v>1.1100000000000001</v>
      </c>
      <c r="L223" s="9" t="s">
        <v>48</v>
      </c>
      <c r="M223" s="9" t="s">
        <v>34</v>
      </c>
      <c r="N223" s="9" t="s">
        <v>33</v>
      </c>
      <c r="O223" s="9">
        <v>0</v>
      </c>
      <c r="P223" s="9">
        <v>41.7</v>
      </c>
      <c r="Q223" s="9">
        <v>4535.3</v>
      </c>
      <c r="R223" s="9">
        <v>6.9</v>
      </c>
      <c r="S223" s="10">
        <f>PharmaProduction[[#This Row],[Actual_Units]]/PharmaProduction[[#This Row],[Planned_Units]]</f>
        <v>0.80515566851229914</v>
      </c>
      <c r="T223" s="10">
        <f>(8-PharmaProduction[[#This Row],[Downtime_hr]])/8</f>
        <v>0.86124999999999996</v>
      </c>
      <c r="U223" s="10">
        <f>((PharmaProduction[[#This Row],[Actual_Units]]/(8-PharmaProduction[[#This Row],[Downtime_hr]]))*8)/(PharmaProduction[[#This Row],[Planned_Units]])</f>
        <v>0.93486870073997008</v>
      </c>
      <c r="V223" s="10">
        <f>PharmaProduction[[#This Row],[Good_Units]]/PharmaProduction[[#This Row],[Actual_Units]]</f>
        <v>0.99731691919191923</v>
      </c>
      <c r="W223" s="10">
        <f>PharmaProduction[[#This Row],[Availability_%]]*PharmaProduction[[#This Row],[Performance_%]]*PharmaProduction[[#This Row],[Quality_%]]</f>
        <v>0.80299537079059646</v>
      </c>
      <c r="X223" s="10">
        <f>PharmaProduction[[#This Row],[Good_Units]]/PharmaProduction[[#This Row],[Planned_Units]]</f>
        <v>0.80299537079059635</v>
      </c>
      <c r="Y223" s="10">
        <f>PharmaProduction[[#This Row],[Rejected_Units]]/PharmaProduction[[#This Row],[Actual_Units]]</f>
        <v>2.6830808080808084E-3</v>
      </c>
      <c r="Z223" s="11">
        <f>PharmaProduction[[#This Row],[Actual_Units]]/PharmaProduction[[#This Row],[Labor_Hours]]</f>
        <v>212.71942446043164</v>
      </c>
      <c r="AA223" s="12">
        <f>PharmaProduction[[#This Row],[Energy_kWh]]/PharmaProduction[[#This Row],[Actual_Units]]</f>
        <v>0.51128472222222221</v>
      </c>
      <c r="AB223" s="12">
        <f>PharmaProduction[[#This Row],[Run_Hours]]+PharmaProduction[[#This Row],[Downtime_hr]]</f>
        <v>8.01</v>
      </c>
    </row>
    <row r="224" spans="1:28" x14ac:dyDescent="0.25">
      <c r="A224" s="9">
        <v>220</v>
      </c>
      <c r="B224" s="8">
        <v>46132</v>
      </c>
      <c r="C224" s="9" t="s">
        <v>35</v>
      </c>
      <c r="D224" s="9" t="s">
        <v>38</v>
      </c>
      <c r="E224" s="9" t="s">
        <v>42</v>
      </c>
      <c r="F224" s="9">
        <v>11414</v>
      </c>
      <c r="G224" s="9">
        <v>7017.3</v>
      </c>
      <c r="H224" s="9">
        <v>6905.3</v>
      </c>
      <c r="I224" s="9">
        <v>111.9</v>
      </c>
      <c r="J224" s="9">
        <v>7120.2</v>
      </c>
      <c r="K224" s="9">
        <v>2.46</v>
      </c>
      <c r="L224" s="9" t="s">
        <v>33</v>
      </c>
      <c r="M224" s="9" t="s">
        <v>34</v>
      </c>
      <c r="N224" s="9" t="s">
        <v>37</v>
      </c>
      <c r="O224" s="9">
        <v>192.77</v>
      </c>
      <c r="P224" s="9">
        <v>45.9</v>
      </c>
      <c r="Q224" s="9">
        <v>3845.6</v>
      </c>
      <c r="R224" s="9">
        <v>7.39</v>
      </c>
      <c r="S224" s="10">
        <f>PharmaProduction[[#This Row],[Actual_Units]]/PharmaProduction[[#This Row],[Planned_Units]]</f>
        <v>0.61479761696162605</v>
      </c>
      <c r="T224" s="10">
        <f>(8-PharmaProduction[[#This Row],[Downtime_hr]])/8</f>
        <v>0.6925</v>
      </c>
      <c r="U224" s="10">
        <f>((PharmaProduction[[#This Row],[Actual_Units]]/(8-PharmaProduction[[#This Row],[Downtime_hr]]))*8)/(PharmaProduction[[#This Row],[Planned_Units]])</f>
        <v>0.88779439272436989</v>
      </c>
      <c r="V224" s="10">
        <f>PharmaProduction[[#This Row],[Good_Units]]/PharmaProduction[[#This Row],[Actual_Units]]</f>
        <v>0.98403944537072663</v>
      </c>
      <c r="W224" s="10">
        <f>PharmaProduction[[#This Row],[Availability_%]]*PharmaProduction[[#This Row],[Performance_%]]*PharmaProduction[[#This Row],[Quality_%]]</f>
        <v>0.60498510601016309</v>
      </c>
      <c r="X224" s="10">
        <f>PharmaProduction[[#This Row],[Good_Units]]/PharmaProduction[[#This Row],[Planned_Units]]</f>
        <v>0.60498510601016298</v>
      </c>
      <c r="Y224" s="10">
        <f>PharmaProduction[[#This Row],[Rejected_Units]]/PharmaProduction[[#This Row],[Actual_Units]]</f>
        <v>1.594630413406866E-2</v>
      </c>
      <c r="Z224" s="11">
        <f>PharmaProduction[[#This Row],[Actual_Units]]/PharmaProduction[[#This Row],[Labor_Hours]]</f>
        <v>152.88235294117649</v>
      </c>
      <c r="AA224" s="12">
        <f>PharmaProduction[[#This Row],[Energy_kWh]]/PharmaProduction[[#This Row],[Actual_Units]]</f>
        <v>0.54801704359226477</v>
      </c>
      <c r="AB224" s="12">
        <f>PharmaProduction[[#This Row],[Run_Hours]]+PharmaProduction[[#This Row],[Downtime_hr]]</f>
        <v>9.85</v>
      </c>
    </row>
    <row r="225" spans="1:28" x14ac:dyDescent="0.25">
      <c r="A225" s="9">
        <v>221</v>
      </c>
      <c r="B225" s="8">
        <v>46133</v>
      </c>
      <c r="C225" s="9" t="s">
        <v>30</v>
      </c>
      <c r="D225" s="9" t="s">
        <v>38</v>
      </c>
      <c r="E225" s="9" t="s">
        <v>32</v>
      </c>
      <c r="F225" s="9">
        <v>10969</v>
      </c>
      <c r="G225" s="9">
        <v>7324</v>
      </c>
      <c r="H225" s="9">
        <v>7200.4</v>
      </c>
      <c r="I225" s="9">
        <v>123.6</v>
      </c>
      <c r="J225" s="9">
        <v>7442.9</v>
      </c>
      <c r="K225" s="9">
        <v>2.2999999999999998</v>
      </c>
      <c r="L225" s="9" t="s">
        <v>33</v>
      </c>
      <c r="M225" s="9" t="s">
        <v>34</v>
      </c>
      <c r="N225" s="9" t="s">
        <v>33</v>
      </c>
      <c r="O225" s="9">
        <v>0</v>
      </c>
      <c r="P225" s="9">
        <v>42.5</v>
      </c>
      <c r="Q225" s="9">
        <v>4460</v>
      </c>
      <c r="R225" s="9">
        <v>7.23</v>
      </c>
      <c r="S225" s="10">
        <f>PharmaProduction[[#This Row],[Actual_Units]]/PharmaProduction[[#This Row],[Planned_Units]]</f>
        <v>0.66769988148418269</v>
      </c>
      <c r="T225" s="10">
        <f>(8-PharmaProduction[[#This Row],[Downtime_hr]])/8</f>
        <v>0.71250000000000002</v>
      </c>
      <c r="U225" s="10">
        <f>((PharmaProduction[[#This Row],[Actual_Units]]/(8-PharmaProduction[[#This Row],[Downtime_hr]]))*8)/(PharmaProduction[[#This Row],[Planned_Units]])</f>
        <v>0.93712264067955464</v>
      </c>
      <c r="V225" s="10">
        <f>PharmaProduction[[#This Row],[Good_Units]]/PharmaProduction[[#This Row],[Actual_Units]]</f>
        <v>0.98312397596941559</v>
      </c>
      <c r="W225" s="10">
        <f>PharmaProduction[[#This Row],[Availability_%]]*PharmaProduction[[#This Row],[Performance_%]]*PharmaProduction[[#This Row],[Quality_%]]</f>
        <v>0.65643176223903721</v>
      </c>
      <c r="X225" s="10">
        <f>PharmaProduction[[#This Row],[Good_Units]]/PharmaProduction[[#This Row],[Planned_Units]]</f>
        <v>0.65643176223903721</v>
      </c>
      <c r="Y225" s="10">
        <f>PharmaProduction[[#This Row],[Rejected_Units]]/PharmaProduction[[#This Row],[Actual_Units]]</f>
        <v>1.6876024030584379E-2</v>
      </c>
      <c r="Z225" s="11">
        <f>PharmaProduction[[#This Row],[Actual_Units]]/PharmaProduction[[#This Row],[Labor_Hours]]</f>
        <v>172.3294117647059</v>
      </c>
      <c r="AA225" s="12">
        <f>PharmaProduction[[#This Row],[Energy_kWh]]/PharmaProduction[[#This Row],[Actual_Units]]</f>
        <v>0.60895685417804479</v>
      </c>
      <c r="AB225" s="12">
        <f>PharmaProduction[[#This Row],[Run_Hours]]+PharmaProduction[[#This Row],[Downtime_hr]]</f>
        <v>9.5300000000000011</v>
      </c>
    </row>
    <row r="226" spans="1:28" x14ac:dyDescent="0.25">
      <c r="A226" s="9">
        <v>222</v>
      </c>
      <c r="B226" s="8">
        <v>46133</v>
      </c>
      <c r="C226" s="9" t="s">
        <v>35</v>
      </c>
      <c r="D226" s="9" t="s">
        <v>36</v>
      </c>
      <c r="E226" s="9" t="s">
        <v>39</v>
      </c>
      <c r="F226" s="9">
        <v>11967</v>
      </c>
      <c r="G226" s="9">
        <v>10748</v>
      </c>
      <c r="H226" s="9">
        <v>10558</v>
      </c>
      <c r="I226" s="9">
        <v>190</v>
      </c>
      <c r="J226" s="9">
        <v>10982.1</v>
      </c>
      <c r="K226" s="9">
        <v>0.54</v>
      </c>
      <c r="L226" s="9" t="s">
        <v>40</v>
      </c>
      <c r="M226" s="9" t="s">
        <v>34</v>
      </c>
      <c r="N226" s="9" t="s">
        <v>33</v>
      </c>
      <c r="O226" s="9">
        <v>0</v>
      </c>
      <c r="P226" s="9">
        <v>43.5</v>
      </c>
      <c r="Q226" s="9">
        <v>5856.2</v>
      </c>
      <c r="R226" s="9">
        <v>7.21</v>
      </c>
      <c r="S226" s="10">
        <f>PharmaProduction[[#This Row],[Actual_Units]]/PharmaProduction[[#This Row],[Planned_Units]]</f>
        <v>0.89813654215760008</v>
      </c>
      <c r="T226" s="10">
        <f>(8-PharmaProduction[[#This Row],[Downtime_hr]])/8</f>
        <v>0.9325</v>
      </c>
      <c r="U226" s="10">
        <f>((PharmaProduction[[#This Row],[Actual_Units]]/(8-PharmaProduction[[#This Row],[Downtime_hr]]))*8)/(PharmaProduction[[#This Row],[Planned_Units]])</f>
        <v>0.96314910687142097</v>
      </c>
      <c r="V226" s="10">
        <f>PharmaProduction[[#This Row],[Good_Units]]/PharmaProduction[[#This Row],[Actual_Units]]</f>
        <v>0.98232229251953851</v>
      </c>
      <c r="W226" s="10">
        <f>PharmaProduction[[#This Row],[Availability_%]]*PharmaProduction[[#This Row],[Performance_%]]*PharmaProduction[[#This Row],[Quality_%]]</f>
        <v>0.88225954708782484</v>
      </c>
      <c r="X226" s="10">
        <f>PharmaProduction[[#This Row],[Good_Units]]/PharmaProduction[[#This Row],[Planned_Units]]</f>
        <v>0.88225954708782484</v>
      </c>
      <c r="Y226" s="10">
        <f>PharmaProduction[[#This Row],[Rejected_Units]]/PharmaProduction[[#This Row],[Actual_Units]]</f>
        <v>1.767770748046148E-2</v>
      </c>
      <c r="Z226" s="11">
        <f>PharmaProduction[[#This Row],[Actual_Units]]/PharmaProduction[[#This Row],[Labor_Hours]]</f>
        <v>247.08045977011494</v>
      </c>
      <c r="AA226" s="12">
        <f>PharmaProduction[[#This Row],[Energy_kWh]]/PharmaProduction[[#This Row],[Actual_Units]]</f>
        <v>0.54486416077409749</v>
      </c>
      <c r="AB226" s="12">
        <f>PharmaProduction[[#This Row],[Run_Hours]]+PharmaProduction[[#This Row],[Downtime_hr]]</f>
        <v>7.75</v>
      </c>
    </row>
    <row r="227" spans="1:28" x14ac:dyDescent="0.25">
      <c r="A227" s="9">
        <v>223</v>
      </c>
      <c r="B227" s="8">
        <v>46134</v>
      </c>
      <c r="C227" s="9" t="s">
        <v>30</v>
      </c>
      <c r="D227" s="9" t="s">
        <v>36</v>
      </c>
      <c r="E227" s="9" t="s">
        <v>42</v>
      </c>
      <c r="F227" s="9">
        <v>10879</v>
      </c>
      <c r="G227" s="9">
        <v>7371.6</v>
      </c>
      <c r="H227" s="9">
        <v>7325.9</v>
      </c>
      <c r="I227" s="9">
        <v>45.7</v>
      </c>
      <c r="J227" s="9">
        <v>7454.5</v>
      </c>
      <c r="K227" s="9">
        <v>2.27</v>
      </c>
      <c r="L227" s="9" t="s">
        <v>33</v>
      </c>
      <c r="M227" s="9" t="s">
        <v>34</v>
      </c>
      <c r="N227" s="9" t="s">
        <v>33</v>
      </c>
      <c r="O227" s="9">
        <v>0</v>
      </c>
      <c r="P227" s="9">
        <v>36.1</v>
      </c>
      <c r="Q227" s="9">
        <v>3599</v>
      </c>
      <c r="R227" s="9">
        <v>6.99</v>
      </c>
      <c r="S227" s="10">
        <f>PharmaProduction[[#This Row],[Actual_Units]]/PharmaProduction[[#This Row],[Planned_Units]]</f>
        <v>0.67759904402978222</v>
      </c>
      <c r="T227" s="10">
        <f>(8-PharmaProduction[[#This Row],[Downtime_hr]])/8</f>
        <v>0.71625000000000005</v>
      </c>
      <c r="U227" s="10">
        <f>((PharmaProduction[[#This Row],[Actual_Units]]/(8-PharmaProduction[[#This Row],[Downtime_hr]]))*8)/(PharmaProduction[[#This Row],[Planned_Units]])</f>
        <v>0.94603705972744456</v>
      </c>
      <c r="V227" s="10">
        <f>PharmaProduction[[#This Row],[Good_Units]]/PharmaProduction[[#This Row],[Actual_Units]]</f>
        <v>0.99380053177057892</v>
      </c>
      <c r="W227" s="10">
        <f>PharmaProduction[[#This Row],[Availability_%]]*PharmaProduction[[#This Row],[Performance_%]]*PharmaProduction[[#This Row],[Quality_%]]</f>
        <v>0.67339829028403353</v>
      </c>
      <c r="X227" s="10">
        <f>PharmaProduction[[#This Row],[Good_Units]]/PharmaProduction[[#This Row],[Planned_Units]]</f>
        <v>0.67339829028403342</v>
      </c>
      <c r="Y227" s="10">
        <f>PharmaProduction[[#This Row],[Rejected_Units]]/PharmaProduction[[#This Row],[Actual_Units]]</f>
        <v>6.1994682294210209E-3</v>
      </c>
      <c r="Z227" s="11">
        <f>PharmaProduction[[#This Row],[Actual_Units]]/PharmaProduction[[#This Row],[Labor_Hours]]</f>
        <v>204.19944598337949</v>
      </c>
      <c r="AA227" s="12">
        <f>PharmaProduction[[#This Row],[Energy_kWh]]/PharmaProduction[[#This Row],[Actual_Units]]</f>
        <v>0.48822508003689835</v>
      </c>
      <c r="AB227" s="12">
        <f>PharmaProduction[[#This Row],[Run_Hours]]+PharmaProduction[[#This Row],[Downtime_hr]]</f>
        <v>9.26</v>
      </c>
    </row>
    <row r="228" spans="1:28" x14ac:dyDescent="0.25">
      <c r="A228" s="9">
        <v>224</v>
      </c>
      <c r="B228" s="8">
        <v>46134</v>
      </c>
      <c r="C228" s="9" t="s">
        <v>35</v>
      </c>
      <c r="D228" s="9" t="s">
        <v>38</v>
      </c>
      <c r="E228" s="9" t="s">
        <v>39</v>
      </c>
      <c r="F228" s="9">
        <v>9388</v>
      </c>
      <c r="G228" s="9">
        <v>6284.1</v>
      </c>
      <c r="H228" s="9">
        <v>6223.6</v>
      </c>
      <c r="I228" s="9">
        <v>60.5</v>
      </c>
      <c r="J228" s="9">
        <v>6388.9</v>
      </c>
      <c r="K228" s="9">
        <v>2.2000000000000002</v>
      </c>
      <c r="L228" s="9" t="s">
        <v>33</v>
      </c>
      <c r="M228" s="9" t="s">
        <v>49</v>
      </c>
      <c r="N228" s="9" t="s">
        <v>33</v>
      </c>
      <c r="O228" s="9">
        <v>0</v>
      </c>
      <c r="P228" s="9">
        <v>50.4</v>
      </c>
      <c r="Q228" s="9">
        <v>2888.9</v>
      </c>
      <c r="R228" s="9">
        <v>7.24</v>
      </c>
      <c r="S228" s="10">
        <f>PharmaProduction[[#This Row],[Actual_Units]]/PharmaProduction[[#This Row],[Planned_Units]]</f>
        <v>0.66937579889220289</v>
      </c>
      <c r="T228" s="10">
        <f>(8-PharmaProduction[[#This Row],[Downtime_hr]])/8</f>
        <v>0.72499999999999998</v>
      </c>
      <c r="U228" s="10">
        <f>((PharmaProduction[[#This Row],[Actual_Units]]/(8-PharmaProduction[[#This Row],[Downtime_hr]]))*8)/(PharmaProduction[[#This Row],[Planned_Units]])</f>
        <v>0.9232769639892453</v>
      </c>
      <c r="V228" s="10">
        <f>PharmaProduction[[#This Row],[Good_Units]]/PharmaProduction[[#This Row],[Actual_Units]]</f>
        <v>0.99037252749001448</v>
      </c>
      <c r="W228" s="10">
        <f>PharmaProduction[[#This Row],[Availability_%]]*PharmaProduction[[#This Row],[Performance_%]]*PharmaProduction[[#This Row],[Quality_%]]</f>
        <v>0.66293140178951848</v>
      </c>
      <c r="X228" s="10">
        <f>PharmaProduction[[#This Row],[Good_Units]]/PharmaProduction[[#This Row],[Planned_Units]]</f>
        <v>0.66293140178951859</v>
      </c>
      <c r="Y228" s="10">
        <f>PharmaProduction[[#This Row],[Rejected_Units]]/PharmaProduction[[#This Row],[Actual_Units]]</f>
        <v>9.6274725099855189E-3</v>
      </c>
      <c r="Z228" s="11">
        <f>PharmaProduction[[#This Row],[Actual_Units]]/PharmaProduction[[#This Row],[Labor_Hours]]</f>
        <v>124.68452380952382</v>
      </c>
      <c r="AA228" s="12">
        <f>PharmaProduction[[#This Row],[Energy_kWh]]/PharmaProduction[[#This Row],[Actual_Units]]</f>
        <v>0.45971579064623413</v>
      </c>
      <c r="AB228" s="12">
        <f>PharmaProduction[[#This Row],[Run_Hours]]+PharmaProduction[[#This Row],[Downtime_hr]]</f>
        <v>9.4400000000000013</v>
      </c>
    </row>
    <row r="229" spans="1:28" x14ac:dyDescent="0.25">
      <c r="A229" s="9">
        <v>225</v>
      </c>
      <c r="B229" s="8">
        <v>46135</v>
      </c>
      <c r="C229" s="9" t="s">
        <v>30</v>
      </c>
      <c r="D229" s="9" t="s">
        <v>36</v>
      </c>
      <c r="E229" s="9" t="s">
        <v>39</v>
      </c>
      <c r="F229" s="9">
        <v>10466</v>
      </c>
      <c r="G229" s="9">
        <v>7684.1</v>
      </c>
      <c r="H229" s="9">
        <v>7632.7</v>
      </c>
      <c r="I229" s="9">
        <v>51.5</v>
      </c>
      <c r="J229" s="9">
        <v>7890.3</v>
      </c>
      <c r="K229" s="9">
        <v>1.56</v>
      </c>
      <c r="L229" s="9" t="s">
        <v>48</v>
      </c>
      <c r="M229" s="9" t="s">
        <v>34</v>
      </c>
      <c r="N229" s="9" t="s">
        <v>44</v>
      </c>
      <c r="O229" s="9">
        <v>478.77</v>
      </c>
      <c r="P229" s="9">
        <v>48.9</v>
      </c>
      <c r="Q229" s="9">
        <v>4261.8</v>
      </c>
      <c r="R229" s="9">
        <v>7.5</v>
      </c>
      <c r="S229" s="10">
        <f>PharmaProduction[[#This Row],[Actual_Units]]/PharmaProduction[[#This Row],[Planned_Units]]</f>
        <v>0.73419644563347985</v>
      </c>
      <c r="T229" s="10">
        <f>(8-PharmaProduction[[#This Row],[Downtime_hr]])/8</f>
        <v>0.80499999999999994</v>
      </c>
      <c r="U229" s="10">
        <f>((PharmaProduction[[#This Row],[Actual_Units]]/(8-PharmaProduction[[#This Row],[Downtime_hr]]))*8)/(PharmaProduction[[#This Row],[Planned_Units]])</f>
        <v>0.91204527407885694</v>
      </c>
      <c r="V229" s="10">
        <f>PharmaProduction[[#This Row],[Good_Units]]/PharmaProduction[[#This Row],[Actual_Units]]</f>
        <v>0.99331086269049074</v>
      </c>
      <c r="W229" s="10">
        <f>PharmaProduction[[#This Row],[Availability_%]]*PharmaProduction[[#This Row],[Performance_%]]*PharmaProduction[[#This Row],[Quality_%]]</f>
        <v>0.72928530479648379</v>
      </c>
      <c r="X229" s="10">
        <f>PharmaProduction[[#This Row],[Good_Units]]/PharmaProduction[[#This Row],[Planned_Units]]</f>
        <v>0.72928530479648379</v>
      </c>
      <c r="Y229" s="10">
        <f>PharmaProduction[[#This Row],[Rejected_Units]]/PharmaProduction[[#This Row],[Actual_Units]]</f>
        <v>6.702151195325412E-3</v>
      </c>
      <c r="Z229" s="11">
        <f>PharmaProduction[[#This Row],[Actual_Units]]/PharmaProduction[[#This Row],[Labor_Hours]]</f>
        <v>157.13905930470349</v>
      </c>
      <c r="AA229" s="12">
        <f>PharmaProduction[[#This Row],[Energy_kWh]]/PharmaProduction[[#This Row],[Actual_Units]]</f>
        <v>0.55462578571335619</v>
      </c>
      <c r="AB229" s="12">
        <f>PharmaProduction[[#This Row],[Run_Hours]]+PharmaProduction[[#This Row],[Downtime_hr]]</f>
        <v>9.06</v>
      </c>
    </row>
    <row r="230" spans="1:28" x14ac:dyDescent="0.25">
      <c r="A230" s="9">
        <v>226</v>
      </c>
      <c r="B230" s="8">
        <v>46135</v>
      </c>
      <c r="C230" s="9" t="s">
        <v>35</v>
      </c>
      <c r="D230" s="9" t="s">
        <v>36</v>
      </c>
      <c r="E230" s="9" t="s">
        <v>32</v>
      </c>
      <c r="F230" s="9">
        <v>9112</v>
      </c>
      <c r="G230" s="9">
        <v>7893.6</v>
      </c>
      <c r="H230" s="9">
        <v>7800.8</v>
      </c>
      <c r="I230" s="9">
        <v>92.8</v>
      </c>
      <c r="J230" s="9">
        <v>7987.6</v>
      </c>
      <c r="K230" s="9">
        <v>0.61</v>
      </c>
      <c r="L230" s="9" t="s">
        <v>33</v>
      </c>
      <c r="M230" s="9" t="s">
        <v>49</v>
      </c>
      <c r="N230" s="9" t="s">
        <v>33</v>
      </c>
      <c r="O230" s="9">
        <v>0</v>
      </c>
      <c r="P230" s="9">
        <v>35</v>
      </c>
      <c r="Q230" s="9">
        <v>3943.8</v>
      </c>
      <c r="R230" s="9">
        <v>6.81</v>
      </c>
      <c r="S230" s="10">
        <f>PharmaProduction[[#This Row],[Actual_Units]]/PharmaProduction[[#This Row],[Planned_Units]]</f>
        <v>0.86628621597892896</v>
      </c>
      <c r="T230" s="10">
        <f>(8-PharmaProduction[[#This Row],[Downtime_hr]])/8</f>
        <v>0.92374999999999996</v>
      </c>
      <c r="U230" s="10">
        <f>((PharmaProduction[[#This Row],[Actual_Units]]/(8-PharmaProduction[[#This Row],[Downtime_hr]]))*8)/(PharmaProduction[[#This Row],[Planned_Units]])</f>
        <v>0.93779292663483504</v>
      </c>
      <c r="V230" s="10">
        <f>PharmaProduction[[#This Row],[Good_Units]]/PharmaProduction[[#This Row],[Actual_Units]]</f>
        <v>0.98824364041755342</v>
      </c>
      <c r="W230" s="10">
        <f>PharmaProduction[[#This Row],[Availability_%]]*PharmaProduction[[#This Row],[Performance_%]]*PharmaProduction[[#This Row],[Quality_%]]</f>
        <v>0.85610184372256359</v>
      </c>
      <c r="X230" s="10">
        <f>PharmaProduction[[#This Row],[Good_Units]]/PharmaProduction[[#This Row],[Planned_Units]]</f>
        <v>0.8561018437225637</v>
      </c>
      <c r="Y230" s="10">
        <f>PharmaProduction[[#This Row],[Rejected_Units]]/PharmaProduction[[#This Row],[Actual_Units]]</f>
        <v>1.1756359582446538E-2</v>
      </c>
      <c r="Z230" s="11">
        <f>PharmaProduction[[#This Row],[Actual_Units]]/PharmaProduction[[#This Row],[Labor_Hours]]</f>
        <v>225.53142857142859</v>
      </c>
      <c r="AA230" s="12">
        <f>PharmaProduction[[#This Row],[Energy_kWh]]/PharmaProduction[[#This Row],[Actual_Units]]</f>
        <v>0.49961994527211917</v>
      </c>
      <c r="AB230" s="12">
        <f>PharmaProduction[[#This Row],[Run_Hours]]+PharmaProduction[[#This Row],[Downtime_hr]]</f>
        <v>7.42</v>
      </c>
    </row>
    <row r="231" spans="1:28" x14ac:dyDescent="0.25">
      <c r="A231" s="9">
        <v>227</v>
      </c>
      <c r="B231" s="8">
        <v>46136</v>
      </c>
      <c r="C231" s="9" t="s">
        <v>30</v>
      </c>
      <c r="D231" s="9" t="s">
        <v>31</v>
      </c>
      <c r="E231" s="9" t="s">
        <v>32</v>
      </c>
      <c r="F231" s="9">
        <v>10971</v>
      </c>
      <c r="G231" s="9">
        <v>7997.8</v>
      </c>
      <c r="H231" s="9">
        <v>7856.6</v>
      </c>
      <c r="I231" s="9">
        <v>141.19999999999999</v>
      </c>
      <c r="J231" s="9">
        <v>8109.5</v>
      </c>
      <c r="K231" s="9">
        <v>1.57</v>
      </c>
      <c r="L231" s="9" t="s">
        <v>43</v>
      </c>
      <c r="M231" s="9" t="s">
        <v>34</v>
      </c>
      <c r="N231" s="9" t="s">
        <v>33</v>
      </c>
      <c r="O231" s="9">
        <v>0</v>
      </c>
      <c r="P231" s="9">
        <v>34.700000000000003</v>
      </c>
      <c r="Q231" s="9">
        <v>4370.5</v>
      </c>
      <c r="R231" s="9">
        <v>7.56</v>
      </c>
      <c r="S231" s="10">
        <f>PharmaProduction[[#This Row],[Actual_Units]]/PharmaProduction[[#This Row],[Planned_Units]]</f>
        <v>0.7289946221857625</v>
      </c>
      <c r="T231" s="10">
        <f>(8-PharmaProduction[[#This Row],[Downtime_hr]])/8</f>
        <v>0.80374999999999996</v>
      </c>
      <c r="U231" s="10">
        <f>((PharmaProduction[[#This Row],[Actual_Units]]/(8-PharmaProduction[[#This Row],[Downtime_hr]]))*8)/(PharmaProduction[[#This Row],[Planned_Units]])</f>
        <v>0.90699175388586328</v>
      </c>
      <c r="V231" s="10">
        <f>PharmaProduction[[#This Row],[Good_Units]]/PharmaProduction[[#This Row],[Actual_Units]]</f>
        <v>0.98234514491485159</v>
      </c>
      <c r="W231" s="10">
        <f>PharmaProduction[[#This Row],[Availability_%]]*PharmaProduction[[#This Row],[Performance_%]]*PharmaProduction[[#This Row],[Quality_%]]</f>
        <v>0.71612432777322044</v>
      </c>
      <c r="X231" s="10">
        <f>PharmaProduction[[#This Row],[Good_Units]]/PharmaProduction[[#This Row],[Planned_Units]]</f>
        <v>0.71612432777322033</v>
      </c>
      <c r="Y231" s="10">
        <f>PharmaProduction[[#This Row],[Rejected_Units]]/PharmaProduction[[#This Row],[Actual_Units]]</f>
        <v>1.7654855085148413E-2</v>
      </c>
      <c r="Z231" s="11">
        <f>PharmaProduction[[#This Row],[Actual_Units]]/PharmaProduction[[#This Row],[Labor_Hours]]</f>
        <v>230.48414985590776</v>
      </c>
      <c r="AA231" s="12">
        <f>PharmaProduction[[#This Row],[Energy_kWh]]/PharmaProduction[[#This Row],[Actual_Units]]</f>
        <v>0.54646277726374748</v>
      </c>
      <c r="AB231" s="12">
        <f>PharmaProduction[[#This Row],[Run_Hours]]+PharmaProduction[[#This Row],[Downtime_hr]]</f>
        <v>9.129999999999999</v>
      </c>
    </row>
    <row r="232" spans="1:28" x14ac:dyDescent="0.25">
      <c r="A232" s="9">
        <v>228</v>
      </c>
      <c r="B232" s="8">
        <v>46136</v>
      </c>
      <c r="C232" s="9" t="s">
        <v>35</v>
      </c>
      <c r="D232" s="9" t="s">
        <v>38</v>
      </c>
      <c r="E232" s="9" t="s">
        <v>39</v>
      </c>
      <c r="F232" s="9">
        <v>10048</v>
      </c>
      <c r="G232" s="9">
        <v>9398.2999999999993</v>
      </c>
      <c r="H232" s="9">
        <v>9216.2000000000007</v>
      </c>
      <c r="I232" s="9">
        <v>182.1</v>
      </c>
      <c r="J232" s="9">
        <v>9590.5</v>
      </c>
      <c r="K232" s="9">
        <v>0</v>
      </c>
      <c r="L232" s="9" t="s">
        <v>33</v>
      </c>
      <c r="M232" s="9" t="s">
        <v>34</v>
      </c>
      <c r="N232" s="9" t="s">
        <v>33</v>
      </c>
      <c r="O232" s="9">
        <v>0</v>
      </c>
      <c r="P232" s="9">
        <v>42.2</v>
      </c>
      <c r="Q232" s="9">
        <v>4858.8999999999996</v>
      </c>
      <c r="R232" s="9">
        <v>6.9</v>
      </c>
      <c r="S232" s="10">
        <f>PharmaProduction[[#This Row],[Actual_Units]]/PharmaProduction[[#This Row],[Planned_Units]]</f>
        <v>0.93534036624203809</v>
      </c>
      <c r="T232" s="10">
        <f>(8-PharmaProduction[[#This Row],[Downtime_hr]])/8</f>
        <v>1</v>
      </c>
      <c r="U232" s="10">
        <f>((PharmaProduction[[#This Row],[Actual_Units]]/(8-PharmaProduction[[#This Row],[Downtime_hr]]))*8)/(PharmaProduction[[#This Row],[Planned_Units]])</f>
        <v>0.93534036624203809</v>
      </c>
      <c r="V232" s="10">
        <f>PharmaProduction[[#This Row],[Good_Units]]/PharmaProduction[[#This Row],[Actual_Units]]</f>
        <v>0.98062415543236559</v>
      </c>
      <c r="W232" s="10">
        <f>PharmaProduction[[#This Row],[Availability_%]]*PharmaProduction[[#This Row],[Performance_%]]*PharmaProduction[[#This Row],[Quality_%]]</f>
        <v>0.91721735668789817</v>
      </c>
      <c r="X232" s="10">
        <f>PharmaProduction[[#This Row],[Good_Units]]/PharmaProduction[[#This Row],[Planned_Units]]</f>
        <v>0.91721735668789817</v>
      </c>
      <c r="Y232" s="10">
        <f>PharmaProduction[[#This Row],[Rejected_Units]]/PharmaProduction[[#This Row],[Actual_Units]]</f>
        <v>1.9375844567634574E-2</v>
      </c>
      <c r="Z232" s="11">
        <f>PharmaProduction[[#This Row],[Actual_Units]]/PharmaProduction[[#This Row],[Labor_Hours]]</f>
        <v>222.70853080568716</v>
      </c>
      <c r="AA232" s="12">
        <f>PharmaProduction[[#This Row],[Energy_kWh]]/PharmaProduction[[#This Row],[Actual_Units]]</f>
        <v>0.51699775491312261</v>
      </c>
      <c r="AB232" s="12">
        <f>PharmaProduction[[#This Row],[Run_Hours]]+PharmaProduction[[#This Row],[Downtime_hr]]</f>
        <v>6.9</v>
      </c>
    </row>
    <row r="233" spans="1:28" x14ac:dyDescent="0.25">
      <c r="A233" s="9">
        <v>229</v>
      </c>
      <c r="B233" s="8">
        <v>46137</v>
      </c>
      <c r="C233" s="9" t="s">
        <v>30</v>
      </c>
      <c r="D233" s="9" t="s">
        <v>31</v>
      </c>
      <c r="E233" s="9" t="s">
        <v>32</v>
      </c>
      <c r="F233" s="9">
        <v>9192</v>
      </c>
      <c r="G233" s="9">
        <v>6482.6</v>
      </c>
      <c r="H233" s="9">
        <v>6380.2</v>
      </c>
      <c r="I233" s="9">
        <v>102.4</v>
      </c>
      <c r="J233" s="9">
        <v>6506.5</v>
      </c>
      <c r="K233" s="9">
        <v>1.6</v>
      </c>
      <c r="L233" s="9" t="s">
        <v>48</v>
      </c>
      <c r="M233" s="9" t="s">
        <v>34</v>
      </c>
      <c r="N233" s="9" t="s">
        <v>33</v>
      </c>
      <c r="O233" s="9">
        <v>0</v>
      </c>
      <c r="P233" s="9">
        <v>36.1</v>
      </c>
      <c r="Q233" s="9">
        <v>3221.4</v>
      </c>
      <c r="R233" s="9">
        <v>6.66</v>
      </c>
      <c r="S233" s="10">
        <f>PharmaProduction[[#This Row],[Actual_Units]]/PharmaProduction[[#This Row],[Planned_Units]]</f>
        <v>0.70524369016536126</v>
      </c>
      <c r="T233" s="10">
        <f>(8-PharmaProduction[[#This Row],[Downtime_hr]])/8</f>
        <v>0.8</v>
      </c>
      <c r="U233" s="10">
        <f>((PharmaProduction[[#This Row],[Actual_Units]]/(8-PharmaProduction[[#This Row],[Downtime_hr]]))*8)/(PharmaProduction[[#This Row],[Planned_Units]])</f>
        <v>0.88155461270670143</v>
      </c>
      <c r="V233" s="10">
        <f>PharmaProduction[[#This Row],[Good_Units]]/PharmaProduction[[#This Row],[Actual_Units]]</f>
        <v>0.98420386881806676</v>
      </c>
      <c r="W233" s="10">
        <f>PharmaProduction[[#This Row],[Availability_%]]*PharmaProduction[[#This Row],[Performance_%]]*PharmaProduction[[#This Row],[Quality_%]]</f>
        <v>0.69410356832027842</v>
      </c>
      <c r="X233" s="10">
        <f>PharmaProduction[[#This Row],[Good_Units]]/PharmaProduction[[#This Row],[Planned_Units]]</f>
        <v>0.69410356832027853</v>
      </c>
      <c r="Y233" s="10">
        <f>PharmaProduction[[#This Row],[Rejected_Units]]/PharmaProduction[[#This Row],[Actual_Units]]</f>
        <v>1.5796131181933175E-2</v>
      </c>
      <c r="Z233" s="11">
        <f>PharmaProduction[[#This Row],[Actual_Units]]/PharmaProduction[[#This Row],[Labor_Hours]]</f>
        <v>179.57340720221606</v>
      </c>
      <c r="AA233" s="12">
        <f>PharmaProduction[[#This Row],[Energy_kWh]]/PharmaProduction[[#This Row],[Actual_Units]]</f>
        <v>0.49693024403788599</v>
      </c>
      <c r="AB233" s="12">
        <f>PharmaProduction[[#This Row],[Run_Hours]]+PharmaProduction[[#This Row],[Downtime_hr]]</f>
        <v>8.26</v>
      </c>
    </row>
    <row r="234" spans="1:28" x14ac:dyDescent="0.25">
      <c r="A234" s="9">
        <v>230</v>
      </c>
      <c r="B234" s="8">
        <v>46137</v>
      </c>
      <c r="C234" s="9" t="s">
        <v>35</v>
      </c>
      <c r="D234" s="9" t="s">
        <v>38</v>
      </c>
      <c r="E234" s="9" t="s">
        <v>39</v>
      </c>
      <c r="F234" s="9">
        <v>11456</v>
      </c>
      <c r="G234" s="9">
        <v>9961.1</v>
      </c>
      <c r="H234" s="9">
        <v>9782.6</v>
      </c>
      <c r="I234" s="9">
        <v>178.5</v>
      </c>
      <c r="J234" s="9">
        <v>10080.299999999999</v>
      </c>
      <c r="K234" s="9">
        <v>0.2</v>
      </c>
      <c r="L234" s="9" t="s">
        <v>33</v>
      </c>
      <c r="M234" s="9" t="s">
        <v>34</v>
      </c>
      <c r="N234" s="9" t="s">
        <v>44</v>
      </c>
      <c r="O234" s="9">
        <v>966.97</v>
      </c>
      <c r="P234" s="9">
        <v>42.6</v>
      </c>
      <c r="Q234" s="9">
        <v>5291.4</v>
      </c>
      <c r="R234" s="9">
        <v>7.81</v>
      </c>
      <c r="S234" s="10">
        <f>PharmaProduction[[#This Row],[Actual_Units]]/PharmaProduction[[#This Row],[Planned_Units]]</f>
        <v>0.8695094273743017</v>
      </c>
      <c r="T234" s="10">
        <f>(8-PharmaProduction[[#This Row],[Downtime_hr]])/8</f>
        <v>0.97499999999999998</v>
      </c>
      <c r="U234" s="10">
        <f>((PharmaProduction[[#This Row],[Actual_Units]]/(8-PharmaProduction[[#This Row],[Downtime_hr]]))*8)/(PharmaProduction[[#This Row],[Planned_Units]])</f>
        <v>0.89180454089671968</v>
      </c>
      <c r="V234" s="10">
        <f>PharmaProduction[[#This Row],[Good_Units]]/PharmaProduction[[#This Row],[Actual_Units]]</f>
        <v>0.98208029233719163</v>
      </c>
      <c r="W234" s="10">
        <f>PharmaProduction[[#This Row],[Availability_%]]*PharmaProduction[[#This Row],[Performance_%]]*PharmaProduction[[#This Row],[Quality_%]]</f>
        <v>0.85392807262569836</v>
      </c>
      <c r="X234" s="10">
        <f>PharmaProduction[[#This Row],[Good_Units]]/PharmaProduction[[#This Row],[Planned_Units]]</f>
        <v>0.85392807262569836</v>
      </c>
      <c r="Y234" s="10">
        <f>PharmaProduction[[#This Row],[Rejected_Units]]/PharmaProduction[[#This Row],[Actual_Units]]</f>
        <v>1.7919707662808322E-2</v>
      </c>
      <c r="Z234" s="11">
        <f>PharmaProduction[[#This Row],[Actual_Units]]/PharmaProduction[[#This Row],[Labor_Hours]]</f>
        <v>233.82863849765258</v>
      </c>
      <c r="AA234" s="12">
        <f>PharmaProduction[[#This Row],[Energy_kWh]]/PharmaProduction[[#This Row],[Actual_Units]]</f>
        <v>0.53120639286825744</v>
      </c>
      <c r="AB234" s="12">
        <f>PharmaProduction[[#This Row],[Run_Hours]]+PharmaProduction[[#This Row],[Downtime_hr]]</f>
        <v>8.01</v>
      </c>
    </row>
    <row r="235" spans="1:28" x14ac:dyDescent="0.25">
      <c r="A235" s="9">
        <v>231</v>
      </c>
      <c r="B235" s="8">
        <v>46138</v>
      </c>
      <c r="C235" s="9" t="s">
        <v>30</v>
      </c>
      <c r="D235" s="9" t="s">
        <v>36</v>
      </c>
      <c r="E235" s="9" t="s">
        <v>39</v>
      </c>
      <c r="F235" s="9">
        <v>10710</v>
      </c>
      <c r="G235" s="9">
        <v>8068.6</v>
      </c>
      <c r="H235" s="9">
        <v>7974.8</v>
      </c>
      <c r="I235" s="9">
        <v>93.8</v>
      </c>
      <c r="J235" s="9">
        <v>8193</v>
      </c>
      <c r="K235" s="9">
        <v>1.57</v>
      </c>
      <c r="L235" s="9" t="s">
        <v>48</v>
      </c>
      <c r="M235" s="9" t="s">
        <v>34</v>
      </c>
      <c r="N235" s="9" t="s">
        <v>44</v>
      </c>
      <c r="O235" s="9">
        <v>535.05999999999995</v>
      </c>
      <c r="P235" s="9">
        <v>46.9</v>
      </c>
      <c r="Q235" s="9">
        <v>4032.8</v>
      </c>
      <c r="R235" s="9">
        <v>7.28</v>
      </c>
      <c r="S235" s="10">
        <f>PharmaProduction[[#This Row],[Actual_Units]]/PharmaProduction[[#This Row],[Planned_Units]]</f>
        <v>0.75337068160597576</v>
      </c>
      <c r="T235" s="10">
        <f>(8-PharmaProduction[[#This Row],[Downtime_hr]])/8</f>
        <v>0.80374999999999996</v>
      </c>
      <c r="U235" s="10">
        <f>((PharmaProduction[[#This Row],[Actual_Units]]/(8-PharmaProduction[[#This Row],[Downtime_hr]]))*8)/(PharmaProduction[[#This Row],[Planned_Units]])</f>
        <v>0.93731966607275374</v>
      </c>
      <c r="V235" s="10">
        <f>PharmaProduction[[#This Row],[Good_Units]]/PharmaProduction[[#This Row],[Actual_Units]]</f>
        <v>0.98837468705847353</v>
      </c>
      <c r="W235" s="10">
        <f>PharmaProduction[[#This Row],[Availability_%]]*PharmaProduction[[#This Row],[Performance_%]]*PharmaProduction[[#This Row],[Quality_%]]</f>
        <v>0.74461251167133524</v>
      </c>
      <c r="X235" s="10">
        <f>PharmaProduction[[#This Row],[Good_Units]]/PharmaProduction[[#This Row],[Planned_Units]]</f>
        <v>0.74461251167133524</v>
      </c>
      <c r="Y235" s="10">
        <f>PharmaProduction[[#This Row],[Rejected_Units]]/PharmaProduction[[#This Row],[Actual_Units]]</f>
        <v>1.1625312941526409E-2</v>
      </c>
      <c r="Z235" s="11">
        <f>PharmaProduction[[#This Row],[Actual_Units]]/PharmaProduction[[#This Row],[Labor_Hours]]</f>
        <v>172.03837953091687</v>
      </c>
      <c r="AA235" s="12">
        <f>PharmaProduction[[#This Row],[Energy_kWh]]/PharmaProduction[[#This Row],[Actual_Units]]</f>
        <v>0.49981409414272615</v>
      </c>
      <c r="AB235" s="12">
        <f>PharmaProduction[[#This Row],[Run_Hours]]+PharmaProduction[[#This Row],[Downtime_hr]]</f>
        <v>8.85</v>
      </c>
    </row>
    <row r="236" spans="1:28" x14ac:dyDescent="0.25">
      <c r="A236" s="9">
        <v>232</v>
      </c>
      <c r="B236" s="8">
        <v>46138</v>
      </c>
      <c r="C236" s="9" t="s">
        <v>35</v>
      </c>
      <c r="D236" s="9" t="s">
        <v>38</v>
      </c>
      <c r="E236" s="9" t="s">
        <v>32</v>
      </c>
      <c r="F236" s="9">
        <v>11586</v>
      </c>
      <c r="G236" s="9">
        <v>7718.7</v>
      </c>
      <c r="H236" s="9">
        <v>7586.7</v>
      </c>
      <c r="I236" s="9">
        <v>132.1</v>
      </c>
      <c r="J236" s="9">
        <v>7809.3</v>
      </c>
      <c r="K236" s="9">
        <v>5.63</v>
      </c>
      <c r="L236" s="9" t="s">
        <v>45</v>
      </c>
      <c r="M236" s="9" t="s">
        <v>34</v>
      </c>
      <c r="N236" s="9" t="s">
        <v>33</v>
      </c>
      <c r="O236" s="9">
        <v>0</v>
      </c>
      <c r="P236" s="9">
        <v>40</v>
      </c>
      <c r="Q236" s="9">
        <v>3657.7</v>
      </c>
      <c r="R236" s="9">
        <v>7.19</v>
      </c>
      <c r="S236" s="10">
        <f>PharmaProduction[[#This Row],[Actual_Units]]/PharmaProduction[[#This Row],[Planned_Units]]</f>
        <v>0.66620921802175037</v>
      </c>
      <c r="T236" s="10">
        <f>(8-PharmaProduction[[#This Row],[Downtime_hr]])/8</f>
        <v>0.29625000000000001</v>
      </c>
      <c r="U236" s="10">
        <f>((PharmaProduction[[#This Row],[Actual_Units]]/(8-PharmaProduction[[#This Row],[Downtime_hr]]))*8)/(PharmaProduction[[#This Row],[Planned_Units]])</f>
        <v>2.2488074869932499</v>
      </c>
      <c r="V236" s="10">
        <f>PharmaProduction[[#This Row],[Good_Units]]/PharmaProduction[[#This Row],[Actual_Units]]</f>
        <v>0.9828986746472852</v>
      </c>
      <c r="W236" s="10">
        <f>PharmaProduction[[#This Row],[Availability_%]]*PharmaProduction[[#This Row],[Performance_%]]*PharmaProduction[[#This Row],[Quality_%]]</f>
        <v>0.65481615743138266</v>
      </c>
      <c r="X236" s="10">
        <f>PharmaProduction[[#This Row],[Good_Units]]/PharmaProduction[[#This Row],[Planned_Units]]</f>
        <v>0.65481615743138266</v>
      </c>
      <c r="Y236" s="10">
        <f>PharmaProduction[[#This Row],[Rejected_Units]]/PharmaProduction[[#This Row],[Actual_Units]]</f>
        <v>1.7114280902224468E-2</v>
      </c>
      <c r="Z236" s="11">
        <f>PharmaProduction[[#This Row],[Actual_Units]]/PharmaProduction[[#This Row],[Labor_Hours]]</f>
        <v>192.9675</v>
      </c>
      <c r="AA236" s="12">
        <f>PharmaProduction[[#This Row],[Energy_kWh]]/PharmaProduction[[#This Row],[Actual_Units]]</f>
        <v>0.47387513441382617</v>
      </c>
      <c r="AB236" s="12">
        <f>PharmaProduction[[#This Row],[Run_Hours]]+PharmaProduction[[#This Row],[Downtime_hr]]</f>
        <v>12.82</v>
      </c>
    </row>
    <row r="237" spans="1:28" x14ac:dyDescent="0.25">
      <c r="A237" s="9">
        <v>233</v>
      </c>
      <c r="B237" s="8">
        <v>46139</v>
      </c>
      <c r="C237" s="9" t="s">
        <v>30</v>
      </c>
      <c r="D237" s="9" t="s">
        <v>36</v>
      </c>
      <c r="E237" s="9" t="s">
        <v>32</v>
      </c>
      <c r="F237" s="9">
        <v>9841</v>
      </c>
      <c r="G237" s="9">
        <v>6254</v>
      </c>
      <c r="H237" s="9">
        <v>6142.4</v>
      </c>
      <c r="I237" s="9">
        <v>111.7</v>
      </c>
      <c r="J237" s="9">
        <v>6304.2</v>
      </c>
      <c r="K237" s="9">
        <v>2.2400000000000002</v>
      </c>
      <c r="L237" s="9" t="s">
        <v>33</v>
      </c>
      <c r="M237" s="9" t="s">
        <v>34</v>
      </c>
      <c r="N237" s="9" t="s">
        <v>44</v>
      </c>
      <c r="O237" s="9">
        <v>892.1</v>
      </c>
      <c r="P237" s="9">
        <v>39.299999999999997</v>
      </c>
      <c r="Q237" s="9">
        <v>3348.3</v>
      </c>
      <c r="R237" s="9">
        <v>6.91</v>
      </c>
      <c r="S237" s="10">
        <f>PharmaProduction[[#This Row],[Actual_Units]]/PharmaProduction[[#This Row],[Planned_Units]]</f>
        <v>0.63550452189818107</v>
      </c>
      <c r="T237" s="10">
        <f>(8-PharmaProduction[[#This Row],[Downtime_hr]])/8</f>
        <v>0.72</v>
      </c>
      <c r="U237" s="10">
        <f>((PharmaProduction[[#This Row],[Actual_Units]]/(8-PharmaProduction[[#This Row],[Downtime_hr]]))*8)/(PharmaProduction[[#This Row],[Planned_Units]])</f>
        <v>0.88264516930302928</v>
      </c>
      <c r="V237" s="10">
        <f>PharmaProduction[[#This Row],[Good_Units]]/PharmaProduction[[#This Row],[Actual_Units]]</f>
        <v>0.98215542053086025</v>
      </c>
      <c r="W237" s="10">
        <f>PharmaProduction[[#This Row],[Availability_%]]*PharmaProduction[[#This Row],[Performance_%]]*PharmaProduction[[#This Row],[Quality_%]]</f>
        <v>0.62416421095417129</v>
      </c>
      <c r="X237" s="10">
        <f>PharmaProduction[[#This Row],[Good_Units]]/PharmaProduction[[#This Row],[Planned_Units]]</f>
        <v>0.62416421095417129</v>
      </c>
      <c r="Y237" s="10">
        <f>PharmaProduction[[#This Row],[Rejected_Units]]/PharmaProduction[[#This Row],[Actual_Units]]</f>
        <v>1.7860569235689159E-2</v>
      </c>
      <c r="Z237" s="11">
        <f>PharmaProduction[[#This Row],[Actual_Units]]/PharmaProduction[[#This Row],[Labor_Hours]]</f>
        <v>159.13486005089061</v>
      </c>
      <c r="AA237" s="12">
        <f>PharmaProduction[[#This Row],[Energy_kWh]]/PharmaProduction[[#This Row],[Actual_Units]]</f>
        <v>0.53538535337384074</v>
      </c>
      <c r="AB237" s="12">
        <f>PharmaProduction[[#This Row],[Run_Hours]]+PharmaProduction[[#This Row],[Downtime_hr]]</f>
        <v>9.15</v>
      </c>
    </row>
    <row r="238" spans="1:28" x14ac:dyDescent="0.25">
      <c r="A238" s="9">
        <v>234</v>
      </c>
      <c r="B238" s="8">
        <v>46139</v>
      </c>
      <c r="C238" s="9" t="s">
        <v>35</v>
      </c>
      <c r="D238" s="9" t="s">
        <v>38</v>
      </c>
      <c r="E238" s="9" t="s">
        <v>39</v>
      </c>
      <c r="F238" s="9">
        <v>11929</v>
      </c>
      <c r="G238" s="9">
        <v>9813.9</v>
      </c>
      <c r="H238" s="9">
        <v>9739.9</v>
      </c>
      <c r="I238" s="9">
        <v>73.900000000000006</v>
      </c>
      <c r="J238" s="9">
        <v>10010.5</v>
      </c>
      <c r="K238" s="9">
        <v>0</v>
      </c>
      <c r="L238" s="9" t="s">
        <v>33</v>
      </c>
      <c r="M238" s="9" t="s">
        <v>34</v>
      </c>
      <c r="N238" s="9" t="s">
        <v>44</v>
      </c>
      <c r="O238" s="9">
        <v>420.11</v>
      </c>
      <c r="P238" s="9">
        <v>48.8</v>
      </c>
      <c r="Q238" s="9">
        <v>4617.8999999999996</v>
      </c>
      <c r="R238" s="9">
        <v>6.77</v>
      </c>
      <c r="S238" s="10">
        <f>PharmaProduction[[#This Row],[Actual_Units]]/PharmaProduction[[#This Row],[Planned_Units]]</f>
        <v>0.82269259787073512</v>
      </c>
      <c r="T238" s="10">
        <f>(8-PharmaProduction[[#This Row],[Downtime_hr]])/8</f>
        <v>1</v>
      </c>
      <c r="U238" s="10">
        <f>((PharmaProduction[[#This Row],[Actual_Units]]/(8-PharmaProduction[[#This Row],[Downtime_hr]]))*8)/(PharmaProduction[[#This Row],[Planned_Units]])</f>
        <v>0.82269259787073512</v>
      </c>
      <c r="V238" s="10">
        <f>PharmaProduction[[#This Row],[Good_Units]]/PharmaProduction[[#This Row],[Actual_Units]]</f>
        <v>0.9924596745432499</v>
      </c>
      <c r="W238" s="10">
        <f>PharmaProduction[[#This Row],[Availability_%]]*PharmaProduction[[#This Row],[Performance_%]]*PharmaProduction[[#This Row],[Quality_%]]</f>
        <v>0.81648922793193057</v>
      </c>
      <c r="X238" s="10">
        <f>PharmaProduction[[#This Row],[Good_Units]]/PharmaProduction[[#This Row],[Planned_Units]]</f>
        <v>0.81648922793193057</v>
      </c>
      <c r="Y238" s="10">
        <f>PharmaProduction[[#This Row],[Rejected_Units]]/PharmaProduction[[#This Row],[Actual_Units]]</f>
        <v>7.5301358277545119E-3</v>
      </c>
      <c r="Z238" s="11">
        <f>PharmaProduction[[#This Row],[Actual_Units]]/PharmaProduction[[#This Row],[Labor_Hours]]</f>
        <v>201.10450819672133</v>
      </c>
      <c r="AA238" s="12">
        <f>PharmaProduction[[#This Row],[Energy_kWh]]/PharmaProduction[[#This Row],[Actual_Units]]</f>
        <v>0.47054687738819428</v>
      </c>
      <c r="AB238" s="12">
        <f>PharmaProduction[[#This Row],[Run_Hours]]+PharmaProduction[[#This Row],[Downtime_hr]]</f>
        <v>6.77</v>
      </c>
    </row>
    <row r="239" spans="1:28" x14ac:dyDescent="0.25">
      <c r="A239" s="9">
        <v>235</v>
      </c>
      <c r="B239" s="8">
        <v>46140</v>
      </c>
      <c r="C239" s="9" t="s">
        <v>30</v>
      </c>
      <c r="D239" s="9" t="s">
        <v>38</v>
      </c>
      <c r="E239" s="9" t="s">
        <v>42</v>
      </c>
      <c r="F239" s="9">
        <v>9857</v>
      </c>
      <c r="G239" s="9">
        <v>7224.7</v>
      </c>
      <c r="H239" s="9">
        <v>7087.4</v>
      </c>
      <c r="I239" s="9">
        <v>137.30000000000001</v>
      </c>
      <c r="J239" s="9">
        <v>7349.6</v>
      </c>
      <c r="K239" s="9">
        <v>1.73</v>
      </c>
      <c r="L239" s="9" t="s">
        <v>33</v>
      </c>
      <c r="M239" s="9" t="s">
        <v>34</v>
      </c>
      <c r="N239" s="9" t="s">
        <v>33</v>
      </c>
      <c r="O239" s="9">
        <v>0</v>
      </c>
      <c r="P239" s="9">
        <v>38</v>
      </c>
      <c r="Q239" s="9">
        <v>3971.3</v>
      </c>
      <c r="R239" s="9">
        <v>6.61</v>
      </c>
      <c r="S239" s="10">
        <f>PharmaProduction[[#This Row],[Actual_Units]]/PharmaProduction[[#This Row],[Planned_Units]]</f>
        <v>0.73295120219133614</v>
      </c>
      <c r="T239" s="10">
        <f>(8-PharmaProduction[[#This Row],[Downtime_hr]])/8</f>
        <v>0.78374999999999995</v>
      </c>
      <c r="U239" s="10">
        <f>((PharmaProduction[[#This Row],[Actual_Units]]/(8-PharmaProduction[[#This Row],[Downtime_hr]]))*8)/(PharmaProduction[[#This Row],[Planned_Units]])</f>
        <v>0.93518494697459154</v>
      </c>
      <c r="V239" s="10">
        <f>PharmaProduction[[#This Row],[Good_Units]]/PharmaProduction[[#This Row],[Actual_Units]]</f>
        <v>0.98099575068860989</v>
      </c>
      <c r="W239" s="10">
        <f>PharmaProduction[[#This Row],[Availability_%]]*PharmaProduction[[#This Row],[Performance_%]]*PharmaProduction[[#This Row],[Quality_%]]</f>
        <v>0.71902201481180883</v>
      </c>
      <c r="X239" s="10">
        <f>PharmaProduction[[#This Row],[Good_Units]]/PharmaProduction[[#This Row],[Planned_Units]]</f>
        <v>0.71902201481180883</v>
      </c>
      <c r="Y239" s="10">
        <f>PharmaProduction[[#This Row],[Rejected_Units]]/PharmaProduction[[#This Row],[Actual_Units]]</f>
        <v>1.9004249311390095E-2</v>
      </c>
      <c r="Z239" s="11">
        <f>PharmaProduction[[#This Row],[Actual_Units]]/PharmaProduction[[#This Row],[Labor_Hours]]</f>
        <v>190.12368421052631</v>
      </c>
      <c r="AA239" s="12">
        <f>PharmaProduction[[#This Row],[Energy_kWh]]/PharmaProduction[[#This Row],[Actual_Units]]</f>
        <v>0.54968372389164954</v>
      </c>
      <c r="AB239" s="12">
        <f>PharmaProduction[[#This Row],[Run_Hours]]+PharmaProduction[[#This Row],[Downtime_hr]]</f>
        <v>8.34</v>
      </c>
    </row>
    <row r="240" spans="1:28" x14ac:dyDescent="0.25">
      <c r="A240" s="9">
        <v>236</v>
      </c>
      <c r="B240" s="8">
        <v>46140</v>
      </c>
      <c r="C240" s="9" t="s">
        <v>35</v>
      </c>
      <c r="D240" s="9" t="s">
        <v>36</v>
      </c>
      <c r="E240" s="9" t="s">
        <v>32</v>
      </c>
      <c r="F240" s="9">
        <v>10983</v>
      </c>
      <c r="G240" s="9">
        <v>6901.3</v>
      </c>
      <c r="H240" s="9">
        <v>6887.3</v>
      </c>
      <c r="I240" s="9">
        <v>14</v>
      </c>
      <c r="J240" s="9">
        <v>7037.1</v>
      </c>
      <c r="K240" s="9">
        <v>2.64</v>
      </c>
      <c r="L240" s="9" t="s">
        <v>45</v>
      </c>
      <c r="M240" s="9" t="s">
        <v>34</v>
      </c>
      <c r="N240" s="9" t="s">
        <v>33</v>
      </c>
      <c r="O240" s="9">
        <v>0</v>
      </c>
      <c r="P240" s="9">
        <v>46.8</v>
      </c>
      <c r="Q240" s="9">
        <v>3665.1</v>
      </c>
      <c r="R240" s="9">
        <v>6.53</v>
      </c>
      <c r="S240" s="10">
        <f>PharmaProduction[[#This Row],[Actual_Units]]/PharmaProduction[[#This Row],[Planned_Units]]</f>
        <v>0.62836201402166991</v>
      </c>
      <c r="T240" s="10">
        <f>(8-PharmaProduction[[#This Row],[Downtime_hr]])/8</f>
        <v>0.66999999999999993</v>
      </c>
      <c r="U240" s="10">
        <f>((PharmaProduction[[#This Row],[Actual_Units]]/(8-PharmaProduction[[#This Row],[Downtime_hr]]))*8)/(PharmaProduction[[#This Row],[Planned_Units]])</f>
        <v>0.9378537522711492</v>
      </c>
      <c r="V240" s="10">
        <f>PharmaProduction[[#This Row],[Good_Units]]/PharmaProduction[[#This Row],[Actual_Units]]</f>
        <v>0.99797139669337664</v>
      </c>
      <c r="W240" s="10">
        <f>PharmaProduction[[#This Row],[Availability_%]]*PharmaProduction[[#This Row],[Performance_%]]*PharmaProduction[[#This Row],[Quality_%]]</f>
        <v>0.62708731676226903</v>
      </c>
      <c r="X240" s="10">
        <f>PharmaProduction[[#This Row],[Good_Units]]/PharmaProduction[[#This Row],[Planned_Units]]</f>
        <v>0.62708731676226903</v>
      </c>
      <c r="Y240" s="10">
        <f>PharmaProduction[[#This Row],[Rejected_Units]]/PharmaProduction[[#This Row],[Actual_Units]]</f>
        <v>2.0286033066233898E-3</v>
      </c>
      <c r="Z240" s="11">
        <f>PharmaProduction[[#This Row],[Actual_Units]]/PharmaProduction[[#This Row],[Labor_Hours]]</f>
        <v>147.46367521367523</v>
      </c>
      <c r="AA240" s="12">
        <f>PharmaProduction[[#This Row],[Energy_kWh]]/PharmaProduction[[#This Row],[Actual_Units]]</f>
        <v>0.53107385565038467</v>
      </c>
      <c r="AB240" s="12">
        <f>PharmaProduction[[#This Row],[Run_Hours]]+PharmaProduction[[#This Row],[Downtime_hr]]</f>
        <v>9.17</v>
      </c>
    </row>
    <row r="241" spans="1:28" x14ac:dyDescent="0.25">
      <c r="A241" s="9">
        <v>237</v>
      </c>
      <c r="B241" s="8">
        <v>46141</v>
      </c>
      <c r="C241" s="9" t="s">
        <v>30</v>
      </c>
      <c r="D241" s="9" t="s">
        <v>38</v>
      </c>
      <c r="E241" s="9" t="s">
        <v>39</v>
      </c>
      <c r="F241" s="9">
        <v>11314</v>
      </c>
      <c r="G241" s="9">
        <v>7621.6</v>
      </c>
      <c r="H241" s="9">
        <v>7182.2</v>
      </c>
      <c r="I241" s="9">
        <v>439.4</v>
      </c>
      <c r="J241" s="9">
        <v>7788.4</v>
      </c>
      <c r="K241" s="9">
        <v>1.99</v>
      </c>
      <c r="L241" s="9" t="s">
        <v>33</v>
      </c>
      <c r="M241" s="9" t="s">
        <v>41</v>
      </c>
      <c r="N241" s="9" t="s">
        <v>37</v>
      </c>
      <c r="O241" s="9">
        <v>210.82</v>
      </c>
      <c r="P241" s="9">
        <v>51.7</v>
      </c>
      <c r="Q241" s="9">
        <v>4162.8</v>
      </c>
      <c r="R241" s="9">
        <v>7.83</v>
      </c>
      <c r="S241" s="10">
        <f>PharmaProduction[[#This Row],[Actual_Units]]/PharmaProduction[[#This Row],[Planned_Units]]</f>
        <v>0.67364327382004596</v>
      </c>
      <c r="T241" s="10">
        <f>(8-PharmaProduction[[#This Row],[Downtime_hr]])/8</f>
        <v>0.75124999999999997</v>
      </c>
      <c r="U241" s="10">
        <f>((PharmaProduction[[#This Row],[Actual_Units]]/(8-PharmaProduction[[#This Row],[Downtime_hr]]))*8)/(PharmaProduction[[#This Row],[Planned_Units]])</f>
        <v>0.89669653753084333</v>
      </c>
      <c r="V241" s="10">
        <f>PharmaProduction[[#This Row],[Good_Units]]/PharmaProduction[[#This Row],[Actual_Units]]</f>
        <v>0.94234806339876132</v>
      </c>
      <c r="W241" s="10">
        <f>PharmaProduction[[#This Row],[Availability_%]]*PharmaProduction[[#This Row],[Performance_%]]*PharmaProduction[[#This Row],[Quality_%]]</f>
        <v>0.63480643450592189</v>
      </c>
      <c r="X241" s="10">
        <f>PharmaProduction[[#This Row],[Good_Units]]/PharmaProduction[[#This Row],[Planned_Units]]</f>
        <v>0.63480643450592189</v>
      </c>
      <c r="Y241" s="10">
        <f>PharmaProduction[[#This Row],[Rejected_Units]]/PharmaProduction[[#This Row],[Actual_Units]]</f>
        <v>5.7651936601238581E-2</v>
      </c>
      <c r="Z241" s="11">
        <f>PharmaProduction[[#This Row],[Actual_Units]]/PharmaProduction[[#This Row],[Labor_Hours]]</f>
        <v>147.41972920696324</v>
      </c>
      <c r="AA241" s="12">
        <f>PharmaProduction[[#This Row],[Energy_kWh]]/PharmaProduction[[#This Row],[Actual_Units]]</f>
        <v>0.54618452818305863</v>
      </c>
      <c r="AB241" s="12">
        <f>PharmaProduction[[#This Row],[Run_Hours]]+PharmaProduction[[#This Row],[Downtime_hr]]</f>
        <v>9.82</v>
      </c>
    </row>
    <row r="242" spans="1:28" x14ac:dyDescent="0.25">
      <c r="A242" s="9">
        <v>238</v>
      </c>
      <c r="B242" s="8">
        <v>46141</v>
      </c>
      <c r="C242" s="9" t="s">
        <v>35</v>
      </c>
      <c r="D242" s="9" t="s">
        <v>38</v>
      </c>
      <c r="E242" s="9" t="s">
        <v>32</v>
      </c>
      <c r="F242" s="9">
        <v>9024</v>
      </c>
      <c r="G242" s="9">
        <v>6288.1</v>
      </c>
      <c r="H242" s="9">
        <v>6214.5</v>
      </c>
      <c r="I242" s="9">
        <v>73.599999999999994</v>
      </c>
      <c r="J242" s="9">
        <v>6354.5</v>
      </c>
      <c r="K242" s="9">
        <v>5.85</v>
      </c>
      <c r="L242" s="9" t="s">
        <v>48</v>
      </c>
      <c r="M242" s="9" t="s">
        <v>34</v>
      </c>
      <c r="N242" s="9" t="s">
        <v>33</v>
      </c>
      <c r="O242" s="9">
        <v>0</v>
      </c>
      <c r="P242" s="9">
        <v>43.9</v>
      </c>
      <c r="Q242" s="9">
        <v>3217.6</v>
      </c>
      <c r="R242" s="9">
        <v>7.45</v>
      </c>
      <c r="S242" s="10">
        <f>PharmaProduction[[#This Row],[Actual_Units]]/PharmaProduction[[#This Row],[Planned_Units]]</f>
        <v>0.69681959219858158</v>
      </c>
      <c r="T242" s="10">
        <f>(8-PharmaProduction[[#This Row],[Downtime_hr]])/8</f>
        <v>0.26875000000000004</v>
      </c>
      <c r="U242" s="10">
        <f>((PharmaProduction[[#This Row],[Actual_Units]]/(8-PharmaProduction[[#This Row],[Downtime_hr]]))*8)/(PharmaProduction[[#This Row],[Planned_Units]])</f>
        <v>2.5928170872505358</v>
      </c>
      <c r="V242" s="10">
        <f>PharmaProduction[[#This Row],[Good_Units]]/PharmaProduction[[#This Row],[Actual_Units]]</f>
        <v>0.98829535153703019</v>
      </c>
      <c r="W242" s="10">
        <f>PharmaProduction[[#This Row],[Availability_%]]*PharmaProduction[[#This Row],[Performance_%]]*PharmaProduction[[#This Row],[Quality_%]]</f>
        <v>0.68866356382978722</v>
      </c>
      <c r="X242" s="10">
        <f>PharmaProduction[[#This Row],[Good_Units]]/PharmaProduction[[#This Row],[Planned_Units]]</f>
        <v>0.68866356382978722</v>
      </c>
      <c r="Y242" s="10">
        <f>PharmaProduction[[#This Row],[Rejected_Units]]/PharmaProduction[[#This Row],[Actual_Units]]</f>
        <v>1.1704648462969735E-2</v>
      </c>
      <c r="Z242" s="11">
        <f>PharmaProduction[[#This Row],[Actual_Units]]/PharmaProduction[[#This Row],[Labor_Hours]]</f>
        <v>143.23690205011391</v>
      </c>
      <c r="AA242" s="12">
        <f>PharmaProduction[[#This Row],[Energy_kWh]]/PharmaProduction[[#This Row],[Actual_Units]]</f>
        <v>0.51169669693548125</v>
      </c>
      <c r="AB242" s="12">
        <f>PharmaProduction[[#This Row],[Run_Hours]]+PharmaProduction[[#This Row],[Downtime_hr]]</f>
        <v>13.3</v>
      </c>
    </row>
    <row r="243" spans="1:28" x14ac:dyDescent="0.25">
      <c r="A243" s="9">
        <v>239</v>
      </c>
      <c r="B243" s="8">
        <v>46142</v>
      </c>
      <c r="C243" s="9" t="s">
        <v>30</v>
      </c>
      <c r="D243" s="9" t="s">
        <v>38</v>
      </c>
      <c r="E243" s="9" t="s">
        <v>39</v>
      </c>
      <c r="F243" s="9">
        <v>9852</v>
      </c>
      <c r="G243" s="9">
        <v>7110.9</v>
      </c>
      <c r="H243" s="9">
        <v>7065</v>
      </c>
      <c r="I243" s="9">
        <v>45.9</v>
      </c>
      <c r="J243" s="9">
        <v>7342.2</v>
      </c>
      <c r="K243" s="9">
        <v>1.91</v>
      </c>
      <c r="L243" s="9" t="s">
        <v>33</v>
      </c>
      <c r="M243" s="9" t="s">
        <v>34</v>
      </c>
      <c r="N243" s="9" t="s">
        <v>33</v>
      </c>
      <c r="O243" s="9">
        <v>0</v>
      </c>
      <c r="P243" s="9">
        <v>43.5</v>
      </c>
      <c r="Q243" s="9">
        <v>3665.3</v>
      </c>
      <c r="R243" s="9">
        <v>7.44</v>
      </c>
      <c r="S243" s="10">
        <f>PharmaProduction[[#This Row],[Actual_Units]]/PharmaProduction[[#This Row],[Planned_Units]]</f>
        <v>0.7217722289890377</v>
      </c>
      <c r="T243" s="10">
        <f>(8-PharmaProduction[[#This Row],[Downtime_hr]])/8</f>
        <v>0.76124999999999998</v>
      </c>
      <c r="U243" s="10">
        <f>((PharmaProduction[[#This Row],[Actual_Units]]/(8-PharmaProduction[[#This Row],[Downtime_hr]]))*8)/(PharmaProduction[[#This Row],[Planned_Units]])</f>
        <v>0.94814085909890011</v>
      </c>
      <c r="V243" s="10">
        <f>PharmaProduction[[#This Row],[Good_Units]]/PharmaProduction[[#This Row],[Actual_Units]]</f>
        <v>0.99354512087077596</v>
      </c>
      <c r="W243" s="10">
        <f>PharmaProduction[[#This Row],[Availability_%]]*PharmaProduction[[#This Row],[Performance_%]]*PharmaProduction[[#This Row],[Quality_%]]</f>
        <v>0.7171132764920829</v>
      </c>
      <c r="X243" s="10">
        <f>PharmaProduction[[#This Row],[Good_Units]]/PharmaProduction[[#This Row],[Planned_Units]]</f>
        <v>0.71711327649208279</v>
      </c>
      <c r="Y243" s="10">
        <f>PharmaProduction[[#This Row],[Rejected_Units]]/PharmaProduction[[#This Row],[Actual_Units]]</f>
        <v>6.4548791292241489E-3</v>
      </c>
      <c r="Z243" s="11">
        <f>PharmaProduction[[#This Row],[Actual_Units]]/PharmaProduction[[#This Row],[Labor_Hours]]</f>
        <v>163.46896551724137</v>
      </c>
      <c r="AA243" s="12">
        <f>PharmaProduction[[#This Row],[Energy_kWh]]/PharmaProduction[[#This Row],[Actual_Units]]</f>
        <v>0.51544811486591013</v>
      </c>
      <c r="AB243" s="12">
        <f>PharmaProduction[[#This Row],[Run_Hours]]+PharmaProduction[[#This Row],[Downtime_hr]]</f>
        <v>9.35</v>
      </c>
    </row>
    <row r="244" spans="1:28" x14ac:dyDescent="0.25">
      <c r="A244" s="9">
        <v>240</v>
      </c>
      <c r="B244" s="8">
        <v>46142</v>
      </c>
      <c r="C244" s="9" t="s">
        <v>35</v>
      </c>
      <c r="D244" s="9" t="s">
        <v>36</v>
      </c>
      <c r="E244" s="9" t="s">
        <v>39</v>
      </c>
      <c r="F244" s="9">
        <v>9876</v>
      </c>
      <c r="G244" s="9">
        <v>6107.5</v>
      </c>
      <c r="H244" s="9">
        <v>6012.1</v>
      </c>
      <c r="I244" s="9">
        <v>95.4</v>
      </c>
      <c r="J244" s="9">
        <v>6180.5</v>
      </c>
      <c r="K244" s="9">
        <v>3.91</v>
      </c>
      <c r="L244" s="9" t="s">
        <v>40</v>
      </c>
      <c r="M244" s="9" t="s">
        <v>34</v>
      </c>
      <c r="N244" s="9" t="s">
        <v>33</v>
      </c>
      <c r="O244" s="9">
        <v>0</v>
      </c>
      <c r="P244" s="9">
        <v>38</v>
      </c>
      <c r="Q244" s="9">
        <v>3221.1</v>
      </c>
      <c r="R244" s="9">
        <v>6.85</v>
      </c>
      <c r="S244" s="10">
        <f>PharmaProduction[[#This Row],[Actual_Units]]/PharmaProduction[[#This Row],[Planned_Units]]</f>
        <v>0.61841838801134064</v>
      </c>
      <c r="T244" s="10">
        <f>(8-PharmaProduction[[#This Row],[Downtime_hr]])/8</f>
        <v>0.51124999999999998</v>
      </c>
      <c r="U244" s="10">
        <f>((PharmaProduction[[#This Row],[Actual_Units]]/(8-PharmaProduction[[#This Row],[Downtime_hr]]))*8)/(PharmaProduction[[#This Row],[Planned_Units]])</f>
        <v>1.2096203188485881</v>
      </c>
      <c r="V244" s="10">
        <f>PharmaProduction[[#This Row],[Good_Units]]/PharmaProduction[[#This Row],[Actual_Units]]</f>
        <v>0.98437986082685225</v>
      </c>
      <c r="W244" s="10">
        <f>PharmaProduction[[#This Row],[Availability_%]]*PharmaProduction[[#This Row],[Performance_%]]*PharmaProduction[[#This Row],[Quality_%]]</f>
        <v>0.60875860672336979</v>
      </c>
      <c r="X244" s="10">
        <f>PharmaProduction[[#This Row],[Good_Units]]/PharmaProduction[[#This Row],[Planned_Units]]</f>
        <v>0.60875860672336979</v>
      </c>
      <c r="Y244" s="10">
        <f>PharmaProduction[[#This Row],[Rejected_Units]]/PharmaProduction[[#This Row],[Actual_Units]]</f>
        <v>1.562013917314777E-2</v>
      </c>
      <c r="Z244" s="11">
        <f>PharmaProduction[[#This Row],[Actual_Units]]/PharmaProduction[[#This Row],[Labor_Hours]]</f>
        <v>160.72368421052633</v>
      </c>
      <c r="AA244" s="12">
        <f>PharmaProduction[[#This Row],[Energy_kWh]]/PharmaProduction[[#This Row],[Actual_Units]]</f>
        <v>0.52740073679901756</v>
      </c>
      <c r="AB244" s="12">
        <f>PharmaProduction[[#This Row],[Run_Hours]]+PharmaProduction[[#This Row],[Downtime_hr]]</f>
        <v>10.76</v>
      </c>
    </row>
  </sheetData>
  <mergeCells count="1">
    <mergeCell ref="A1:E1"/>
  </mergeCells>
  <conditionalFormatting sqref="W5:W24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4:AB244">
    <cfRule type="expression" dxfId="2" priority="2">
      <formula>ROW()=CELL("row")</formula>
    </cfRule>
  </conditionalFormatting>
  <conditionalFormatting sqref="A4:B18">
    <cfRule type="expression" dxfId="1" priority="1">
      <formula>ROW()=CELL("row")</formula>
    </cfRule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I62"/>
  <sheetViews>
    <sheetView workbookViewId="0">
      <selection activeCell="I4" sqref="I4:I62"/>
    </sheetView>
  </sheetViews>
  <sheetFormatPr defaultRowHeight="15" x14ac:dyDescent="0.25"/>
  <cols>
    <col min="1" max="9" width="19" customWidth="1"/>
  </cols>
  <sheetData>
    <row r="1" spans="1:9" ht="23.25" x14ac:dyDescent="0.25">
      <c r="A1" s="1" t="s">
        <v>50</v>
      </c>
      <c r="B1" s="2"/>
      <c r="C1" s="2"/>
      <c r="D1" s="2"/>
      <c r="E1" s="2"/>
      <c r="F1" s="2"/>
      <c r="G1" s="2"/>
      <c r="H1" s="2"/>
      <c r="I1" s="2"/>
    </row>
    <row r="2" spans="1:9" x14ac:dyDescent="0.25">
      <c r="A2" s="2"/>
      <c r="B2" s="2"/>
      <c r="C2" s="2"/>
      <c r="D2" s="2"/>
      <c r="E2" s="2"/>
      <c r="F2" s="2"/>
      <c r="G2" s="2"/>
      <c r="H2" s="2"/>
      <c r="I2" s="2"/>
    </row>
    <row r="3" spans="1:9" x14ac:dyDescent="0.25">
      <c r="A3" s="3" t="s">
        <v>51</v>
      </c>
      <c r="B3" s="3" t="s">
        <v>3</v>
      </c>
      <c r="C3" s="3" t="s">
        <v>2</v>
      </c>
      <c r="D3" s="3" t="s">
        <v>4</v>
      </c>
      <c r="E3" s="3" t="s">
        <v>5</v>
      </c>
      <c r="F3" s="3" t="s">
        <v>13</v>
      </c>
      <c r="G3" s="3" t="s">
        <v>52</v>
      </c>
      <c r="H3" s="3" t="s">
        <v>53</v>
      </c>
      <c r="I3" s="3" t="s">
        <v>54</v>
      </c>
    </row>
    <row r="4" spans="1:9" x14ac:dyDescent="0.25">
      <c r="A4" s="2">
        <v>1</v>
      </c>
      <c r="B4" s="4">
        <v>46024</v>
      </c>
      <c r="C4" s="2">
        <v>4</v>
      </c>
      <c r="D4" s="2" t="s">
        <v>35</v>
      </c>
      <c r="E4" s="2" t="s">
        <v>31</v>
      </c>
      <c r="F4" s="2" t="s">
        <v>40</v>
      </c>
      <c r="G4" s="2" t="s">
        <v>55</v>
      </c>
      <c r="H4" s="2" t="s">
        <v>56</v>
      </c>
      <c r="I4" s="2">
        <v>2.7</v>
      </c>
    </row>
    <row r="5" spans="1:9" x14ac:dyDescent="0.25">
      <c r="A5" s="2">
        <v>2</v>
      </c>
      <c r="B5" s="4">
        <v>46030</v>
      </c>
      <c r="C5" s="2">
        <v>16</v>
      </c>
      <c r="D5" s="2" t="s">
        <v>35</v>
      </c>
      <c r="E5" s="2" t="s">
        <v>36</v>
      </c>
      <c r="F5" s="2" t="s">
        <v>43</v>
      </c>
      <c r="G5" s="2" t="s">
        <v>55</v>
      </c>
      <c r="H5" s="2" t="s">
        <v>56</v>
      </c>
      <c r="I5" s="2">
        <v>1</v>
      </c>
    </row>
    <row r="6" spans="1:9" x14ac:dyDescent="0.25">
      <c r="A6" s="2">
        <v>3</v>
      </c>
      <c r="B6" s="4">
        <v>46031</v>
      </c>
      <c r="C6" s="2">
        <v>18</v>
      </c>
      <c r="D6" s="2" t="s">
        <v>35</v>
      </c>
      <c r="E6" s="2" t="s">
        <v>38</v>
      </c>
      <c r="F6" s="2" t="s">
        <v>40</v>
      </c>
      <c r="G6" s="2" t="s">
        <v>55</v>
      </c>
      <c r="H6" s="2" t="s">
        <v>56</v>
      </c>
      <c r="I6" s="2">
        <v>5.0999999999999996</v>
      </c>
    </row>
    <row r="7" spans="1:9" x14ac:dyDescent="0.25">
      <c r="A7" s="2">
        <v>4</v>
      </c>
      <c r="B7" s="4">
        <v>46037</v>
      </c>
      <c r="C7" s="2">
        <v>30</v>
      </c>
      <c r="D7" s="2" t="s">
        <v>35</v>
      </c>
      <c r="E7" s="2" t="s">
        <v>38</v>
      </c>
      <c r="F7" s="2" t="s">
        <v>45</v>
      </c>
      <c r="G7" s="2" t="s">
        <v>57</v>
      </c>
      <c r="H7" s="2" t="s">
        <v>56</v>
      </c>
      <c r="I7" s="2">
        <v>3.6</v>
      </c>
    </row>
    <row r="8" spans="1:9" x14ac:dyDescent="0.25">
      <c r="A8" s="2">
        <v>5</v>
      </c>
      <c r="B8" s="4">
        <v>46038</v>
      </c>
      <c r="C8" s="2">
        <v>32</v>
      </c>
      <c r="D8" s="2" t="s">
        <v>35</v>
      </c>
      <c r="E8" s="2" t="s">
        <v>36</v>
      </c>
      <c r="F8" s="2" t="s">
        <v>43</v>
      </c>
      <c r="G8" s="2" t="s">
        <v>55</v>
      </c>
      <c r="H8" s="2" t="s">
        <v>56</v>
      </c>
      <c r="I8" s="2">
        <v>6.8</v>
      </c>
    </row>
    <row r="9" spans="1:9" x14ac:dyDescent="0.25">
      <c r="A9" s="2">
        <v>6</v>
      </c>
      <c r="B9" s="4">
        <v>46039</v>
      </c>
      <c r="C9" s="2">
        <v>34</v>
      </c>
      <c r="D9" s="2" t="s">
        <v>35</v>
      </c>
      <c r="E9" s="2" t="s">
        <v>38</v>
      </c>
      <c r="F9" s="2" t="s">
        <v>40</v>
      </c>
      <c r="G9" s="2" t="s">
        <v>58</v>
      </c>
      <c r="H9" s="2" t="s">
        <v>56</v>
      </c>
      <c r="I9" s="2">
        <v>3.9</v>
      </c>
    </row>
    <row r="10" spans="1:9" x14ac:dyDescent="0.25">
      <c r="A10" s="2">
        <v>7</v>
      </c>
      <c r="B10" s="4">
        <v>46040</v>
      </c>
      <c r="C10" s="2">
        <v>36</v>
      </c>
      <c r="D10" s="2" t="s">
        <v>35</v>
      </c>
      <c r="E10" s="2" t="s">
        <v>38</v>
      </c>
      <c r="F10" s="2" t="s">
        <v>43</v>
      </c>
      <c r="G10" s="2" t="s">
        <v>55</v>
      </c>
      <c r="H10" s="2" t="s">
        <v>56</v>
      </c>
      <c r="I10" s="2">
        <v>7.7</v>
      </c>
    </row>
    <row r="11" spans="1:9" x14ac:dyDescent="0.25">
      <c r="A11" s="2">
        <v>8</v>
      </c>
      <c r="B11" s="4">
        <v>46042</v>
      </c>
      <c r="C11" s="2">
        <v>40</v>
      </c>
      <c r="D11" s="2" t="s">
        <v>35</v>
      </c>
      <c r="E11" s="2" t="s">
        <v>38</v>
      </c>
      <c r="F11" s="2" t="s">
        <v>43</v>
      </c>
      <c r="G11" s="2" t="s">
        <v>55</v>
      </c>
      <c r="H11" s="2" t="s">
        <v>56</v>
      </c>
      <c r="I11" s="2">
        <v>2.9</v>
      </c>
    </row>
    <row r="12" spans="1:9" x14ac:dyDescent="0.25">
      <c r="A12" s="2">
        <v>9</v>
      </c>
      <c r="B12" s="4">
        <v>46045</v>
      </c>
      <c r="C12" s="2">
        <v>45</v>
      </c>
      <c r="D12" s="2" t="s">
        <v>30</v>
      </c>
      <c r="E12" s="2" t="s">
        <v>38</v>
      </c>
      <c r="F12" s="2" t="s">
        <v>46</v>
      </c>
      <c r="G12" s="2" t="s">
        <v>55</v>
      </c>
      <c r="H12" s="2" t="s">
        <v>56</v>
      </c>
      <c r="I12" s="2">
        <v>2.6</v>
      </c>
    </row>
    <row r="13" spans="1:9" x14ac:dyDescent="0.25">
      <c r="A13" s="2">
        <v>10</v>
      </c>
      <c r="B13" s="4">
        <v>46045</v>
      </c>
      <c r="C13" s="2">
        <v>46</v>
      </c>
      <c r="D13" s="2" t="s">
        <v>35</v>
      </c>
      <c r="E13" s="2" t="s">
        <v>36</v>
      </c>
      <c r="F13" s="2" t="s">
        <v>43</v>
      </c>
      <c r="G13" s="2" t="s">
        <v>55</v>
      </c>
      <c r="H13" s="2" t="s">
        <v>56</v>
      </c>
      <c r="I13" s="2">
        <v>2.5</v>
      </c>
    </row>
    <row r="14" spans="1:9" x14ac:dyDescent="0.25">
      <c r="A14" s="2">
        <v>11</v>
      </c>
      <c r="B14" s="4">
        <v>46049</v>
      </c>
      <c r="C14" s="2">
        <v>54</v>
      </c>
      <c r="D14" s="2" t="s">
        <v>35</v>
      </c>
      <c r="E14" s="2" t="s">
        <v>38</v>
      </c>
      <c r="F14" s="2" t="s">
        <v>46</v>
      </c>
      <c r="G14" s="2" t="s">
        <v>55</v>
      </c>
      <c r="H14" s="2" t="s">
        <v>56</v>
      </c>
      <c r="I14" s="2">
        <v>1.3</v>
      </c>
    </row>
    <row r="15" spans="1:9" x14ac:dyDescent="0.25">
      <c r="A15" s="2">
        <v>12</v>
      </c>
      <c r="B15" s="4">
        <v>46050</v>
      </c>
      <c r="C15" s="2">
        <v>55</v>
      </c>
      <c r="D15" s="2" t="s">
        <v>30</v>
      </c>
      <c r="E15" s="2" t="s">
        <v>36</v>
      </c>
      <c r="F15" s="2" t="s">
        <v>43</v>
      </c>
      <c r="G15" s="2" t="s">
        <v>55</v>
      </c>
      <c r="H15" s="2" t="s">
        <v>56</v>
      </c>
      <c r="I15" s="2">
        <v>6.8</v>
      </c>
    </row>
    <row r="16" spans="1:9" x14ac:dyDescent="0.25">
      <c r="A16" s="2">
        <v>13</v>
      </c>
      <c r="B16" s="4">
        <v>46052</v>
      </c>
      <c r="C16" s="2">
        <v>59</v>
      </c>
      <c r="D16" s="2" t="s">
        <v>30</v>
      </c>
      <c r="E16" s="2" t="s">
        <v>38</v>
      </c>
      <c r="F16" s="2" t="s">
        <v>48</v>
      </c>
      <c r="G16" s="2" t="s">
        <v>55</v>
      </c>
      <c r="H16" s="2" t="s">
        <v>56</v>
      </c>
      <c r="I16" s="2">
        <v>3</v>
      </c>
    </row>
    <row r="17" spans="1:9" x14ac:dyDescent="0.25">
      <c r="A17" s="2">
        <v>14</v>
      </c>
      <c r="B17" s="4">
        <v>46053</v>
      </c>
      <c r="C17" s="2">
        <v>62</v>
      </c>
      <c r="D17" s="2" t="s">
        <v>35</v>
      </c>
      <c r="E17" s="2" t="s">
        <v>36</v>
      </c>
      <c r="F17" s="2" t="s">
        <v>40</v>
      </c>
      <c r="G17" s="2" t="s">
        <v>55</v>
      </c>
      <c r="H17" s="2" t="s">
        <v>56</v>
      </c>
      <c r="I17" s="2">
        <v>6.6</v>
      </c>
    </row>
    <row r="18" spans="1:9" x14ac:dyDescent="0.25">
      <c r="A18" s="2">
        <v>15</v>
      </c>
      <c r="B18" s="4">
        <v>46054</v>
      </c>
      <c r="C18" s="2">
        <v>64</v>
      </c>
      <c r="D18" s="2" t="s">
        <v>35</v>
      </c>
      <c r="E18" s="2" t="s">
        <v>36</v>
      </c>
      <c r="F18" s="2" t="s">
        <v>45</v>
      </c>
      <c r="G18" s="2" t="s">
        <v>55</v>
      </c>
      <c r="H18" s="2" t="s">
        <v>56</v>
      </c>
      <c r="I18" s="2">
        <v>3.2</v>
      </c>
    </row>
    <row r="19" spans="1:9" x14ac:dyDescent="0.25">
      <c r="A19" s="2">
        <v>16</v>
      </c>
      <c r="B19" s="4">
        <v>46056</v>
      </c>
      <c r="C19" s="2">
        <v>67</v>
      </c>
      <c r="D19" s="2" t="s">
        <v>30</v>
      </c>
      <c r="E19" s="2" t="s">
        <v>36</v>
      </c>
      <c r="F19" s="2" t="s">
        <v>48</v>
      </c>
      <c r="G19" s="2" t="s">
        <v>58</v>
      </c>
      <c r="H19" s="2" t="s">
        <v>56</v>
      </c>
      <c r="I19" s="2">
        <v>7.8</v>
      </c>
    </row>
    <row r="20" spans="1:9" x14ac:dyDescent="0.25">
      <c r="A20" s="2">
        <v>17</v>
      </c>
      <c r="B20" s="4">
        <v>46058</v>
      </c>
      <c r="C20" s="2">
        <v>72</v>
      </c>
      <c r="D20" s="2" t="s">
        <v>35</v>
      </c>
      <c r="E20" s="2" t="s">
        <v>38</v>
      </c>
      <c r="F20" s="2" t="s">
        <v>45</v>
      </c>
      <c r="G20" s="2" t="s">
        <v>55</v>
      </c>
      <c r="H20" s="2" t="s">
        <v>56</v>
      </c>
      <c r="I20" s="2">
        <v>6.6</v>
      </c>
    </row>
    <row r="21" spans="1:9" x14ac:dyDescent="0.25">
      <c r="A21" s="2">
        <v>18</v>
      </c>
      <c r="B21" s="4">
        <v>46068</v>
      </c>
      <c r="C21" s="2">
        <v>91</v>
      </c>
      <c r="D21" s="2" t="s">
        <v>30</v>
      </c>
      <c r="E21" s="2" t="s">
        <v>36</v>
      </c>
      <c r="F21" s="2" t="s">
        <v>48</v>
      </c>
      <c r="G21" s="2" t="s">
        <v>55</v>
      </c>
      <c r="H21" s="2" t="s">
        <v>56</v>
      </c>
      <c r="I21" s="2">
        <v>7.5</v>
      </c>
    </row>
    <row r="22" spans="1:9" x14ac:dyDescent="0.25">
      <c r="A22" s="2">
        <v>19</v>
      </c>
      <c r="B22" s="4">
        <v>46073</v>
      </c>
      <c r="C22" s="2">
        <v>101</v>
      </c>
      <c r="D22" s="2" t="s">
        <v>30</v>
      </c>
      <c r="E22" s="2" t="s">
        <v>36</v>
      </c>
      <c r="F22" s="2" t="s">
        <v>40</v>
      </c>
      <c r="G22" s="2" t="s">
        <v>58</v>
      </c>
      <c r="H22" s="2" t="s">
        <v>56</v>
      </c>
      <c r="I22" s="2">
        <v>7.9</v>
      </c>
    </row>
    <row r="23" spans="1:9" x14ac:dyDescent="0.25">
      <c r="A23" s="2">
        <v>20</v>
      </c>
      <c r="B23" s="4">
        <v>46074</v>
      </c>
      <c r="C23" s="2">
        <v>103</v>
      </c>
      <c r="D23" s="2" t="s">
        <v>30</v>
      </c>
      <c r="E23" s="2" t="s">
        <v>38</v>
      </c>
      <c r="F23" s="2" t="s">
        <v>40</v>
      </c>
      <c r="G23" s="2" t="s">
        <v>57</v>
      </c>
      <c r="H23" s="2" t="s">
        <v>56</v>
      </c>
      <c r="I23" s="2">
        <v>5.9</v>
      </c>
    </row>
    <row r="24" spans="1:9" x14ac:dyDescent="0.25">
      <c r="A24" s="2">
        <v>21</v>
      </c>
      <c r="B24" s="4">
        <v>46074</v>
      </c>
      <c r="C24" s="2">
        <v>104</v>
      </c>
      <c r="D24" s="2" t="s">
        <v>35</v>
      </c>
      <c r="E24" s="2" t="s">
        <v>31</v>
      </c>
      <c r="F24" s="2" t="s">
        <v>46</v>
      </c>
      <c r="G24" s="2" t="s">
        <v>55</v>
      </c>
      <c r="H24" s="2" t="s">
        <v>56</v>
      </c>
      <c r="I24" s="2">
        <v>3.3</v>
      </c>
    </row>
    <row r="25" spans="1:9" x14ac:dyDescent="0.25">
      <c r="A25" s="2">
        <v>22</v>
      </c>
      <c r="B25" s="4">
        <v>46075</v>
      </c>
      <c r="C25" s="2">
        <v>106</v>
      </c>
      <c r="D25" s="2" t="s">
        <v>35</v>
      </c>
      <c r="E25" s="2" t="s">
        <v>36</v>
      </c>
      <c r="F25" s="2" t="s">
        <v>45</v>
      </c>
      <c r="G25" s="2" t="s">
        <v>55</v>
      </c>
      <c r="H25" s="2" t="s">
        <v>56</v>
      </c>
      <c r="I25" s="2">
        <v>2.9</v>
      </c>
    </row>
    <row r="26" spans="1:9" x14ac:dyDescent="0.25">
      <c r="A26" s="2">
        <v>23</v>
      </c>
      <c r="B26" s="4">
        <v>46079</v>
      </c>
      <c r="C26" s="2">
        <v>113</v>
      </c>
      <c r="D26" s="2" t="s">
        <v>30</v>
      </c>
      <c r="E26" s="2" t="s">
        <v>38</v>
      </c>
      <c r="F26" s="2" t="s">
        <v>40</v>
      </c>
      <c r="G26" s="2" t="s">
        <v>58</v>
      </c>
      <c r="H26" s="2" t="s">
        <v>56</v>
      </c>
      <c r="I26" s="2">
        <v>1.3</v>
      </c>
    </row>
    <row r="27" spans="1:9" x14ac:dyDescent="0.25">
      <c r="A27" s="2">
        <v>24</v>
      </c>
      <c r="B27" s="4">
        <v>46079</v>
      </c>
      <c r="C27" s="2">
        <v>114</v>
      </c>
      <c r="D27" s="2" t="s">
        <v>35</v>
      </c>
      <c r="E27" s="2" t="s">
        <v>38</v>
      </c>
      <c r="F27" s="2" t="s">
        <v>43</v>
      </c>
      <c r="G27" s="2" t="s">
        <v>55</v>
      </c>
      <c r="H27" s="2" t="s">
        <v>56</v>
      </c>
      <c r="I27" s="2">
        <v>7.9</v>
      </c>
    </row>
    <row r="28" spans="1:9" x14ac:dyDescent="0.25">
      <c r="A28" s="2">
        <v>25</v>
      </c>
      <c r="B28" s="4">
        <v>46080</v>
      </c>
      <c r="C28" s="2">
        <v>116</v>
      </c>
      <c r="D28" s="2" t="s">
        <v>35</v>
      </c>
      <c r="E28" s="2" t="s">
        <v>31</v>
      </c>
      <c r="F28" s="2" t="s">
        <v>48</v>
      </c>
      <c r="G28" s="2" t="s">
        <v>55</v>
      </c>
      <c r="H28" s="2" t="s">
        <v>56</v>
      </c>
      <c r="I28" s="2">
        <v>1.7</v>
      </c>
    </row>
    <row r="29" spans="1:9" x14ac:dyDescent="0.25">
      <c r="A29" s="2">
        <v>26</v>
      </c>
      <c r="B29" s="4">
        <v>46087</v>
      </c>
      <c r="C29" s="2">
        <v>129</v>
      </c>
      <c r="D29" s="2" t="s">
        <v>30</v>
      </c>
      <c r="E29" s="2" t="s">
        <v>31</v>
      </c>
      <c r="F29" s="2" t="s">
        <v>45</v>
      </c>
      <c r="G29" s="2" t="s">
        <v>55</v>
      </c>
      <c r="H29" s="2" t="s">
        <v>56</v>
      </c>
      <c r="I29" s="2">
        <v>7.7</v>
      </c>
    </row>
    <row r="30" spans="1:9" x14ac:dyDescent="0.25">
      <c r="A30" s="2">
        <v>27</v>
      </c>
      <c r="B30" s="4">
        <v>46090</v>
      </c>
      <c r="C30" s="2">
        <v>136</v>
      </c>
      <c r="D30" s="2" t="s">
        <v>35</v>
      </c>
      <c r="E30" s="2" t="s">
        <v>31</v>
      </c>
      <c r="F30" s="2" t="s">
        <v>46</v>
      </c>
      <c r="G30" s="2" t="s">
        <v>58</v>
      </c>
      <c r="H30" s="2" t="s">
        <v>56</v>
      </c>
      <c r="I30" s="2">
        <v>3</v>
      </c>
    </row>
    <row r="31" spans="1:9" x14ac:dyDescent="0.25">
      <c r="A31" s="2">
        <v>28</v>
      </c>
      <c r="B31" s="4">
        <v>46094</v>
      </c>
      <c r="C31" s="2">
        <v>144</v>
      </c>
      <c r="D31" s="2" t="s">
        <v>35</v>
      </c>
      <c r="E31" s="2" t="s">
        <v>38</v>
      </c>
      <c r="F31" s="2" t="s">
        <v>48</v>
      </c>
      <c r="G31" s="2" t="s">
        <v>55</v>
      </c>
      <c r="H31" s="2" t="s">
        <v>56</v>
      </c>
      <c r="I31" s="2">
        <v>2.4</v>
      </c>
    </row>
    <row r="32" spans="1:9" x14ac:dyDescent="0.25">
      <c r="A32" s="2">
        <v>29</v>
      </c>
      <c r="B32" s="4">
        <v>46095</v>
      </c>
      <c r="C32" s="2">
        <v>145</v>
      </c>
      <c r="D32" s="2" t="s">
        <v>30</v>
      </c>
      <c r="E32" s="2" t="s">
        <v>38</v>
      </c>
      <c r="F32" s="2" t="s">
        <v>48</v>
      </c>
      <c r="G32" s="2" t="s">
        <v>58</v>
      </c>
      <c r="H32" s="2" t="s">
        <v>56</v>
      </c>
      <c r="I32" s="2">
        <v>1.4</v>
      </c>
    </row>
    <row r="33" spans="1:9" x14ac:dyDescent="0.25">
      <c r="A33" s="2">
        <v>30</v>
      </c>
      <c r="B33" s="4">
        <v>46097</v>
      </c>
      <c r="C33" s="2">
        <v>150</v>
      </c>
      <c r="D33" s="2" t="s">
        <v>35</v>
      </c>
      <c r="E33" s="2" t="s">
        <v>36</v>
      </c>
      <c r="F33" s="2" t="s">
        <v>48</v>
      </c>
      <c r="G33" s="2" t="s">
        <v>55</v>
      </c>
      <c r="H33" s="2" t="s">
        <v>56</v>
      </c>
      <c r="I33" s="2">
        <v>1</v>
      </c>
    </row>
    <row r="34" spans="1:9" x14ac:dyDescent="0.25">
      <c r="A34" s="2">
        <v>31</v>
      </c>
      <c r="B34" s="4">
        <v>46099</v>
      </c>
      <c r="C34" s="2">
        <v>154</v>
      </c>
      <c r="D34" s="2" t="s">
        <v>35</v>
      </c>
      <c r="E34" s="2" t="s">
        <v>36</v>
      </c>
      <c r="F34" s="2" t="s">
        <v>45</v>
      </c>
      <c r="G34" s="2" t="s">
        <v>55</v>
      </c>
      <c r="H34" s="2" t="s">
        <v>59</v>
      </c>
      <c r="I34" s="2">
        <v>7.9</v>
      </c>
    </row>
    <row r="35" spans="1:9" x14ac:dyDescent="0.25">
      <c r="A35" s="2">
        <v>32</v>
      </c>
      <c r="B35" s="4">
        <v>46100</v>
      </c>
      <c r="C35" s="2">
        <v>155</v>
      </c>
      <c r="D35" s="2" t="s">
        <v>30</v>
      </c>
      <c r="E35" s="2" t="s">
        <v>31</v>
      </c>
      <c r="F35" s="2" t="s">
        <v>40</v>
      </c>
      <c r="G35" s="2" t="s">
        <v>55</v>
      </c>
      <c r="H35" s="2" t="s">
        <v>56</v>
      </c>
      <c r="I35" s="2">
        <v>6.2</v>
      </c>
    </row>
    <row r="36" spans="1:9" x14ac:dyDescent="0.25">
      <c r="A36" s="2">
        <v>33</v>
      </c>
      <c r="B36" s="4">
        <v>46102</v>
      </c>
      <c r="C36" s="2">
        <v>160</v>
      </c>
      <c r="D36" s="2" t="s">
        <v>35</v>
      </c>
      <c r="E36" s="2" t="s">
        <v>36</v>
      </c>
      <c r="F36" s="2" t="s">
        <v>48</v>
      </c>
      <c r="G36" s="2" t="s">
        <v>55</v>
      </c>
      <c r="H36" s="2" t="s">
        <v>56</v>
      </c>
      <c r="I36" s="2">
        <v>6.8</v>
      </c>
    </row>
    <row r="37" spans="1:9" x14ac:dyDescent="0.25">
      <c r="A37" s="2">
        <v>34</v>
      </c>
      <c r="B37" s="4">
        <v>46103</v>
      </c>
      <c r="C37" s="2">
        <v>161</v>
      </c>
      <c r="D37" s="2" t="s">
        <v>30</v>
      </c>
      <c r="E37" s="2" t="s">
        <v>38</v>
      </c>
      <c r="F37" s="2" t="s">
        <v>45</v>
      </c>
      <c r="G37" s="2" t="s">
        <v>55</v>
      </c>
      <c r="H37" s="2" t="s">
        <v>56</v>
      </c>
      <c r="I37" s="2">
        <v>1.2</v>
      </c>
    </row>
    <row r="38" spans="1:9" x14ac:dyDescent="0.25">
      <c r="A38" s="2">
        <v>35</v>
      </c>
      <c r="B38" s="4">
        <v>46103</v>
      </c>
      <c r="C38" s="2">
        <v>162</v>
      </c>
      <c r="D38" s="2" t="s">
        <v>35</v>
      </c>
      <c r="E38" s="2" t="s">
        <v>38</v>
      </c>
      <c r="F38" s="2" t="s">
        <v>43</v>
      </c>
      <c r="G38" s="2" t="s">
        <v>55</v>
      </c>
      <c r="H38" s="2" t="s">
        <v>56</v>
      </c>
      <c r="I38" s="2">
        <v>4.5999999999999996</v>
      </c>
    </row>
    <row r="39" spans="1:9" x14ac:dyDescent="0.25">
      <c r="A39" s="2">
        <v>36</v>
      </c>
      <c r="B39" s="4">
        <v>46104</v>
      </c>
      <c r="C39" s="2">
        <v>163</v>
      </c>
      <c r="D39" s="2" t="s">
        <v>30</v>
      </c>
      <c r="E39" s="2" t="s">
        <v>36</v>
      </c>
      <c r="F39" s="2" t="s">
        <v>48</v>
      </c>
      <c r="G39" s="2" t="s">
        <v>55</v>
      </c>
      <c r="H39" s="2" t="s">
        <v>56</v>
      </c>
      <c r="I39" s="2">
        <v>6.9</v>
      </c>
    </row>
    <row r="40" spans="1:9" x14ac:dyDescent="0.25">
      <c r="A40" s="2">
        <v>37</v>
      </c>
      <c r="B40" s="4">
        <v>46106</v>
      </c>
      <c r="C40" s="2">
        <v>167</v>
      </c>
      <c r="D40" s="2" t="s">
        <v>30</v>
      </c>
      <c r="E40" s="2" t="s">
        <v>36</v>
      </c>
      <c r="F40" s="2" t="s">
        <v>45</v>
      </c>
      <c r="G40" s="2" t="s">
        <v>55</v>
      </c>
      <c r="H40" s="2" t="s">
        <v>56</v>
      </c>
      <c r="I40" s="2">
        <v>1</v>
      </c>
    </row>
    <row r="41" spans="1:9" x14ac:dyDescent="0.25">
      <c r="A41" s="2">
        <v>38</v>
      </c>
      <c r="B41" s="4">
        <v>46106</v>
      </c>
      <c r="C41" s="2">
        <v>168</v>
      </c>
      <c r="D41" s="2" t="s">
        <v>35</v>
      </c>
      <c r="E41" s="2" t="s">
        <v>38</v>
      </c>
      <c r="F41" s="2" t="s">
        <v>43</v>
      </c>
      <c r="G41" s="2" t="s">
        <v>55</v>
      </c>
      <c r="H41" s="2" t="s">
        <v>56</v>
      </c>
      <c r="I41" s="2">
        <v>3</v>
      </c>
    </row>
    <row r="42" spans="1:9" x14ac:dyDescent="0.25">
      <c r="A42" s="2">
        <v>39</v>
      </c>
      <c r="B42" s="4">
        <v>46108</v>
      </c>
      <c r="C42" s="2">
        <v>172</v>
      </c>
      <c r="D42" s="2" t="s">
        <v>35</v>
      </c>
      <c r="E42" s="2" t="s">
        <v>38</v>
      </c>
      <c r="F42" s="2" t="s">
        <v>45</v>
      </c>
      <c r="G42" s="2" t="s">
        <v>55</v>
      </c>
      <c r="H42" s="2" t="s">
        <v>56</v>
      </c>
      <c r="I42" s="2">
        <v>6</v>
      </c>
    </row>
    <row r="43" spans="1:9" x14ac:dyDescent="0.25">
      <c r="A43" s="2">
        <v>40</v>
      </c>
      <c r="B43" s="4">
        <v>46110</v>
      </c>
      <c r="C43" s="2">
        <v>175</v>
      </c>
      <c r="D43" s="2" t="s">
        <v>30</v>
      </c>
      <c r="E43" s="2" t="s">
        <v>36</v>
      </c>
      <c r="F43" s="2" t="s">
        <v>45</v>
      </c>
      <c r="G43" s="2" t="s">
        <v>55</v>
      </c>
      <c r="H43" s="2" t="s">
        <v>56</v>
      </c>
      <c r="I43" s="2">
        <v>2.2000000000000002</v>
      </c>
    </row>
    <row r="44" spans="1:9" x14ac:dyDescent="0.25">
      <c r="A44" s="2">
        <v>41</v>
      </c>
      <c r="B44" s="4">
        <v>46111</v>
      </c>
      <c r="C44" s="2">
        <v>178</v>
      </c>
      <c r="D44" s="2" t="s">
        <v>35</v>
      </c>
      <c r="E44" s="2" t="s">
        <v>36</v>
      </c>
      <c r="F44" s="2" t="s">
        <v>45</v>
      </c>
      <c r="G44" s="2" t="s">
        <v>55</v>
      </c>
      <c r="H44" s="2" t="s">
        <v>56</v>
      </c>
      <c r="I44" s="2">
        <v>2.5</v>
      </c>
    </row>
    <row r="45" spans="1:9" x14ac:dyDescent="0.25">
      <c r="A45" s="2">
        <v>42</v>
      </c>
      <c r="B45" s="4">
        <v>46118</v>
      </c>
      <c r="C45" s="2">
        <v>191</v>
      </c>
      <c r="D45" s="2" t="s">
        <v>30</v>
      </c>
      <c r="E45" s="2" t="s">
        <v>36</v>
      </c>
      <c r="F45" s="2" t="s">
        <v>40</v>
      </c>
      <c r="G45" s="2" t="s">
        <v>55</v>
      </c>
      <c r="H45" s="2" t="s">
        <v>56</v>
      </c>
      <c r="I45" s="2">
        <v>6.2</v>
      </c>
    </row>
    <row r="46" spans="1:9" x14ac:dyDescent="0.25">
      <c r="A46" s="2">
        <v>43</v>
      </c>
      <c r="B46" s="4">
        <v>46119</v>
      </c>
      <c r="C46" s="2">
        <v>193</v>
      </c>
      <c r="D46" s="2" t="s">
        <v>30</v>
      </c>
      <c r="E46" s="2" t="s">
        <v>36</v>
      </c>
      <c r="F46" s="2" t="s">
        <v>43</v>
      </c>
      <c r="G46" s="2" t="s">
        <v>55</v>
      </c>
      <c r="H46" s="2" t="s">
        <v>56</v>
      </c>
      <c r="I46" s="2">
        <v>6.4</v>
      </c>
    </row>
    <row r="47" spans="1:9" x14ac:dyDescent="0.25">
      <c r="A47" s="2">
        <v>44</v>
      </c>
      <c r="B47" s="4">
        <v>46124</v>
      </c>
      <c r="C47" s="2">
        <v>204</v>
      </c>
      <c r="D47" s="2" t="s">
        <v>35</v>
      </c>
      <c r="E47" s="2" t="s">
        <v>36</v>
      </c>
      <c r="F47" s="2" t="s">
        <v>43</v>
      </c>
      <c r="G47" s="2" t="s">
        <v>55</v>
      </c>
      <c r="H47" s="2" t="s">
        <v>56</v>
      </c>
      <c r="I47" s="2">
        <v>3.4</v>
      </c>
    </row>
    <row r="48" spans="1:9" x14ac:dyDescent="0.25">
      <c r="A48" s="2">
        <v>45</v>
      </c>
      <c r="B48" s="4">
        <v>46125</v>
      </c>
      <c r="C48" s="2">
        <v>205</v>
      </c>
      <c r="D48" s="2" t="s">
        <v>30</v>
      </c>
      <c r="E48" s="2" t="s">
        <v>36</v>
      </c>
      <c r="F48" s="2" t="s">
        <v>40</v>
      </c>
      <c r="G48" s="2" t="s">
        <v>55</v>
      </c>
      <c r="H48" s="2" t="s">
        <v>56</v>
      </c>
      <c r="I48" s="2">
        <v>6.7</v>
      </c>
    </row>
    <row r="49" spans="1:9" x14ac:dyDescent="0.25">
      <c r="A49" s="2">
        <v>46</v>
      </c>
      <c r="B49" s="4">
        <v>46125</v>
      </c>
      <c r="C49" s="2">
        <v>206</v>
      </c>
      <c r="D49" s="2" t="s">
        <v>35</v>
      </c>
      <c r="E49" s="2" t="s">
        <v>38</v>
      </c>
      <c r="F49" s="2" t="s">
        <v>48</v>
      </c>
      <c r="G49" s="2" t="s">
        <v>55</v>
      </c>
      <c r="H49" s="2" t="s">
        <v>56</v>
      </c>
      <c r="I49" s="2">
        <v>2.5</v>
      </c>
    </row>
    <row r="50" spans="1:9" x14ac:dyDescent="0.25">
      <c r="A50" s="2">
        <v>47</v>
      </c>
      <c r="B50" s="4">
        <v>46126</v>
      </c>
      <c r="C50" s="2">
        <v>207</v>
      </c>
      <c r="D50" s="2" t="s">
        <v>30</v>
      </c>
      <c r="E50" s="2" t="s">
        <v>38</v>
      </c>
      <c r="F50" s="2" t="s">
        <v>40</v>
      </c>
      <c r="G50" s="2" t="s">
        <v>55</v>
      </c>
      <c r="H50" s="2" t="s">
        <v>56</v>
      </c>
      <c r="I50" s="2">
        <v>2.5</v>
      </c>
    </row>
    <row r="51" spans="1:9" x14ac:dyDescent="0.25">
      <c r="A51" s="2">
        <v>48</v>
      </c>
      <c r="B51" s="4">
        <v>46127</v>
      </c>
      <c r="C51" s="2">
        <v>210</v>
      </c>
      <c r="D51" s="2" t="s">
        <v>35</v>
      </c>
      <c r="E51" s="2" t="s">
        <v>36</v>
      </c>
      <c r="F51" s="2" t="s">
        <v>40</v>
      </c>
      <c r="G51" s="2" t="s">
        <v>58</v>
      </c>
      <c r="H51" s="2" t="s">
        <v>56</v>
      </c>
      <c r="I51" s="2">
        <v>3</v>
      </c>
    </row>
    <row r="52" spans="1:9" x14ac:dyDescent="0.25">
      <c r="A52" s="2">
        <v>49</v>
      </c>
      <c r="B52" s="4">
        <v>46128</v>
      </c>
      <c r="C52" s="2">
        <v>212</v>
      </c>
      <c r="D52" s="2" t="s">
        <v>35</v>
      </c>
      <c r="E52" s="2" t="s">
        <v>38</v>
      </c>
      <c r="F52" s="2" t="s">
        <v>48</v>
      </c>
      <c r="G52" s="2" t="s">
        <v>55</v>
      </c>
      <c r="H52" s="2" t="s">
        <v>56</v>
      </c>
      <c r="I52" s="2">
        <v>7.7</v>
      </c>
    </row>
    <row r="53" spans="1:9" x14ac:dyDescent="0.25">
      <c r="A53" s="2">
        <v>50</v>
      </c>
      <c r="B53" s="4">
        <v>46132</v>
      </c>
      <c r="C53" s="2">
        <v>219</v>
      </c>
      <c r="D53" s="2" t="s">
        <v>30</v>
      </c>
      <c r="E53" s="2" t="s">
        <v>36</v>
      </c>
      <c r="F53" s="2" t="s">
        <v>48</v>
      </c>
      <c r="G53" s="2" t="s">
        <v>55</v>
      </c>
      <c r="H53" s="2" t="s">
        <v>56</v>
      </c>
      <c r="I53" s="2">
        <v>1.7</v>
      </c>
    </row>
    <row r="54" spans="1:9" x14ac:dyDescent="0.25">
      <c r="A54" s="2">
        <v>51</v>
      </c>
      <c r="B54" s="4">
        <v>46133</v>
      </c>
      <c r="C54" s="2">
        <v>222</v>
      </c>
      <c r="D54" s="2" t="s">
        <v>35</v>
      </c>
      <c r="E54" s="2" t="s">
        <v>36</v>
      </c>
      <c r="F54" s="2" t="s">
        <v>40</v>
      </c>
      <c r="G54" s="2" t="s">
        <v>55</v>
      </c>
      <c r="H54" s="2" t="s">
        <v>56</v>
      </c>
      <c r="I54" s="2">
        <v>4.3</v>
      </c>
    </row>
    <row r="55" spans="1:9" x14ac:dyDescent="0.25">
      <c r="A55" s="2">
        <v>52</v>
      </c>
      <c r="B55" s="4">
        <v>46135</v>
      </c>
      <c r="C55" s="2">
        <v>225</v>
      </c>
      <c r="D55" s="2" t="s">
        <v>30</v>
      </c>
      <c r="E55" s="2" t="s">
        <v>36</v>
      </c>
      <c r="F55" s="2" t="s">
        <v>48</v>
      </c>
      <c r="G55" s="2" t="s">
        <v>55</v>
      </c>
      <c r="H55" s="2" t="s">
        <v>56</v>
      </c>
      <c r="I55" s="2">
        <v>2.4</v>
      </c>
    </row>
    <row r="56" spans="1:9" x14ac:dyDescent="0.25">
      <c r="A56" s="2">
        <v>53</v>
      </c>
      <c r="B56" s="4">
        <v>46136</v>
      </c>
      <c r="C56" s="2">
        <v>227</v>
      </c>
      <c r="D56" s="2" t="s">
        <v>30</v>
      </c>
      <c r="E56" s="2" t="s">
        <v>31</v>
      </c>
      <c r="F56" s="2" t="s">
        <v>43</v>
      </c>
      <c r="G56" s="2" t="s">
        <v>55</v>
      </c>
      <c r="H56" s="2" t="s">
        <v>56</v>
      </c>
      <c r="I56" s="2">
        <v>7.6</v>
      </c>
    </row>
    <row r="57" spans="1:9" x14ac:dyDescent="0.25">
      <c r="A57" s="2">
        <v>54</v>
      </c>
      <c r="B57" s="4">
        <v>46137</v>
      </c>
      <c r="C57" s="2">
        <v>229</v>
      </c>
      <c r="D57" s="2" t="s">
        <v>30</v>
      </c>
      <c r="E57" s="2" t="s">
        <v>31</v>
      </c>
      <c r="F57" s="2" t="s">
        <v>48</v>
      </c>
      <c r="G57" s="2" t="s">
        <v>55</v>
      </c>
      <c r="H57" s="2" t="s">
        <v>56</v>
      </c>
      <c r="I57" s="2">
        <v>1.5</v>
      </c>
    </row>
    <row r="58" spans="1:9" x14ac:dyDescent="0.25">
      <c r="A58" s="2">
        <v>55</v>
      </c>
      <c r="B58" s="4">
        <v>46138</v>
      </c>
      <c r="C58" s="2">
        <v>231</v>
      </c>
      <c r="D58" s="2" t="s">
        <v>30</v>
      </c>
      <c r="E58" s="2" t="s">
        <v>36</v>
      </c>
      <c r="F58" s="2" t="s">
        <v>48</v>
      </c>
      <c r="G58" s="2" t="s">
        <v>55</v>
      </c>
      <c r="H58" s="2" t="s">
        <v>56</v>
      </c>
      <c r="I58" s="2">
        <v>7.3</v>
      </c>
    </row>
    <row r="59" spans="1:9" x14ac:dyDescent="0.25">
      <c r="A59" s="2">
        <v>56</v>
      </c>
      <c r="B59" s="4">
        <v>46138</v>
      </c>
      <c r="C59" s="2">
        <v>232</v>
      </c>
      <c r="D59" s="2" t="s">
        <v>35</v>
      </c>
      <c r="E59" s="2" t="s">
        <v>38</v>
      </c>
      <c r="F59" s="2" t="s">
        <v>45</v>
      </c>
      <c r="G59" s="2" t="s">
        <v>55</v>
      </c>
      <c r="H59" s="2" t="s">
        <v>56</v>
      </c>
      <c r="I59" s="2">
        <v>1.3</v>
      </c>
    </row>
    <row r="60" spans="1:9" x14ac:dyDescent="0.25">
      <c r="A60" s="2">
        <v>57</v>
      </c>
      <c r="B60" s="4">
        <v>46140</v>
      </c>
      <c r="C60" s="2">
        <v>236</v>
      </c>
      <c r="D60" s="2" t="s">
        <v>35</v>
      </c>
      <c r="E60" s="2" t="s">
        <v>36</v>
      </c>
      <c r="F60" s="2" t="s">
        <v>45</v>
      </c>
      <c r="G60" s="2" t="s">
        <v>55</v>
      </c>
      <c r="H60" s="2" t="s">
        <v>56</v>
      </c>
      <c r="I60" s="2">
        <v>2.1</v>
      </c>
    </row>
    <row r="61" spans="1:9" x14ac:dyDescent="0.25">
      <c r="A61" s="2">
        <v>58</v>
      </c>
      <c r="B61" s="4">
        <v>46141</v>
      </c>
      <c r="C61" s="2">
        <v>238</v>
      </c>
      <c r="D61" s="2" t="s">
        <v>35</v>
      </c>
      <c r="E61" s="2" t="s">
        <v>38</v>
      </c>
      <c r="F61" s="2" t="s">
        <v>48</v>
      </c>
      <c r="G61" s="2" t="s">
        <v>57</v>
      </c>
      <c r="H61" s="2" t="s">
        <v>56</v>
      </c>
      <c r="I61" s="2">
        <v>2.8</v>
      </c>
    </row>
    <row r="62" spans="1:9" x14ac:dyDescent="0.25">
      <c r="A62" s="2">
        <v>59</v>
      </c>
      <c r="B62" s="4">
        <v>46142</v>
      </c>
      <c r="C62" s="2">
        <v>240</v>
      </c>
      <c r="D62" s="2" t="s">
        <v>35</v>
      </c>
      <c r="E62" s="2" t="s">
        <v>36</v>
      </c>
      <c r="F62" s="2" t="s">
        <v>40</v>
      </c>
      <c r="G62" s="2" t="s">
        <v>55</v>
      </c>
      <c r="H62" s="2" t="s">
        <v>56</v>
      </c>
      <c r="I62" s="2">
        <v>3.2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J78"/>
  <sheetViews>
    <sheetView workbookViewId="0">
      <selection activeCell="F9" sqref="F9"/>
    </sheetView>
  </sheetViews>
  <sheetFormatPr defaultRowHeight="15" x14ac:dyDescent="0.25"/>
  <cols>
    <col min="1" max="10" width="19" customWidth="1"/>
  </cols>
  <sheetData>
    <row r="1" spans="1:10" ht="23.25" x14ac:dyDescent="0.25">
      <c r="A1" s="1" t="s">
        <v>60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s="2"/>
      <c r="B2" s="2"/>
      <c r="C2" s="2"/>
      <c r="D2" s="2"/>
      <c r="E2" s="2"/>
      <c r="F2" s="2"/>
      <c r="G2" s="2"/>
      <c r="H2" s="2"/>
      <c r="I2" s="2"/>
      <c r="J2" s="2"/>
    </row>
    <row r="3" spans="1:10" x14ac:dyDescent="0.25">
      <c r="A3" s="3" t="s">
        <v>61</v>
      </c>
      <c r="B3" s="3" t="s">
        <v>3</v>
      </c>
      <c r="C3" s="3" t="s">
        <v>2</v>
      </c>
      <c r="D3" s="3" t="s">
        <v>4</v>
      </c>
      <c r="E3" s="3" t="s">
        <v>5</v>
      </c>
      <c r="F3" s="3" t="s">
        <v>15</v>
      </c>
      <c r="G3" s="3" t="s">
        <v>12</v>
      </c>
      <c r="H3" s="3" t="s">
        <v>62</v>
      </c>
      <c r="I3" s="3" t="s">
        <v>16</v>
      </c>
      <c r="J3" s="3" t="s">
        <v>63</v>
      </c>
    </row>
    <row r="4" spans="1:10" x14ac:dyDescent="0.25">
      <c r="A4" s="2">
        <v>1</v>
      </c>
      <c r="B4" s="4">
        <v>46023</v>
      </c>
      <c r="C4" s="2">
        <v>2</v>
      </c>
      <c r="D4" s="2" t="s">
        <v>35</v>
      </c>
      <c r="E4" s="2" t="s">
        <v>36</v>
      </c>
      <c r="F4" s="2" t="s">
        <v>37</v>
      </c>
      <c r="G4" s="2">
        <v>0.45</v>
      </c>
      <c r="H4" s="2">
        <v>7.3</v>
      </c>
      <c r="I4" s="2">
        <v>267.41000000000003</v>
      </c>
      <c r="J4" s="2" t="s">
        <v>64</v>
      </c>
    </row>
    <row r="5" spans="1:10" x14ac:dyDescent="0.25">
      <c r="A5" s="2">
        <v>2</v>
      </c>
      <c r="B5" s="4">
        <v>46028</v>
      </c>
      <c r="C5" s="2">
        <v>12</v>
      </c>
      <c r="D5" s="2" t="s">
        <v>35</v>
      </c>
      <c r="E5" s="2" t="s">
        <v>31</v>
      </c>
      <c r="F5" s="2" t="s">
        <v>37</v>
      </c>
      <c r="G5" s="2">
        <v>1.63</v>
      </c>
      <c r="H5" s="2">
        <v>4.3</v>
      </c>
      <c r="I5" s="2">
        <v>415.95</v>
      </c>
      <c r="J5" s="2" t="s">
        <v>64</v>
      </c>
    </row>
    <row r="6" spans="1:10" x14ac:dyDescent="0.25">
      <c r="A6" s="2">
        <v>3</v>
      </c>
      <c r="B6" s="4">
        <v>46029</v>
      </c>
      <c r="C6" s="2">
        <v>14</v>
      </c>
      <c r="D6" s="2" t="s">
        <v>35</v>
      </c>
      <c r="E6" s="2" t="s">
        <v>38</v>
      </c>
      <c r="F6" s="2" t="s">
        <v>37</v>
      </c>
      <c r="G6" s="2">
        <v>0.61</v>
      </c>
      <c r="H6" s="2">
        <v>13.6</v>
      </c>
      <c r="I6" s="2">
        <v>341.27</v>
      </c>
      <c r="J6" s="2" t="s">
        <v>64</v>
      </c>
    </row>
    <row r="7" spans="1:10" x14ac:dyDescent="0.25">
      <c r="A7" s="2">
        <v>4</v>
      </c>
      <c r="B7" s="4">
        <v>46030</v>
      </c>
      <c r="C7" s="2">
        <v>15</v>
      </c>
      <c r="D7" s="2" t="s">
        <v>30</v>
      </c>
      <c r="E7" s="2" t="s">
        <v>31</v>
      </c>
      <c r="F7" s="2" t="s">
        <v>37</v>
      </c>
      <c r="G7" s="2">
        <v>2.4300000000000002</v>
      </c>
      <c r="H7" s="2">
        <v>7.5</v>
      </c>
      <c r="I7" s="2">
        <v>193.89</v>
      </c>
      <c r="J7" s="2" t="s">
        <v>64</v>
      </c>
    </row>
    <row r="8" spans="1:10" x14ac:dyDescent="0.25">
      <c r="A8" s="2">
        <v>5</v>
      </c>
      <c r="B8" s="4">
        <v>46033</v>
      </c>
      <c r="C8" s="2">
        <v>21</v>
      </c>
      <c r="D8" s="2" t="s">
        <v>30</v>
      </c>
      <c r="E8" s="2" t="s">
        <v>38</v>
      </c>
      <c r="F8" s="2" t="s">
        <v>37</v>
      </c>
      <c r="G8" s="2">
        <v>2.4</v>
      </c>
      <c r="H8" s="2">
        <v>11.1</v>
      </c>
      <c r="I8" s="2">
        <v>428.9</v>
      </c>
      <c r="J8" s="2" t="s">
        <v>64</v>
      </c>
    </row>
    <row r="9" spans="1:10" x14ac:dyDescent="0.25">
      <c r="A9" s="2">
        <v>6</v>
      </c>
      <c r="B9" s="4">
        <v>46035</v>
      </c>
      <c r="C9" s="2">
        <v>25</v>
      </c>
      <c r="D9" s="2" t="s">
        <v>30</v>
      </c>
      <c r="E9" s="2" t="s">
        <v>36</v>
      </c>
      <c r="F9" s="2" t="s">
        <v>37</v>
      </c>
      <c r="G9" s="2">
        <v>0.96</v>
      </c>
      <c r="H9" s="2">
        <v>15</v>
      </c>
      <c r="I9" s="2">
        <v>444.21</v>
      </c>
      <c r="J9" s="2" t="s">
        <v>64</v>
      </c>
    </row>
    <row r="10" spans="1:10" x14ac:dyDescent="0.25">
      <c r="A10" s="2">
        <v>7</v>
      </c>
      <c r="B10" s="4">
        <v>46037</v>
      </c>
      <c r="C10" s="2">
        <v>29</v>
      </c>
      <c r="D10" s="2" t="s">
        <v>30</v>
      </c>
      <c r="E10" s="2" t="s">
        <v>31</v>
      </c>
      <c r="F10" s="2" t="s">
        <v>44</v>
      </c>
      <c r="G10" s="2">
        <v>0.78</v>
      </c>
      <c r="H10" s="2">
        <v>2.4</v>
      </c>
      <c r="I10" s="2">
        <v>547.34</v>
      </c>
      <c r="J10" s="2" t="s">
        <v>64</v>
      </c>
    </row>
    <row r="11" spans="1:10" x14ac:dyDescent="0.25">
      <c r="A11" s="2">
        <v>8</v>
      </c>
      <c r="B11" s="4">
        <v>46038</v>
      </c>
      <c r="C11" s="2">
        <v>32</v>
      </c>
      <c r="D11" s="2" t="s">
        <v>35</v>
      </c>
      <c r="E11" s="2" t="s">
        <v>36</v>
      </c>
      <c r="F11" s="2" t="s">
        <v>44</v>
      </c>
      <c r="G11" s="2">
        <v>3.87</v>
      </c>
      <c r="H11" s="2">
        <v>6.5</v>
      </c>
      <c r="I11" s="2">
        <v>1040.28</v>
      </c>
      <c r="J11" s="2" t="s">
        <v>64</v>
      </c>
    </row>
    <row r="12" spans="1:10" x14ac:dyDescent="0.25">
      <c r="A12" s="2">
        <v>9</v>
      </c>
      <c r="B12" s="4">
        <v>46041</v>
      </c>
      <c r="C12" s="2">
        <v>37</v>
      </c>
      <c r="D12" s="2" t="s">
        <v>30</v>
      </c>
      <c r="E12" s="2" t="s">
        <v>36</v>
      </c>
      <c r="F12" s="2" t="s">
        <v>44</v>
      </c>
      <c r="G12" s="2">
        <v>0.99</v>
      </c>
      <c r="H12" s="2">
        <v>11.8</v>
      </c>
      <c r="I12" s="2">
        <v>833.76</v>
      </c>
      <c r="J12" s="2" t="s">
        <v>64</v>
      </c>
    </row>
    <row r="13" spans="1:10" x14ac:dyDescent="0.25">
      <c r="A13" s="2">
        <v>10</v>
      </c>
      <c r="B13" s="4">
        <v>46042</v>
      </c>
      <c r="C13" s="2">
        <v>40</v>
      </c>
      <c r="D13" s="2" t="s">
        <v>35</v>
      </c>
      <c r="E13" s="2" t="s">
        <v>38</v>
      </c>
      <c r="F13" s="2" t="s">
        <v>37</v>
      </c>
      <c r="G13" s="2">
        <v>1.93</v>
      </c>
      <c r="H13" s="2">
        <v>4.0999999999999996</v>
      </c>
      <c r="I13" s="2">
        <v>199.51</v>
      </c>
      <c r="J13" s="2" t="s">
        <v>64</v>
      </c>
    </row>
    <row r="14" spans="1:10" x14ac:dyDescent="0.25">
      <c r="A14" s="2">
        <v>11</v>
      </c>
      <c r="B14" s="4">
        <v>46045</v>
      </c>
      <c r="C14" s="2">
        <v>45</v>
      </c>
      <c r="D14" s="2" t="s">
        <v>30</v>
      </c>
      <c r="E14" s="2" t="s">
        <v>38</v>
      </c>
      <c r="F14" s="2" t="s">
        <v>47</v>
      </c>
      <c r="G14" s="2">
        <v>3.82</v>
      </c>
      <c r="H14" s="2">
        <v>10</v>
      </c>
      <c r="I14" s="2">
        <v>1420.77</v>
      </c>
      <c r="J14" s="2" t="s">
        <v>64</v>
      </c>
    </row>
    <row r="15" spans="1:10" x14ac:dyDescent="0.25">
      <c r="A15" s="2">
        <v>12</v>
      </c>
      <c r="B15" s="4">
        <v>46046</v>
      </c>
      <c r="C15" s="2">
        <v>47</v>
      </c>
      <c r="D15" s="2" t="s">
        <v>30</v>
      </c>
      <c r="E15" s="2" t="s">
        <v>38</v>
      </c>
      <c r="F15" s="2" t="s">
        <v>47</v>
      </c>
      <c r="G15" s="2">
        <v>1.07</v>
      </c>
      <c r="H15" s="2">
        <v>8.1</v>
      </c>
      <c r="I15" s="2">
        <v>1405.36</v>
      </c>
      <c r="J15" s="2" t="s">
        <v>64</v>
      </c>
    </row>
    <row r="16" spans="1:10" x14ac:dyDescent="0.25">
      <c r="A16" s="2">
        <v>13</v>
      </c>
      <c r="B16" s="4">
        <v>46047</v>
      </c>
      <c r="C16" s="2">
        <v>50</v>
      </c>
      <c r="D16" s="2" t="s">
        <v>35</v>
      </c>
      <c r="E16" s="2" t="s">
        <v>36</v>
      </c>
      <c r="F16" s="2" t="s">
        <v>44</v>
      </c>
      <c r="G16" s="2">
        <v>2.83</v>
      </c>
      <c r="H16" s="2">
        <v>5.6</v>
      </c>
      <c r="I16" s="2">
        <v>613.61</v>
      </c>
      <c r="J16" s="2" t="s">
        <v>64</v>
      </c>
    </row>
    <row r="17" spans="1:10" x14ac:dyDescent="0.25">
      <c r="A17" s="2">
        <v>14</v>
      </c>
      <c r="B17" s="4">
        <v>46048</v>
      </c>
      <c r="C17" s="2">
        <v>51</v>
      </c>
      <c r="D17" s="2" t="s">
        <v>30</v>
      </c>
      <c r="E17" s="2" t="s">
        <v>36</v>
      </c>
      <c r="F17" s="2" t="s">
        <v>37</v>
      </c>
      <c r="G17" s="2">
        <v>1.22</v>
      </c>
      <c r="H17" s="2">
        <v>7</v>
      </c>
      <c r="I17" s="2">
        <v>288.57</v>
      </c>
      <c r="J17" s="2" t="s">
        <v>64</v>
      </c>
    </row>
    <row r="18" spans="1:10" x14ac:dyDescent="0.25">
      <c r="A18" s="2">
        <v>15</v>
      </c>
      <c r="B18" s="4">
        <v>46053</v>
      </c>
      <c r="C18" s="2">
        <v>62</v>
      </c>
      <c r="D18" s="2" t="s">
        <v>35</v>
      </c>
      <c r="E18" s="2" t="s">
        <v>36</v>
      </c>
      <c r="F18" s="2" t="s">
        <v>37</v>
      </c>
      <c r="G18" s="2">
        <v>3.69</v>
      </c>
      <c r="H18" s="2">
        <v>6.7</v>
      </c>
      <c r="I18" s="2">
        <v>286.97000000000003</v>
      </c>
      <c r="J18" s="2" t="s">
        <v>64</v>
      </c>
    </row>
    <row r="19" spans="1:10" x14ac:dyDescent="0.25">
      <c r="A19" s="2">
        <v>16</v>
      </c>
      <c r="B19" s="4">
        <v>46056</v>
      </c>
      <c r="C19" s="2">
        <v>67</v>
      </c>
      <c r="D19" s="2" t="s">
        <v>30</v>
      </c>
      <c r="E19" s="2" t="s">
        <v>36</v>
      </c>
      <c r="F19" s="2" t="s">
        <v>47</v>
      </c>
      <c r="G19" s="2">
        <v>1.49</v>
      </c>
      <c r="H19" s="2">
        <v>12.6</v>
      </c>
      <c r="I19" s="2">
        <v>1916.28</v>
      </c>
      <c r="J19" s="2" t="s">
        <v>64</v>
      </c>
    </row>
    <row r="20" spans="1:10" x14ac:dyDescent="0.25">
      <c r="A20" s="2">
        <v>17</v>
      </c>
      <c r="B20" s="4">
        <v>46057</v>
      </c>
      <c r="C20" s="2">
        <v>69</v>
      </c>
      <c r="D20" s="2" t="s">
        <v>30</v>
      </c>
      <c r="E20" s="2" t="s">
        <v>36</v>
      </c>
      <c r="F20" s="2" t="s">
        <v>44</v>
      </c>
      <c r="G20" s="2">
        <v>0</v>
      </c>
      <c r="H20" s="2">
        <v>2.9</v>
      </c>
      <c r="I20" s="2">
        <v>1083.97</v>
      </c>
      <c r="J20" s="2" t="s">
        <v>64</v>
      </c>
    </row>
    <row r="21" spans="1:10" x14ac:dyDescent="0.25">
      <c r="A21" s="2">
        <v>18</v>
      </c>
      <c r="B21" s="4">
        <v>46057</v>
      </c>
      <c r="C21" s="2">
        <v>70</v>
      </c>
      <c r="D21" s="2" t="s">
        <v>35</v>
      </c>
      <c r="E21" s="2" t="s">
        <v>36</v>
      </c>
      <c r="F21" s="2" t="s">
        <v>47</v>
      </c>
      <c r="G21" s="2">
        <v>3.42</v>
      </c>
      <c r="H21" s="2">
        <v>10.5</v>
      </c>
      <c r="I21" s="2">
        <v>2137.96</v>
      </c>
      <c r="J21" s="2" t="s">
        <v>64</v>
      </c>
    </row>
    <row r="22" spans="1:10" x14ac:dyDescent="0.25">
      <c r="A22" s="2">
        <v>19</v>
      </c>
      <c r="B22" s="4">
        <v>46058</v>
      </c>
      <c r="C22" s="2">
        <v>72</v>
      </c>
      <c r="D22" s="2" t="s">
        <v>35</v>
      </c>
      <c r="E22" s="2" t="s">
        <v>38</v>
      </c>
      <c r="F22" s="2" t="s">
        <v>37</v>
      </c>
      <c r="G22" s="2">
        <v>4.1500000000000004</v>
      </c>
      <c r="H22" s="2">
        <v>4.3</v>
      </c>
      <c r="I22" s="2">
        <v>171.58</v>
      </c>
      <c r="J22" s="2" t="s">
        <v>64</v>
      </c>
    </row>
    <row r="23" spans="1:10" x14ac:dyDescent="0.25">
      <c r="A23" s="2">
        <v>20</v>
      </c>
      <c r="B23" s="4">
        <v>46059</v>
      </c>
      <c r="C23" s="2">
        <v>74</v>
      </c>
      <c r="D23" s="2" t="s">
        <v>35</v>
      </c>
      <c r="E23" s="2" t="s">
        <v>36</v>
      </c>
      <c r="F23" s="2" t="s">
        <v>44</v>
      </c>
      <c r="G23" s="2">
        <v>3.46</v>
      </c>
      <c r="H23" s="2">
        <v>16.7</v>
      </c>
      <c r="I23" s="2">
        <v>938.11</v>
      </c>
      <c r="J23" s="2" t="s">
        <v>64</v>
      </c>
    </row>
    <row r="24" spans="1:10" x14ac:dyDescent="0.25">
      <c r="A24" s="2">
        <v>21</v>
      </c>
      <c r="B24" s="4">
        <v>46060</v>
      </c>
      <c r="C24" s="2">
        <v>75</v>
      </c>
      <c r="D24" s="2" t="s">
        <v>30</v>
      </c>
      <c r="E24" s="2" t="s">
        <v>31</v>
      </c>
      <c r="F24" s="2" t="s">
        <v>37</v>
      </c>
      <c r="G24" s="2">
        <v>2.76</v>
      </c>
      <c r="H24" s="2">
        <v>2.1</v>
      </c>
      <c r="I24" s="2">
        <v>415.22</v>
      </c>
      <c r="J24" s="2" t="s">
        <v>64</v>
      </c>
    </row>
    <row r="25" spans="1:10" x14ac:dyDescent="0.25">
      <c r="A25" s="2">
        <v>22</v>
      </c>
      <c r="B25" s="4">
        <v>46060</v>
      </c>
      <c r="C25" s="2">
        <v>76</v>
      </c>
      <c r="D25" s="2" t="s">
        <v>35</v>
      </c>
      <c r="E25" s="2" t="s">
        <v>36</v>
      </c>
      <c r="F25" s="2" t="s">
        <v>37</v>
      </c>
      <c r="G25" s="2">
        <v>1.1299999999999999</v>
      </c>
      <c r="H25" s="2">
        <v>5</v>
      </c>
      <c r="I25" s="2">
        <v>183.76</v>
      </c>
      <c r="J25" s="2" t="s">
        <v>64</v>
      </c>
    </row>
    <row r="26" spans="1:10" x14ac:dyDescent="0.25">
      <c r="A26" s="2">
        <v>23</v>
      </c>
      <c r="B26" s="4">
        <v>46061</v>
      </c>
      <c r="C26" s="2">
        <v>77</v>
      </c>
      <c r="D26" s="2" t="s">
        <v>30</v>
      </c>
      <c r="E26" s="2" t="s">
        <v>38</v>
      </c>
      <c r="F26" s="2" t="s">
        <v>47</v>
      </c>
      <c r="G26" s="2">
        <v>1.71</v>
      </c>
      <c r="H26" s="2">
        <v>6.9</v>
      </c>
      <c r="I26" s="2">
        <v>1943.88</v>
      </c>
      <c r="J26" s="2" t="s">
        <v>64</v>
      </c>
    </row>
    <row r="27" spans="1:10" x14ac:dyDescent="0.25">
      <c r="A27" s="2">
        <v>24</v>
      </c>
      <c r="B27" s="4">
        <v>46062</v>
      </c>
      <c r="C27" s="2">
        <v>79</v>
      </c>
      <c r="D27" s="2" t="s">
        <v>30</v>
      </c>
      <c r="E27" s="2" t="s">
        <v>36</v>
      </c>
      <c r="F27" s="2" t="s">
        <v>37</v>
      </c>
      <c r="G27" s="2">
        <v>0</v>
      </c>
      <c r="H27" s="2">
        <v>15.7</v>
      </c>
      <c r="I27" s="2">
        <v>368.08</v>
      </c>
      <c r="J27" s="2" t="s">
        <v>64</v>
      </c>
    </row>
    <row r="28" spans="1:10" x14ac:dyDescent="0.25">
      <c r="A28" s="2">
        <v>25</v>
      </c>
      <c r="B28" s="4">
        <v>46063</v>
      </c>
      <c r="C28" s="2">
        <v>81</v>
      </c>
      <c r="D28" s="2" t="s">
        <v>30</v>
      </c>
      <c r="E28" s="2" t="s">
        <v>36</v>
      </c>
      <c r="F28" s="2" t="s">
        <v>37</v>
      </c>
      <c r="G28" s="2">
        <v>2.78</v>
      </c>
      <c r="H28" s="2">
        <v>6.6</v>
      </c>
      <c r="I28" s="2">
        <v>324.83</v>
      </c>
      <c r="J28" s="2" t="s">
        <v>64</v>
      </c>
    </row>
    <row r="29" spans="1:10" x14ac:dyDescent="0.25">
      <c r="A29" s="2">
        <v>26</v>
      </c>
      <c r="B29" s="4">
        <v>46065</v>
      </c>
      <c r="C29" s="2">
        <v>85</v>
      </c>
      <c r="D29" s="2" t="s">
        <v>30</v>
      </c>
      <c r="E29" s="2" t="s">
        <v>38</v>
      </c>
      <c r="F29" s="2" t="s">
        <v>44</v>
      </c>
      <c r="G29" s="2">
        <v>1.93</v>
      </c>
      <c r="H29" s="2">
        <v>11.7</v>
      </c>
      <c r="I29" s="2">
        <v>760.26</v>
      </c>
      <c r="J29" s="2" t="s">
        <v>64</v>
      </c>
    </row>
    <row r="30" spans="1:10" x14ac:dyDescent="0.25">
      <c r="A30" s="2">
        <v>27</v>
      </c>
      <c r="B30" s="4">
        <v>46065</v>
      </c>
      <c r="C30" s="2">
        <v>86</v>
      </c>
      <c r="D30" s="2" t="s">
        <v>35</v>
      </c>
      <c r="E30" s="2" t="s">
        <v>31</v>
      </c>
      <c r="F30" s="2" t="s">
        <v>44</v>
      </c>
      <c r="G30" s="2">
        <v>2.5</v>
      </c>
      <c r="H30" s="2">
        <v>14.1</v>
      </c>
      <c r="I30" s="2">
        <v>774.11</v>
      </c>
      <c r="J30" s="2" t="s">
        <v>64</v>
      </c>
    </row>
    <row r="31" spans="1:10" x14ac:dyDescent="0.25">
      <c r="A31" s="2">
        <v>28</v>
      </c>
      <c r="B31" s="4">
        <v>46066</v>
      </c>
      <c r="C31" s="2">
        <v>87</v>
      </c>
      <c r="D31" s="2" t="s">
        <v>30</v>
      </c>
      <c r="E31" s="2" t="s">
        <v>38</v>
      </c>
      <c r="F31" s="2" t="s">
        <v>44</v>
      </c>
      <c r="G31" s="2">
        <v>1.01</v>
      </c>
      <c r="H31" s="2">
        <v>15.1</v>
      </c>
      <c r="I31" s="2">
        <v>1094.77</v>
      </c>
      <c r="J31" s="2" t="s">
        <v>64</v>
      </c>
    </row>
    <row r="32" spans="1:10" x14ac:dyDescent="0.25">
      <c r="A32" s="2">
        <v>29</v>
      </c>
      <c r="B32" s="4">
        <v>46067</v>
      </c>
      <c r="C32" s="2">
        <v>90</v>
      </c>
      <c r="D32" s="2" t="s">
        <v>35</v>
      </c>
      <c r="E32" s="2" t="s">
        <v>38</v>
      </c>
      <c r="F32" s="2" t="s">
        <v>44</v>
      </c>
      <c r="G32" s="2">
        <v>0.32</v>
      </c>
      <c r="H32" s="2">
        <v>4.5999999999999996</v>
      </c>
      <c r="I32" s="2">
        <v>956.85</v>
      </c>
      <c r="J32" s="2" t="s">
        <v>64</v>
      </c>
    </row>
    <row r="33" spans="1:10" x14ac:dyDescent="0.25">
      <c r="A33" s="2">
        <v>30</v>
      </c>
      <c r="B33" s="4">
        <v>46068</v>
      </c>
      <c r="C33" s="2">
        <v>91</v>
      </c>
      <c r="D33" s="2" t="s">
        <v>30</v>
      </c>
      <c r="E33" s="2" t="s">
        <v>36</v>
      </c>
      <c r="F33" s="2" t="s">
        <v>37</v>
      </c>
      <c r="G33" s="2">
        <v>4.09</v>
      </c>
      <c r="H33" s="2">
        <v>14.2</v>
      </c>
      <c r="I33" s="2">
        <v>282.39</v>
      </c>
      <c r="J33" s="2" t="s">
        <v>64</v>
      </c>
    </row>
    <row r="34" spans="1:10" x14ac:dyDescent="0.25">
      <c r="A34" s="2">
        <v>31</v>
      </c>
      <c r="B34" s="4">
        <v>46070</v>
      </c>
      <c r="C34" s="2">
        <v>95</v>
      </c>
      <c r="D34" s="2" t="s">
        <v>30</v>
      </c>
      <c r="E34" s="2" t="s">
        <v>38</v>
      </c>
      <c r="F34" s="2" t="s">
        <v>47</v>
      </c>
      <c r="G34" s="2">
        <v>0.25</v>
      </c>
      <c r="H34" s="2">
        <v>14.2</v>
      </c>
      <c r="I34" s="2">
        <v>1941.85</v>
      </c>
      <c r="J34" s="2" t="s">
        <v>64</v>
      </c>
    </row>
    <row r="35" spans="1:10" x14ac:dyDescent="0.25">
      <c r="A35" s="2">
        <v>32</v>
      </c>
      <c r="B35" s="4">
        <v>46070</v>
      </c>
      <c r="C35" s="2">
        <v>96</v>
      </c>
      <c r="D35" s="2" t="s">
        <v>35</v>
      </c>
      <c r="E35" s="2" t="s">
        <v>38</v>
      </c>
      <c r="F35" s="2" t="s">
        <v>37</v>
      </c>
      <c r="G35" s="2">
        <v>0.67</v>
      </c>
      <c r="H35" s="2">
        <v>10.8</v>
      </c>
      <c r="I35" s="2">
        <v>443.94</v>
      </c>
      <c r="J35" s="2" t="s">
        <v>64</v>
      </c>
    </row>
    <row r="36" spans="1:10" x14ac:dyDescent="0.25">
      <c r="A36" s="2">
        <v>33</v>
      </c>
      <c r="B36" s="4">
        <v>46071</v>
      </c>
      <c r="C36" s="2">
        <v>97</v>
      </c>
      <c r="D36" s="2" t="s">
        <v>30</v>
      </c>
      <c r="E36" s="2" t="s">
        <v>31</v>
      </c>
      <c r="F36" s="2" t="s">
        <v>44</v>
      </c>
      <c r="G36" s="2">
        <v>2.36</v>
      </c>
      <c r="H36" s="2">
        <v>11.8</v>
      </c>
      <c r="I36" s="2">
        <v>644.29999999999995</v>
      </c>
      <c r="J36" s="2" t="s">
        <v>64</v>
      </c>
    </row>
    <row r="37" spans="1:10" x14ac:dyDescent="0.25">
      <c r="A37" s="2">
        <v>34</v>
      </c>
      <c r="B37" s="4">
        <v>46072</v>
      </c>
      <c r="C37" s="2">
        <v>100</v>
      </c>
      <c r="D37" s="2" t="s">
        <v>35</v>
      </c>
      <c r="E37" s="2" t="s">
        <v>36</v>
      </c>
      <c r="F37" s="2" t="s">
        <v>37</v>
      </c>
      <c r="G37" s="2">
        <v>2.64</v>
      </c>
      <c r="H37" s="2">
        <v>6.9</v>
      </c>
      <c r="I37" s="2">
        <v>168.42</v>
      </c>
      <c r="J37" s="2" t="s">
        <v>64</v>
      </c>
    </row>
    <row r="38" spans="1:10" x14ac:dyDescent="0.25">
      <c r="A38" s="2">
        <v>35</v>
      </c>
      <c r="B38" s="4">
        <v>46073</v>
      </c>
      <c r="C38" s="2">
        <v>101</v>
      </c>
      <c r="D38" s="2" t="s">
        <v>30</v>
      </c>
      <c r="E38" s="2" t="s">
        <v>36</v>
      </c>
      <c r="F38" s="2" t="s">
        <v>44</v>
      </c>
      <c r="G38" s="2">
        <v>3.05</v>
      </c>
      <c r="H38" s="2">
        <v>13</v>
      </c>
      <c r="I38" s="2">
        <v>654.33000000000004</v>
      </c>
      <c r="J38" s="2" t="s">
        <v>64</v>
      </c>
    </row>
    <row r="39" spans="1:10" x14ac:dyDescent="0.25">
      <c r="A39" s="2">
        <v>36</v>
      </c>
      <c r="B39" s="4">
        <v>46073</v>
      </c>
      <c r="C39" s="2">
        <v>102</v>
      </c>
      <c r="D39" s="2" t="s">
        <v>35</v>
      </c>
      <c r="E39" s="2" t="s">
        <v>38</v>
      </c>
      <c r="F39" s="2" t="s">
        <v>44</v>
      </c>
      <c r="G39" s="2">
        <v>0.62</v>
      </c>
      <c r="H39" s="2">
        <v>13.7</v>
      </c>
      <c r="I39" s="2">
        <v>498.93</v>
      </c>
      <c r="J39" s="2" t="s">
        <v>64</v>
      </c>
    </row>
    <row r="40" spans="1:10" x14ac:dyDescent="0.25">
      <c r="A40" s="2">
        <v>37</v>
      </c>
      <c r="B40" s="4">
        <v>46074</v>
      </c>
      <c r="C40" s="2">
        <v>104</v>
      </c>
      <c r="D40" s="2" t="s">
        <v>35</v>
      </c>
      <c r="E40" s="2" t="s">
        <v>31</v>
      </c>
      <c r="F40" s="2" t="s">
        <v>44</v>
      </c>
      <c r="G40" s="2">
        <v>2.37</v>
      </c>
      <c r="H40" s="2">
        <v>11.7</v>
      </c>
      <c r="I40" s="2">
        <v>491.77</v>
      </c>
      <c r="J40" s="2" t="s">
        <v>64</v>
      </c>
    </row>
    <row r="41" spans="1:10" x14ac:dyDescent="0.25">
      <c r="A41" s="2">
        <v>38</v>
      </c>
      <c r="B41" s="4">
        <v>46076</v>
      </c>
      <c r="C41" s="2">
        <v>108</v>
      </c>
      <c r="D41" s="2" t="s">
        <v>35</v>
      </c>
      <c r="E41" s="2" t="s">
        <v>38</v>
      </c>
      <c r="F41" s="2" t="s">
        <v>37</v>
      </c>
      <c r="G41" s="2">
        <v>0.86</v>
      </c>
      <c r="H41" s="2">
        <v>8.4</v>
      </c>
      <c r="I41" s="2">
        <v>393.75</v>
      </c>
      <c r="J41" s="2" t="s">
        <v>64</v>
      </c>
    </row>
    <row r="42" spans="1:10" x14ac:dyDescent="0.25">
      <c r="A42" s="2">
        <v>39</v>
      </c>
      <c r="B42" s="4">
        <v>46077</v>
      </c>
      <c r="C42" s="2">
        <v>109</v>
      </c>
      <c r="D42" s="2" t="s">
        <v>30</v>
      </c>
      <c r="E42" s="2" t="s">
        <v>36</v>
      </c>
      <c r="F42" s="2" t="s">
        <v>37</v>
      </c>
      <c r="G42" s="2">
        <v>0.61</v>
      </c>
      <c r="H42" s="2">
        <v>12.2</v>
      </c>
      <c r="I42" s="2">
        <v>158.54</v>
      </c>
      <c r="J42" s="2" t="s">
        <v>64</v>
      </c>
    </row>
    <row r="43" spans="1:10" x14ac:dyDescent="0.25">
      <c r="A43" s="2">
        <v>40</v>
      </c>
      <c r="B43" s="4">
        <v>46077</v>
      </c>
      <c r="C43" s="2">
        <v>110</v>
      </c>
      <c r="D43" s="2" t="s">
        <v>35</v>
      </c>
      <c r="E43" s="2" t="s">
        <v>36</v>
      </c>
      <c r="F43" s="2" t="s">
        <v>37</v>
      </c>
      <c r="G43" s="2">
        <v>0</v>
      </c>
      <c r="H43" s="2">
        <v>4.9000000000000004</v>
      </c>
      <c r="I43" s="2">
        <v>213.04</v>
      </c>
      <c r="J43" s="2" t="s">
        <v>64</v>
      </c>
    </row>
    <row r="44" spans="1:10" x14ac:dyDescent="0.25">
      <c r="A44" s="2">
        <v>41</v>
      </c>
      <c r="B44" s="4">
        <v>46079</v>
      </c>
      <c r="C44" s="2">
        <v>114</v>
      </c>
      <c r="D44" s="2" t="s">
        <v>35</v>
      </c>
      <c r="E44" s="2" t="s">
        <v>38</v>
      </c>
      <c r="F44" s="2" t="s">
        <v>44</v>
      </c>
      <c r="G44" s="2">
        <v>1.73</v>
      </c>
      <c r="H44" s="2">
        <v>16.399999999999999</v>
      </c>
      <c r="I44" s="2">
        <v>414.14</v>
      </c>
      <c r="J44" s="2" t="s">
        <v>64</v>
      </c>
    </row>
    <row r="45" spans="1:10" x14ac:dyDescent="0.25">
      <c r="A45" s="2">
        <v>42</v>
      </c>
      <c r="B45" s="4">
        <v>46080</v>
      </c>
      <c r="C45" s="2">
        <v>116</v>
      </c>
      <c r="D45" s="2" t="s">
        <v>35</v>
      </c>
      <c r="E45" s="2" t="s">
        <v>31</v>
      </c>
      <c r="F45" s="2" t="s">
        <v>37</v>
      </c>
      <c r="G45" s="2">
        <v>4.5599999999999996</v>
      </c>
      <c r="H45" s="2">
        <v>10.7</v>
      </c>
      <c r="I45" s="2">
        <v>153.91999999999999</v>
      </c>
      <c r="J45" s="2" t="s">
        <v>64</v>
      </c>
    </row>
    <row r="46" spans="1:10" x14ac:dyDescent="0.25">
      <c r="A46" s="2">
        <v>43</v>
      </c>
      <c r="B46" s="4">
        <v>46082</v>
      </c>
      <c r="C46" s="2">
        <v>119</v>
      </c>
      <c r="D46" s="2" t="s">
        <v>30</v>
      </c>
      <c r="E46" s="2" t="s">
        <v>36</v>
      </c>
      <c r="F46" s="2" t="s">
        <v>44</v>
      </c>
      <c r="G46" s="2">
        <v>0.15</v>
      </c>
      <c r="H46" s="2">
        <v>8.1</v>
      </c>
      <c r="I46" s="2">
        <v>428.71</v>
      </c>
      <c r="J46" s="2" t="s">
        <v>64</v>
      </c>
    </row>
    <row r="47" spans="1:10" x14ac:dyDescent="0.25">
      <c r="A47" s="2">
        <v>44</v>
      </c>
      <c r="B47" s="4">
        <v>46086</v>
      </c>
      <c r="C47" s="2">
        <v>127</v>
      </c>
      <c r="D47" s="2" t="s">
        <v>30</v>
      </c>
      <c r="E47" s="2" t="s">
        <v>36</v>
      </c>
      <c r="F47" s="2" t="s">
        <v>37</v>
      </c>
      <c r="G47" s="2">
        <v>1.1299999999999999</v>
      </c>
      <c r="H47" s="2">
        <v>9.8000000000000007</v>
      </c>
      <c r="I47" s="2">
        <v>368.93</v>
      </c>
      <c r="J47" s="2" t="s">
        <v>64</v>
      </c>
    </row>
    <row r="48" spans="1:10" x14ac:dyDescent="0.25">
      <c r="A48" s="2">
        <v>45</v>
      </c>
      <c r="B48" s="4">
        <v>46088</v>
      </c>
      <c r="C48" s="2">
        <v>131</v>
      </c>
      <c r="D48" s="2" t="s">
        <v>30</v>
      </c>
      <c r="E48" s="2" t="s">
        <v>38</v>
      </c>
      <c r="F48" s="2" t="s">
        <v>37</v>
      </c>
      <c r="G48" s="2">
        <v>0</v>
      </c>
      <c r="H48" s="2">
        <v>10.3</v>
      </c>
      <c r="I48" s="2">
        <v>355.13</v>
      </c>
      <c r="J48" s="2" t="s">
        <v>65</v>
      </c>
    </row>
    <row r="49" spans="1:10" x14ac:dyDescent="0.25">
      <c r="A49" s="2">
        <v>46</v>
      </c>
      <c r="B49" s="4">
        <v>46090</v>
      </c>
      <c r="C49" s="2">
        <v>136</v>
      </c>
      <c r="D49" s="2" t="s">
        <v>35</v>
      </c>
      <c r="E49" s="2" t="s">
        <v>31</v>
      </c>
      <c r="F49" s="2" t="s">
        <v>44</v>
      </c>
      <c r="G49" s="2">
        <v>2.48</v>
      </c>
      <c r="H49" s="2">
        <v>4.4000000000000004</v>
      </c>
      <c r="I49" s="2">
        <v>778.25</v>
      </c>
      <c r="J49" s="2" t="s">
        <v>64</v>
      </c>
    </row>
    <row r="50" spans="1:10" x14ac:dyDescent="0.25">
      <c r="A50" s="2">
        <v>47</v>
      </c>
      <c r="B50" s="4">
        <v>46091</v>
      </c>
      <c r="C50" s="2">
        <v>137</v>
      </c>
      <c r="D50" s="2" t="s">
        <v>30</v>
      </c>
      <c r="E50" s="2" t="s">
        <v>36</v>
      </c>
      <c r="F50" s="2" t="s">
        <v>44</v>
      </c>
      <c r="G50" s="2">
        <v>3.36</v>
      </c>
      <c r="H50" s="2">
        <v>5.4</v>
      </c>
      <c r="I50" s="2">
        <v>1004.08</v>
      </c>
      <c r="J50" s="2" t="s">
        <v>64</v>
      </c>
    </row>
    <row r="51" spans="1:10" x14ac:dyDescent="0.25">
      <c r="A51" s="2">
        <v>48</v>
      </c>
      <c r="B51" s="4">
        <v>46092</v>
      </c>
      <c r="C51" s="2">
        <v>140</v>
      </c>
      <c r="D51" s="2" t="s">
        <v>35</v>
      </c>
      <c r="E51" s="2" t="s">
        <v>36</v>
      </c>
      <c r="F51" s="2" t="s">
        <v>44</v>
      </c>
      <c r="G51" s="2">
        <v>1.78</v>
      </c>
      <c r="H51" s="2">
        <v>11.6</v>
      </c>
      <c r="I51" s="2">
        <v>843.36</v>
      </c>
      <c r="J51" s="2" t="s">
        <v>64</v>
      </c>
    </row>
    <row r="52" spans="1:10" x14ac:dyDescent="0.25">
      <c r="A52" s="2">
        <v>49</v>
      </c>
      <c r="B52" s="4">
        <v>46094</v>
      </c>
      <c r="C52" s="2">
        <v>144</v>
      </c>
      <c r="D52" s="2" t="s">
        <v>35</v>
      </c>
      <c r="E52" s="2" t="s">
        <v>38</v>
      </c>
      <c r="F52" s="2" t="s">
        <v>44</v>
      </c>
      <c r="G52" s="2">
        <v>1.99</v>
      </c>
      <c r="H52" s="2">
        <v>17.600000000000001</v>
      </c>
      <c r="I52" s="2">
        <v>431.38</v>
      </c>
      <c r="J52" s="2" t="s">
        <v>64</v>
      </c>
    </row>
    <row r="53" spans="1:10" x14ac:dyDescent="0.25">
      <c r="A53" s="2">
        <v>50</v>
      </c>
      <c r="B53" s="4">
        <v>46095</v>
      </c>
      <c r="C53" s="2">
        <v>145</v>
      </c>
      <c r="D53" s="2" t="s">
        <v>30</v>
      </c>
      <c r="E53" s="2" t="s">
        <v>38</v>
      </c>
      <c r="F53" s="2" t="s">
        <v>47</v>
      </c>
      <c r="G53" s="2">
        <v>4.97</v>
      </c>
      <c r="H53" s="2">
        <v>7.3</v>
      </c>
      <c r="I53" s="2">
        <v>912.54</v>
      </c>
      <c r="J53" s="2" t="s">
        <v>65</v>
      </c>
    </row>
    <row r="54" spans="1:10" x14ac:dyDescent="0.25">
      <c r="A54" s="2">
        <v>51</v>
      </c>
      <c r="B54" s="4">
        <v>46096</v>
      </c>
      <c r="C54" s="2">
        <v>147</v>
      </c>
      <c r="D54" s="2" t="s">
        <v>30</v>
      </c>
      <c r="E54" s="2" t="s">
        <v>31</v>
      </c>
      <c r="F54" s="2" t="s">
        <v>44</v>
      </c>
      <c r="G54" s="2">
        <v>0.05</v>
      </c>
      <c r="H54" s="2">
        <v>3.5</v>
      </c>
      <c r="I54" s="2">
        <v>1079.05</v>
      </c>
      <c r="J54" s="2" t="s">
        <v>64</v>
      </c>
    </row>
    <row r="55" spans="1:10" x14ac:dyDescent="0.25">
      <c r="A55" s="2">
        <v>52</v>
      </c>
      <c r="B55" s="4">
        <v>46096</v>
      </c>
      <c r="C55" s="2">
        <v>148</v>
      </c>
      <c r="D55" s="2" t="s">
        <v>35</v>
      </c>
      <c r="E55" s="2" t="s">
        <v>38</v>
      </c>
      <c r="F55" s="2" t="s">
        <v>37</v>
      </c>
      <c r="G55" s="2">
        <v>2.2400000000000002</v>
      </c>
      <c r="H55" s="2">
        <v>12.6</v>
      </c>
      <c r="I55" s="2">
        <v>278.38</v>
      </c>
      <c r="J55" s="2" t="s">
        <v>64</v>
      </c>
    </row>
    <row r="56" spans="1:10" x14ac:dyDescent="0.25">
      <c r="A56" s="2">
        <v>53</v>
      </c>
      <c r="B56" s="4">
        <v>46097</v>
      </c>
      <c r="C56" s="2">
        <v>149</v>
      </c>
      <c r="D56" s="2" t="s">
        <v>30</v>
      </c>
      <c r="E56" s="2" t="s">
        <v>36</v>
      </c>
      <c r="F56" s="2" t="s">
        <v>44</v>
      </c>
      <c r="G56" s="2">
        <v>0.13</v>
      </c>
      <c r="H56" s="2">
        <v>2.2000000000000002</v>
      </c>
      <c r="I56" s="2">
        <v>598.79</v>
      </c>
      <c r="J56" s="2" t="s">
        <v>64</v>
      </c>
    </row>
    <row r="57" spans="1:10" x14ac:dyDescent="0.25">
      <c r="A57" s="2">
        <v>54</v>
      </c>
      <c r="B57" s="4">
        <v>46101</v>
      </c>
      <c r="C57" s="2">
        <v>157</v>
      </c>
      <c r="D57" s="2" t="s">
        <v>30</v>
      </c>
      <c r="E57" s="2" t="s">
        <v>36</v>
      </c>
      <c r="F57" s="2" t="s">
        <v>37</v>
      </c>
      <c r="G57" s="2">
        <v>2.48</v>
      </c>
      <c r="H57" s="2">
        <v>2.4</v>
      </c>
      <c r="I57" s="2">
        <v>287.44</v>
      </c>
      <c r="J57" s="2" t="s">
        <v>64</v>
      </c>
    </row>
    <row r="58" spans="1:10" x14ac:dyDescent="0.25">
      <c r="A58" s="2">
        <v>55</v>
      </c>
      <c r="B58" s="4">
        <v>46101</v>
      </c>
      <c r="C58" s="2">
        <v>158</v>
      </c>
      <c r="D58" s="2" t="s">
        <v>35</v>
      </c>
      <c r="E58" s="2" t="s">
        <v>38</v>
      </c>
      <c r="F58" s="2" t="s">
        <v>44</v>
      </c>
      <c r="G58" s="2">
        <v>1.22</v>
      </c>
      <c r="H58" s="2">
        <v>9</v>
      </c>
      <c r="I58" s="2">
        <v>863.31</v>
      </c>
      <c r="J58" s="2" t="s">
        <v>64</v>
      </c>
    </row>
    <row r="59" spans="1:10" x14ac:dyDescent="0.25">
      <c r="A59" s="2">
        <v>56</v>
      </c>
      <c r="B59" s="4">
        <v>46105</v>
      </c>
      <c r="C59" s="2">
        <v>165</v>
      </c>
      <c r="D59" s="2" t="s">
        <v>30</v>
      </c>
      <c r="E59" s="2" t="s">
        <v>38</v>
      </c>
      <c r="F59" s="2" t="s">
        <v>44</v>
      </c>
      <c r="G59" s="2">
        <v>1.1000000000000001</v>
      </c>
      <c r="H59" s="2">
        <v>7.9</v>
      </c>
      <c r="I59" s="2">
        <v>746.11</v>
      </c>
      <c r="J59" s="2" t="s">
        <v>64</v>
      </c>
    </row>
    <row r="60" spans="1:10" x14ac:dyDescent="0.25">
      <c r="A60" s="2">
        <v>57</v>
      </c>
      <c r="B60" s="4">
        <v>46108</v>
      </c>
      <c r="C60" s="2">
        <v>171</v>
      </c>
      <c r="D60" s="2" t="s">
        <v>30</v>
      </c>
      <c r="E60" s="2" t="s">
        <v>36</v>
      </c>
      <c r="F60" s="2" t="s">
        <v>47</v>
      </c>
      <c r="G60" s="2">
        <v>0.97</v>
      </c>
      <c r="H60" s="2">
        <v>8</v>
      </c>
      <c r="I60" s="2">
        <v>1581.73</v>
      </c>
      <c r="J60" s="2" t="s">
        <v>64</v>
      </c>
    </row>
    <row r="61" spans="1:10" x14ac:dyDescent="0.25">
      <c r="A61" s="2">
        <v>58</v>
      </c>
      <c r="B61" s="4">
        <v>46112</v>
      </c>
      <c r="C61" s="2">
        <v>179</v>
      </c>
      <c r="D61" s="2" t="s">
        <v>30</v>
      </c>
      <c r="E61" s="2" t="s">
        <v>36</v>
      </c>
      <c r="F61" s="2" t="s">
        <v>37</v>
      </c>
      <c r="G61" s="2">
        <v>0.9</v>
      </c>
      <c r="H61" s="2">
        <v>15.2</v>
      </c>
      <c r="I61" s="2">
        <v>165.16</v>
      </c>
      <c r="J61" s="2" t="s">
        <v>64</v>
      </c>
    </row>
    <row r="62" spans="1:10" x14ac:dyDescent="0.25">
      <c r="A62" s="2">
        <v>59</v>
      </c>
      <c r="B62" s="4">
        <v>46113</v>
      </c>
      <c r="C62" s="2">
        <v>182</v>
      </c>
      <c r="D62" s="2" t="s">
        <v>35</v>
      </c>
      <c r="E62" s="2" t="s">
        <v>38</v>
      </c>
      <c r="F62" s="2" t="s">
        <v>44</v>
      </c>
      <c r="G62" s="2">
        <v>1.66</v>
      </c>
      <c r="H62" s="2">
        <v>14.4</v>
      </c>
      <c r="I62" s="2">
        <v>1011.66</v>
      </c>
      <c r="J62" s="2" t="s">
        <v>64</v>
      </c>
    </row>
    <row r="63" spans="1:10" x14ac:dyDescent="0.25">
      <c r="A63" s="2">
        <v>60</v>
      </c>
      <c r="B63" s="4">
        <v>46114</v>
      </c>
      <c r="C63" s="2">
        <v>183</v>
      </c>
      <c r="D63" s="2" t="s">
        <v>30</v>
      </c>
      <c r="E63" s="2" t="s">
        <v>31</v>
      </c>
      <c r="F63" s="2" t="s">
        <v>44</v>
      </c>
      <c r="G63" s="2">
        <v>0.74</v>
      </c>
      <c r="H63" s="2">
        <v>7</v>
      </c>
      <c r="I63" s="2">
        <v>839.7</v>
      </c>
      <c r="J63" s="2" t="s">
        <v>64</v>
      </c>
    </row>
    <row r="64" spans="1:10" x14ac:dyDescent="0.25">
      <c r="A64" s="2">
        <v>61</v>
      </c>
      <c r="B64" s="4">
        <v>46115</v>
      </c>
      <c r="C64" s="2">
        <v>186</v>
      </c>
      <c r="D64" s="2" t="s">
        <v>35</v>
      </c>
      <c r="E64" s="2" t="s">
        <v>31</v>
      </c>
      <c r="F64" s="2" t="s">
        <v>44</v>
      </c>
      <c r="G64" s="2">
        <v>1.98</v>
      </c>
      <c r="H64" s="2">
        <v>2.5</v>
      </c>
      <c r="I64" s="2">
        <v>510.41</v>
      </c>
      <c r="J64" s="2" t="s">
        <v>64</v>
      </c>
    </row>
    <row r="65" spans="1:10" x14ac:dyDescent="0.25">
      <c r="A65" s="2">
        <v>62</v>
      </c>
      <c r="B65" s="4">
        <v>46117</v>
      </c>
      <c r="C65" s="2">
        <v>190</v>
      </c>
      <c r="D65" s="2" t="s">
        <v>35</v>
      </c>
      <c r="E65" s="2" t="s">
        <v>31</v>
      </c>
      <c r="F65" s="2" t="s">
        <v>44</v>
      </c>
      <c r="G65" s="2">
        <v>2.73</v>
      </c>
      <c r="H65" s="2">
        <v>8.4</v>
      </c>
      <c r="I65" s="2">
        <v>998.86</v>
      </c>
      <c r="J65" s="2" t="s">
        <v>64</v>
      </c>
    </row>
    <row r="66" spans="1:10" x14ac:dyDescent="0.25">
      <c r="A66" s="2">
        <v>63</v>
      </c>
      <c r="B66" s="4">
        <v>46119</v>
      </c>
      <c r="C66" s="2">
        <v>194</v>
      </c>
      <c r="D66" s="2" t="s">
        <v>35</v>
      </c>
      <c r="E66" s="2" t="s">
        <v>36</v>
      </c>
      <c r="F66" s="2" t="s">
        <v>47</v>
      </c>
      <c r="G66" s="2">
        <v>0</v>
      </c>
      <c r="H66" s="2">
        <v>6.9</v>
      </c>
      <c r="I66" s="2">
        <v>1756.92</v>
      </c>
      <c r="J66" s="2" t="s">
        <v>65</v>
      </c>
    </row>
    <row r="67" spans="1:10" x14ac:dyDescent="0.25">
      <c r="A67" s="2">
        <v>64</v>
      </c>
      <c r="B67" s="4">
        <v>46121</v>
      </c>
      <c r="C67" s="2">
        <v>198</v>
      </c>
      <c r="D67" s="2" t="s">
        <v>35</v>
      </c>
      <c r="E67" s="2" t="s">
        <v>38</v>
      </c>
      <c r="F67" s="2" t="s">
        <v>44</v>
      </c>
      <c r="G67" s="2">
        <v>2.15</v>
      </c>
      <c r="H67" s="2">
        <v>9.6</v>
      </c>
      <c r="I67" s="2">
        <v>981.65</v>
      </c>
      <c r="J67" s="2" t="s">
        <v>64</v>
      </c>
    </row>
    <row r="68" spans="1:10" x14ac:dyDescent="0.25">
      <c r="A68" s="2">
        <v>65</v>
      </c>
      <c r="B68" s="4">
        <v>46123</v>
      </c>
      <c r="C68" s="2">
        <v>201</v>
      </c>
      <c r="D68" s="2" t="s">
        <v>30</v>
      </c>
      <c r="E68" s="2" t="s">
        <v>31</v>
      </c>
      <c r="F68" s="2" t="s">
        <v>44</v>
      </c>
      <c r="G68" s="2">
        <v>1.33</v>
      </c>
      <c r="H68" s="2">
        <v>13.7</v>
      </c>
      <c r="I68" s="2">
        <v>521.6</v>
      </c>
      <c r="J68" s="2" t="s">
        <v>64</v>
      </c>
    </row>
    <row r="69" spans="1:10" x14ac:dyDescent="0.25">
      <c r="A69" s="2">
        <v>66</v>
      </c>
      <c r="B69" s="4">
        <v>46125</v>
      </c>
      <c r="C69" s="2">
        <v>206</v>
      </c>
      <c r="D69" s="2" t="s">
        <v>35</v>
      </c>
      <c r="E69" s="2" t="s">
        <v>38</v>
      </c>
      <c r="F69" s="2" t="s">
        <v>37</v>
      </c>
      <c r="G69" s="2">
        <v>1.68</v>
      </c>
      <c r="H69" s="2">
        <v>14.3</v>
      </c>
      <c r="I69" s="2">
        <v>200.55</v>
      </c>
      <c r="J69" s="2" t="s">
        <v>64</v>
      </c>
    </row>
    <row r="70" spans="1:10" x14ac:dyDescent="0.25">
      <c r="A70" s="2">
        <v>67</v>
      </c>
      <c r="B70" s="4">
        <v>46126</v>
      </c>
      <c r="C70" s="2">
        <v>207</v>
      </c>
      <c r="D70" s="2" t="s">
        <v>30</v>
      </c>
      <c r="E70" s="2" t="s">
        <v>38</v>
      </c>
      <c r="F70" s="2" t="s">
        <v>47</v>
      </c>
      <c r="G70" s="2">
        <v>2.11</v>
      </c>
      <c r="H70" s="2">
        <v>15.8</v>
      </c>
      <c r="I70" s="2">
        <v>2045.88</v>
      </c>
      <c r="J70" s="2" t="s">
        <v>64</v>
      </c>
    </row>
    <row r="71" spans="1:10" x14ac:dyDescent="0.25">
      <c r="A71" s="2">
        <v>68</v>
      </c>
      <c r="B71" s="4">
        <v>46130</v>
      </c>
      <c r="C71" s="2">
        <v>216</v>
      </c>
      <c r="D71" s="2" t="s">
        <v>35</v>
      </c>
      <c r="E71" s="2" t="s">
        <v>31</v>
      </c>
      <c r="F71" s="2" t="s">
        <v>44</v>
      </c>
      <c r="G71" s="2">
        <v>1.07</v>
      </c>
      <c r="H71" s="2">
        <v>14.5</v>
      </c>
      <c r="I71" s="2">
        <v>420.19</v>
      </c>
      <c r="J71" s="2" t="s">
        <v>64</v>
      </c>
    </row>
    <row r="72" spans="1:10" x14ac:dyDescent="0.25">
      <c r="A72" s="2">
        <v>69</v>
      </c>
      <c r="B72" s="4">
        <v>46132</v>
      </c>
      <c r="C72" s="2">
        <v>220</v>
      </c>
      <c r="D72" s="2" t="s">
        <v>35</v>
      </c>
      <c r="E72" s="2" t="s">
        <v>38</v>
      </c>
      <c r="F72" s="2" t="s">
        <v>37</v>
      </c>
      <c r="G72" s="2">
        <v>2.46</v>
      </c>
      <c r="H72" s="2">
        <v>16.5</v>
      </c>
      <c r="I72" s="2">
        <v>192.77</v>
      </c>
      <c r="J72" s="2" t="s">
        <v>64</v>
      </c>
    </row>
    <row r="73" spans="1:10" x14ac:dyDescent="0.25">
      <c r="A73" s="2">
        <v>70</v>
      </c>
      <c r="B73" s="4">
        <v>46135</v>
      </c>
      <c r="C73" s="2">
        <v>225</v>
      </c>
      <c r="D73" s="2" t="s">
        <v>30</v>
      </c>
      <c r="E73" s="2" t="s">
        <v>36</v>
      </c>
      <c r="F73" s="2" t="s">
        <v>44</v>
      </c>
      <c r="G73" s="2">
        <v>1.56</v>
      </c>
      <c r="H73" s="2">
        <v>10.6</v>
      </c>
      <c r="I73" s="2">
        <v>478.77</v>
      </c>
      <c r="J73" s="2" t="s">
        <v>64</v>
      </c>
    </row>
    <row r="74" spans="1:10" x14ac:dyDescent="0.25">
      <c r="A74" s="2">
        <v>71</v>
      </c>
      <c r="B74" s="4">
        <v>46137</v>
      </c>
      <c r="C74" s="2">
        <v>230</v>
      </c>
      <c r="D74" s="2" t="s">
        <v>35</v>
      </c>
      <c r="E74" s="2" t="s">
        <v>38</v>
      </c>
      <c r="F74" s="2" t="s">
        <v>44</v>
      </c>
      <c r="G74" s="2">
        <v>0.2</v>
      </c>
      <c r="H74" s="2">
        <v>10.199999999999999</v>
      </c>
      <c r="I74" s="2">
        <v>966.97</v>
      </c>
      <c r="J74" s="2" t="s">
        <v>64</v>
      </c>
    </row>
    <row r="75" spans="1:10" x14ac:dyDescent="0.25">
      <c r="A75" s="2">
        <v>72</v>
      </c>
      <c r="B75" s="4">
        <v>46138</v>
      </c>
      <c r="C75" s="2">
        <v>231</v>
      </c>
      <c r="D75" s="2" t="s">
        <v>30</v>
      </c>
      <c r="E75" s="2" t="s">
        <v>36</v>
      </c>
      <c r="F75" s="2" t="s">
        <v>44</v>
      </c>
      <c r="G75" s="2">
        <v>1.57</v>
      </c>
      <c r="H75" s="2">
        <v>4.0999999999999996</v>
      </c>
      <c r="I75" s="2">
        <v>535.05999999999995</v>
      </c>
      <c r="J75" s="2" t="s">
        <v>64</v>
      </c>
    </row>
    <row r="76" spans="1:10" x14ac:dyDescent="0.25">
      <c r="A76" s="2">
        <v>73</v>
      </c>
      <c r="B76" s="4">
        <v>46139</v>
      </c>
      <c r="C76" s="2">
        <v>233</v>
      </c>
      <c r="D76" s="2" t="s">
        <v>30</v>
      </c>
      <c r="E76" s="2" t="s">
        <v>36</v>
      </c>
      <c r="F76" s="2" t="s">
        <v>44</v>
      </c>
      <c r="G76" s="2">
        <v>2.2400000000000002</v>
      </c>
      <c r="H76" s="2">
        <v>11.3</v>
      </c>
      <c r="I76" s="2">
        <v>892.1</v>
      </c>
      <c r="J76" s="2" t="s">
        <v>64</v>
      </c>
    </row>
    <row r="77" spans="1:10" x14ac:dyDescent="0.25">
      <c r="A77" s="2">
        <v>74</v>
      </c>
      <c r="B77" s="4">
        <v>46139</v>
      </c>
      <c r="C77" s="2">
        <v>234</v>
      </c>
      <c r="D77" s="2" t="s">
        <v>35</v>
      </c>
      <c r="E77" s="2" t="s">
        <v>38</v>
      </c>
      <c r="F77" s="2" t="s">
        <v>44</v>
      </c>
      <c r="G77" s="2">
        <v>0</v>
      </c>
      <c r="H77" s="2">
        <v>15.6</v>
      </c>
      <c r="I77" s="2">
        <v>420.11</v>
      </c>
      <c r="J77" s="2" t="s">
        <v>64</v>
      </c>
    </row>
    <row r="78" spans="1:10" x14ac:dyDescent="0.25">
      <c r="A78" s="2">
        <v>75</v>
      </c>
      <c r="B78" s="4">
        <v>46141</v>
      </c>
      <c r="C78" s="2">
        <v>237</v>
      </c>
      <c r="D78" s="2" t="s">
        <v>30</v>
      </c>
      <c r="E78" s="2" t="s">
        <v>38</v>
      </c>
      <c r="F78" s="2" t="s">
        <v>37</v>
      </c>
      <c r="G78" s="2">
        <v>1.99</v>
      </c>
      <c r="H78" s="2">
        <v>14.7</v>
      </c>
      <c r="I78" s="2">
        <v>210.82</v>
      </c>
      <c r="J78" s="2" t="s">
        <v>64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B18"/>
  <sheetViews>
    <sheetView workbookViewId="0"/>
  </sheetViews>
  <sheetFormatPr defaultRowHeight="15" x14ac:dyDescent="0.25"/>
  <cols>
    <col min="1" max="2" width="19" customWidth="1"/>
  </cols>
  <sheetData>
    <row r="1" spans="1:2" ht="23.25" x14ac:dyDescent="0.25">
      <c r="A1" s="1" t="s">
        <v>66</v>
      </c>
      <c r="B1" s="2"/>
    </row>
    <row r="2" spans="1:2" x14ac:dyDescent="0.25">
      <c r="A2" s="2"/>
      <c r="B2" s="2"/>
    </row>
    <row r="3" spans="1:2" x14ac:dyDescent="0.25">
      <c r="A3" s="3" t="s">
        <v>67</v>
      </c>
      <c r="B3" s="2" t="s">
        <v>68</v>
      </c>
    </row>
    <row r="4" spans="1:2" x14ac:dyDescent="0.25">
      <c r="A4" s="3" t="s">
        <v>69</v>
      </c>
      <c r="B4" s="2" t="s">
        <v>70</v>
      </c>
    </row>
    <row r="5" spans="1:2" x14ac:dyDescent="0.25">
      <c r="A5" s="3" t="s">
        <v>71</v>
      </c>
      <c r="B5" s="2" t="s">
        <v>72</v>
      </c>
    </row>
    <row r="6" spans="1:2" x14ac:dyDescent="0.25">
      <c r="A6" s="3" t="s">
        <v>73</v>
      </c>
      <c r="B6" s="2" t="s">
        <v>74</v>
      </c>
    </row>
    <row r="7" spans="1:2" x14ac:dyDescent="0.25">
      <c r="A7" s="3" t="s">
        <v>75</v>
      </c>
      <c r="B7" s="2" t="s">
        <v>76</v>
      </c>
    </row>
    <row r="8" spans="1:2" x14ac:dyDescent="0.25">
      <c r="A8" s="3" t="s">
        <v>77</v>
      </c>
      <c r="B8" s="2" t="s">
        <v>78</v>
      </c>
    </row>
    <row r="9" spans="1:2" x14ac:dyDescent="0.25">
      <c r="A9" s="3" t="s">
        <v>79</v>
      </c>
      <c r="B9" s="2" t="s">
        <v>80</v>
      </c>
    </row>
    <row r="10" spans="1:2" x14ac:dyDescent="0.25">
      <c r="A10" s="3" t="s">
        <v>81</v>
      </c>
      <c r="B10" s="2" t="s">
        <v>82</v>
      </c>
    </row>
    <row r="11" spans="1:2" x14ac:dyDescent="0.25">
      <c r="A11" s="3" t="s">
        <v>83</v>
      </c>
      <c r="B11" s="2" t="s">
        <v>84</v>
      </c>
    </row>
    <row r="12" spans="1:2" x14ac:dyDescent="0.25">
      <c r="A12" s="3" t="s">
        <v>85</v>
      </c>
      <c r="B12" s="2" t="s">
        <v>86</v>
      </c>
    </row>
    <row r="13" spans="1:2" x14ac:dyDescent="0.25">
      <c r="A13" s="3" t="s">
        <v>87</v>
      </c>
      <c r="B13" s="2" t="s">
        <v>88</v>
      </c>
    </row>
    <row r="14" spans="1:2" x14ac:dyDescent="0.25">
      <c r="A14" s="3" t="s">
        <v>89</v>
      </c>
      <c r="B14" s="2" t="s">
        <v>90</v>
      </c>
    </row>
    <row r="15" spans="1:2" x14ac:dyDescent="0.25">
      <c r="A15" s="3" t="s">
        <v>91</v>
      </c>
      <c r="B15" s="2" t="s">
        <v>92</v>
      </c>
    </row>
    <row r="16" spans="1:2" x14ac:dyDescent="0.25">
      <c r="A16" s="3" t="s">
        <v>93</v>
      </c>
      <c r="B16" s="2" t="s">
        <v>94</v>
      </c>
    </row>
    <row r="17" spans="1:2" x14ac:dyDescent="0.25">
      <c r="A17" s="3" t="s">
        <v>95</v>
      </c>
      <c r="B17" s="2" t="s">
        <v>96</v>
      </c>
    </row>
    <row r="18" spans="1:2" x14ac:dyDescent="0.25">
      <c r="A18" s="3" t="s">
        <v>97</v>
      </c>
      <c r="B18" s="2" t="s">
        <v>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B18"/>
  <sheetViews>
    <sheetView topLeftCell="A2" workbookViewId="0">
      <selection activeCell="A7" sqref="A7"/>
    </sheetView>
  </sheetViews>
  <sheetFormatPr defaultRowHeight="15" x14ac:dyDescent="0.25"/>
  <cols>
    <col min="1" max="1" width="65.5703125" bestFit="1" customWidth="1"/>
    <col min="2" max="2" width="19" customWidth="1"/>
  </cols>
  <sheetData>
    <row r="1" spans="1:2" ht="23.25" x14ac:dyDescent="0.25">
      <c r="A1" s="1" t="s">
        <v>99</v>
      </c>
      <c r="B1" s="2"/>
    </row>
    <row r="2" spans="1:2" ht="15" customHeight="1" x14ac:dyDescent="0.25">
      <c r="A2" s="14" t="s">
        <v>132</v>
      </c>
      <c r="B2" s="15"/>
    </row>
    <row r="3" spans="1:2" ht="15" customHeight="1" x14ac:dyDescent="0.25">
      <c r="A3" s="16"/>
      <c r="B3" s="17"/>
    </row>
    <row r="4" spans="1:2" x14ac:dyDescent="0.25">
      <c r="A4" s="18" t="s">
        <v>100</v>
      </c>
      <c r="B4" s="19">
        <f>SUM(PharmaProduction[Planned_Units])</f>
        <v>2524087</v>
      </c>
    </row>
    <row r="5" spans="1:2" x14ac:dyDescent="0.25">
      <c r="A5" s="18" t="s">
        <v>101</v>
      </c>
      <c r="B5" s="19">
        <f>SUM(PharmaProduction[Actual_Units])</f>
        <v>1898179.8000000012</v>
      </c>
    </row>
    <row r="6" spans="1:2" x14ac:dyDescent="0.25">
      <c r="A6" s="18" t="s">
        <v>102</v>
      </c>
      <c r="B6" s="19">
        <f>SUM(PharmaProduction[Good_Units])</f>
        <v>1870868.7</v>
      </c>
    </row>
    <row r="7" spans="1:2" x14ac:dyDescent="0.25">
      <c r="A7" s="18" t="s">
        <v>103</v>
      </c>
      <c r="B7" s="19">
        <f>SUM(PharmaProduction[Rejected_Units])</f>
        <v>27311.200000000001</v>
      </c>
    </row>
    <row r="8" spans="1:2" x14ac:dyDescent="0.25">
      <c r="A8" s="18" t="s">
        <v>104</v>
      </c>
      <c r="B8" s="20">
        <f>AVERAGE(PharmaProduction[Achievement_%])</f>
        <v>0.75134130679262434</v>
      </c>
    </row>
    <row r="9" spans="1:2" x14ac:dyDescent="0.25">
      <c r="A9" s="18" t="s">
        <v>105</v>
      </c>
      <c r="B9" s="20">
        <f>AVERAGE(PharmaProduction[OEE_%])</f>
        <v>0.74049367702641833</v>
      </c>
    </row>
    <row r="10" spans="1:2" x14ac:dyDescent="0.25">
      <c r="A10" s="18" t="s">
        <v>106</v>
      </c>
      <c r="B10" s="20">
        <f>AVERAGE(PharmaProduction[Availability_%])</f>
        <v>0.78734895833333352</v>
      </c>
    </row>
    <row r="11" spans="1:2" x14ac:dyDescent="0.25">
      <c r="A11" s="18" t="s">
        <v>107</v>
      </c>
      <c r="B11" s="20">
        <f>AVERAGE(PharmaProduction[Performance_%])</f>
        <v>0.97903694293231602</v>
      </c>
    </row>
    <row r="12" spans="1:2" x14ac:dyDescent="0.25">
      <c r="A12" s="18" t="s">
        <v>108</v>
      </c>
      <c r="B12" s="20">
        <f>AVERAGE(PharmaProduction[Quality_%])</f>
        <v>0.9855415003603063</v>
      </c>
    </row>
    <row r="13" spans="1:2" x14ac:dyDescent="0.25">
      <c r="A13" s="18" t="s">
        <v>109</v>
      </c>
      <c r="B13" s="21">
        <f>SUM(PharmaProduction[Downtime_hr])</f>
        <v>408.29000000000019</v>
      </c>
    </row>
    <row r="14" spans="1:2" x14ac:dyDescent="0.25">
      <c r="A14" s="18" t="s">
        <v>110</v>
      </c>
      <c r="B14" s="22">
        <f>SUM(PharmaMaintenance[Maintenance_Cost_USD])</f>
        <v>51963.15</v>
      </c>
    </row>
    <row r="15" spans="1:2" x14ac:dyDescent="0.25">
      <c r="A15" s="18" t="s">
        <v>111</v>
      </c>
      <c r="B15" s="20">
        <f>AVERAGE(PharmaProduction[Reject_Rate_%])</f>
        <v>1.4458514331988562E-2</v>
      </c>
    </row>
    <row r="16" spans="1:2" x14ac:dyDescent="0.25">
      <c r="A16" s="18" t="s">
        <v>112</v>
      </c>
      <c r="B16" s="20">
        <f>AVERAGE(PharmaProduction[Yield_%])</f>
        <v>0.74049367702641833</v>
      </c>
    </row>
    <row r="17" spans="1:2" x14ac:dyDescent="0.25">
      <c r="A17" s="18" t="s">
        <v>113</v>
      </c>
      <c r="B17" s="23">
        <f>COUNTA(DeviationLog[Deviation_ID])</f>
        <v>59</v>
      </c>
    </row>
    <row r="18" spans="1:2" x14ac:dyDescent="0.25">
      <c r="A18" s="24"/>
      <c r="B18" s="25"/>
    </row>
  </sheetData>
  <mergeCells count="1">
    <mergeCell ref="A2:B3"/>
  </mergeCells>
  <conditionalFormatting sqref="A4:B18">
    <cfRule type="expression" dxfId="0" priority="1">
      <formula>ROW()=CELL("row")</formula>
    </cfRule>
  </conditionalFormatting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12"/>
  <sheetViews>
    <sheetView workbookViewId="0">
      <selection activeCell="G15" sqref="G15"/>
    </sheetView>
  </sheetViews>
  <sheetFormatPr defaultRowHeight="15" x14ac:dyDescent="0.25"/>
  <cols>
    <col min="1" max="1" width="19.5703125" bestFit="1" customWidth="1"/>
    <col min="2" max="2" width="8.5703125" customWidth="1"/>
    <col min="3" max="3" width="21" customWidth="1"/>
    <col min="4" max="4" width="21.85546875" customWidth="1"/>
    <col min="5" max="5" width="27.5703125" customWidth="1"/>
    <col min="6" max="6" width="28" customWidth="1"/>
    <col min="7" max="7" width="26.28515625" customWidth="1"/>
    <col min="8" max="8" width="29.42578125" bestFit="1" customWidth="1"/>
    <col min="9" max="11" width="5.5703125" bestFit="1" customWidth="1"/>
    <col min="12" max="33" width="6.5703125" bestFit="1" customWidth="1"/>
    <col min="34" max="42" width="6" bestFit="1" customWidth="1"/>
    <col min="43" max="61" width="7" bestFit="1" customWidth="1"/>
    <col min="62" max="70" width="6.28515625" bestFit="1" customWidth="1"/>
    <col min="71" max="92" width="7.28515625" bestFit="1" customWidth="1"/>
    <col min="93" max="101" width="5.85546875" bestFit="1" customWidth="1"/>
    <col min="102" max="122" width="6.85546875" bestFit="1" customWidth="1"/>
    <col min="123" max="123" width="11.28515625" bestFit="1" customWidth="1"/>
    <col min="124" max="241" width="16.28515625" bestFit="1" customWidth="1"/>
    <col min="242" max="242" width="11.28515625" bestFit="1" customWidth="1"/>
  </cols>
  <sheetData>
    <row r="1" spans="1:7" x14ac:dyDescent="0.25">
      <c r="A1" s="28" t="s">
        <v>114</v>
      </c>
      <c r="B1" s="13" t="s">
        <v>115</v>
      </c>
      <c r="C1" s="13" t="s">
        <v>134</v>
      </c>
      <c r="D1" s="13" t="s">
        <v>137</v>
      </c>
      <c r="E1" s="13" t="s">
        <v>135</v>
      </c>
      <c r="F1" s="13" t="s">
        <v>140</v>
      </c>
      <c r="G1" s="13" t="s">
        <v>138</v>
      </c>
    </row>
    <row r="2" spans="1:7" x14ac:dyDescent="0.25">
      <c r="A2" s="13" t="s">
        <v>30</v>
      </c>
      <c r="B2" s="30">
        <v>0.75257140503013231</v>
      </c>
      <c r="C2" s="29">
        <v>963404.39999999967</v>
      </c>
      <c r="D2" s="31">
        <v>186.81000000000012</v>
      </c>
      <c r="E2" s="30">
        <v>0.76288758811661939</v>
      </c>
      <c r="F2" s="48">
        <v>0.51895784605007667</v>
      </c>
      <c r="G2" s="30">
        <v>1.3602220319793631E-2</v>
      </c>
    </row>
    <row r="3" spans="1:7" x14ac:dyDescent="0.25">
      <c r="A3" s="13" t="s">
        <v>35</v>
      </c>
      <c r="B3" s="30">
        <v>0.72841594902270368</v>
      </c>
      <c r="C3" s="29">
        <v>934775.39999999967</v>
      </c>
      <c r="D3" s="31">
        <v>221.48</v>
      </c>
      <c r="E3" s="30">
        <v>0.73979502546862941</v>
      </c>
      <c r="F3" s="48">
        <v>0.52056930533776158</v>
      </c>
      <c r="G3" s="30">
        <v>1.5314808344183499E-2</v>
      </c>
    </row>
    <row r="4" spans="1:7" x14ac:dyDescent="0.25">
      <c r="A4" s="13" t="s">
        <v>133</v>
      </c>
      <c r="B4" s="30">
        <v>0.74049367702641811</v>
      </c>
      <c r="C4" s="29">
        <v>1898179.800000001</v>
      </c>
      <c r="D4" s="31">
        <v>408.29000000000008</v>
      </c>
      <c r="E4" s="30">
        <v>0.75134130679262467</v>
      </c>
      <c r="F4" s="48">
        <v>0.51976357569391918</v>
      </c>
      <c r="G4" s="30">
        <v>1.4458514331988564E-2</v>
      </c>
    </row>
    <row r="9" spans="1:7" x14ac:dyDescent="0.25">
      <c r="A9" t="s">
        <v>114</v>
      </c>
      <c r="B9" t="s">
        <v>115</v>
      </c>
      <c r="C9" t="s">
        <v>134</v>
      </c>
      <c r="D9" t="s">
        <v>137</v>
      </c>
      <c r="E9" t="s">
        <v>135</v>
      </c>
      <c r="F9" t="s">
        <v>140</v>
      </c>
      <c r="G9" t="s">
        <v>138</v>
      </c>
    </row>
    <row r="10" spans="1:7" x14ac:dyDescent="0.25">
      <c r="A10" t="s">
        <v>30</v>
      </c>
      <c r="B10" s="26">
        <v>0.75257140503013231</v>
      </c>
      <c r="C10" s="27">
        <v>963404.39999999967</v>
      </c>
      <c r="D10">
        <v>186.81000000000012</v>
      </c>
      <c r="E10" s="26">
        <v>0.76288758811661939</v>
      </c>
      <c r="F10" s="47">
        <v>0.51895784605007667</v>
      </c>
      <c r="G10" s="26">
        <v>1.3602220319793631E-2</v>
      </c>
    </row>
    <row r="11" spans="1:7" x14ac:dyDescent="0.25">
      <c r="A11" t="s">
        <v>35</v>
      </c>
      <c r="B11" s="26">
        <v>0.72841594902270368</v>
      </c>
      <c r="C11" s="27">
        <v>934775.39999999967</v>
      </c>
      <c r="D11">
        <v>221.48</v>
      </c>
      <c r="E11" s="26">
        <v>0.73979502546862941</v>
      </c>
      <c r="F11" s="47">
        <v>0.52056930533776158</v>
      </c>
      <c r="G11" s="26">
        <v>1.5314808344183499E-2</v>
      </c>
    </row>
    <row r="12" spans="1:7" x14ac:dyDescent="0.25">
      <c r="B12" s="26"/>
      <c r="C12" s="27"/>
      <c r="E12" s="26"/>
      <c r="F12" s="47"/>
      <c r="G12" s="26"/>
    </row>
  </sheetData>
  <pageMargins left="0.75" right="0.75" top="1" bottom="1" header="0.5" footer="0.5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F7"/>
  <sheetViews>
    <sheetView workbookViewId="0">
      <selection sqref="A1:F5"/>
    </sheetView>
  </sheetViews>
  <sheetFormatPr defaultRowHeight="15" x14ac:dyDescent="0.25"/>
  <cols>
    <col min="1" max="1" width="11.28515625" bestFit="1" customWidth="1"/>
    <col min="2" max="2" width="11.7109375" bestFit="1" customWidth="1"/>
    <col min="3" max="3" width="26" bestFit="1" customWidth="1"/>
    <col min="4" max="4" width="17.28515625" bestFit="1" customWidth="1"/>
    <col min="5" max="5" width="12.5703125" bestFit="1" customWidth="1"/>
    <col min="6" max="6" width="24.5703125" bestFit="1" customWidth="1"/>
  </cols>
  <sheetData>
    <row r="1" spans="1:6" x14ac:dyDescent="0.25">
      <c r="A1" s="37" t="s">
        <v>6</v>
      </c>
      <c r="B1" s="33" t="s">
        <v>101</v>
      </c>
      <c r="C1" s="33" t="s">
        <v>135</v>
      </c>
      <c r="D1" s="33" t="s">
        <v>136</v>
      </c>
      <c r="E1" s="33" t="s">
        <v>116</v>
      </c>
      <c r="F1" s="33" t="s">
        <v>138</v>
      </c>
    </row>
    <row r="2" spans="1:6" x14ac:dyDescent="0.25">
      <c r="A2" s="32" t="s">
        <v>32</v>
      </c>
      <c r="B2" s="34">
        <v>727532.49999999977</v>
      </c>
      <c r="C2" s="35">
        <v>0.74644142927212764</v>
      </c>
      <c r="D2" s="35">
        <v>0.73676094373730161</v>
      </c>
      <c r="E2" s="36">
        <v>164.62</v>
      </c>
      <c r="F2" s="35">
        <v>1.2951156827413246E-2</v>
      </c>
    </row>
    <row r="3" spans="1:6" x14ac:dyDescent="0.25">
      <c r="A3" s="32" t="s">
        <v>39</v>
      </c>
      <c r="B3" s="34">
        <v>711110.4</v>
      </c>
      <c r="C3" s="35">
        <v>0.75474034762714992</v>
      </c>
      <c r="D3" s="35">
        <v>0.74361430143029406</v>
      </c>
      <c r="E3" s="36">
        <v>145.56999999999996</v>
      </c>
      <c r="F3" s="35">
        <v>1.4715632563333695E-2</v>
      </c>
    </row>
    <row r="4" spans="1:6" x14ac:dyDescent="0.25">
      <c r="A4" s="32" t="s">
        <v>42</v>
      </c>
      <c r="B4" s="34">
        <v>459536.89999999997</v>
      </c>
      <c r="C4" s="35">
        <v>0.75411453227778147</v>
      </c>
      <c r="D4" s="35">
        <v>0.74177685873224242</v>
      </c>
      <c r="E4" s="36">
        <v>98.09999999999998</v>
      </c>
      <c r="F4" s="35">
        <v>1.654286666252126E-2</v>
      </c>
    </row>
    <row r="5" spans="1:6" x14ac:dyDescent="0.25">
      <c r="A5" s="32" t="s">
        <v>133</v>
      </c>
      <c r="B5" s="34">
        <v>1898179.8000000012</v>
      </c>
      <c r="C5" s="35">
        <v>0.75134130679262434</v>
      </c>
      <c r="D5" s="35">
        <v>0.740493677026418</v>
      </c>
      <c r="E5" s="36">
        <v>408.29000000000025</v>
      </c>
      <c r="F5" s="35">
        <v>1.4458514331988559E-2</v>
      </c>
    </row>
    <row r="6" spans="1:6" x14ac:dyDescent="0.25">
      <c r="A6" s="2"/>
    </row>
    <row r="7" spans="1:6" x14ac:dyDescent="0.25">
      <c r="A7" s="2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G13"/>
  <sheetViews>
    <sheetView workbookViewId="0">
      <selection activeCell="H17" sqref="H17"/>
    </sheetView>
  </sheetViews>
  <sheetFormatPr defaultRowHeight="15" x14ac:dyDescent="0.25"/>
  <cols>
    <col min="1" max="1" width="11.28515625" bestFit="1" customWidth="1"/>
    <col min="2" max="2" width="11.7109375" bestFit="1" customWidth="1"/>
    <col min="3" max="3" width="26" bestFit="1" customWidth="1"/>
    <col min="4" max="4" width="17.28515625" bestFit="1" customWidth="1"/>
    <col min="5" max="5" width="24.5703125" bestFit="1" customWidth="1"/>
    <col min="6" max="6" width="18.42578125" bestFit="1" customWidth="1"/>
    <col min="7" max="7" width="26.42578125" bestFit="1" customWidth="1"/>
  </cols>
  <sheetData>
    <row r="1" spans="1:7" x14ac:dyDescent="0.25">
      <c r="A1" s="37" t="s">
        <v>5</v>
      </c>
      <c r="B1" s="33" t="s">
        <v>101</v>
      </c>
      <c r="C1" s="33" t="s">
        <v>135</v>
      </c>
      <c r="D1" s="33" t="s">
        <v>136</v>
      </c>
      <c r="E1" s="33" t="s">
        <v>138</v>
      </c>
      <c r="F1" s="32" t="s">
        <v>139</v>
      </c>
      <c r="G1" s="32" t="s">
        <v>140</v>
      </c>
    </row>
    <row r="2" spans="1:7" x14ac:dyDescent="0.25">
      <c r="A2" s="32" t="s">
        <v>38</v>
      </c>
      <c r="B2" s="34">
        <v>760071.29999999981</v>
      </c>
      <c r="C2" s="35">
        <v>0.74567283507973148</v>
      </c>
      <c r="D2" s="35">
        <v>0.73476647050633148</v>
      </c>
      <c r="E2" s="35">
        <v>1.4682857962510423E-2</v>
      </c>
      <c r="F2" s="35">
        <v>0.73476647050633148</v>
      </c>
      <c r="G2" s="34">
        <v>0.52277501668415849</v>
      </c>
    </row>
    <row r="3" spans="1:7" x14ac:dyDescent="0.25">
      <c r="A3" s="32" t="s">
        <v>36</v>
      </c>
      <c r="B3" s="34">
        <v>796172.6</v>
      </c>
      <c r="C3" s="35">
        <v>0.76742167980607168</v>
      </c>
      <c r="D3" s="35">
        <v>0.75727995232950907</v>
      </c>
      <c r="E3" s="35">
        <v>1.3032941609442246E-2</v>
      </c>
      <c r="F3" s="35">
        <v>0.75727995232950907</v>
      </c>
      <c r="G3" s="34">
        <v>0.51818388170739205</v>
      </c>
    </row>
    <row r="4" spans="1:7" x14ac:dyDescent="0.25">
      <c r="A4" s="32" t="s">
        <v>31</v>
      </c>
      <c r="B4" s="34">
        <v>341935.89999999991</v>
      </c>
      <c r="C4" s="35">
        <v>0.72854053347779779</v>
      </c>
      <c r="D4" s="35">
        <v>0.71628221153187321</v>
      </c>
      <c r="E4" s="35">
        <v>1.707950976863121E-2</v>
      </c>
      <c r="F4" s="35">
        <v>0.71628221153187321</v>
      </c>
      <c r="G4" s="34">
        <v>0.5167124697967288</v>
      </c>
    </row>
    <row r="5" spans="1:7" x14ac:dyDescent="0.25">
      <c r="A5" s="32" t="s">
        <v>133</v>
      </c>
      <c r="B5" s="34">
        <v>1898179.800000001</v>
      </c>
      <c r="C5" s="35">
        <v>0.75134130679262456</v>
      </c>
      <c r="D5" s="35">
        <v>0.74049367702641822</v>
      </c>
      <c r="E5" s="35">
        <v>1.445851433198856E-2</v>
      </c>
      <c r="F5" s="35">
        <v>0.74049367702641822</v>
      </c>
      <c r="G5" s="34">
        <v>0.51976357569391918</v>
      </c>
    </row>
    <row r="9" spans="1:7" x14ac:dyDescent="0.25">
      <c r="A9" t="s">
        <v>5</v>
      </c>
      <c r="B9" t="s">
        <v>101</v>
      </c>
      <c r="C9" t="s">
        <v>135</v>
      </c>
      <c r="D9" t="s">
        <v>136</v>
      </c>
      <c r="E9" t="s">
        <v>138</v>
      </c>
      <c r="F9" t="s">
        <v>139</v>
      </c>
      <c r="G9" t="s">
        <v>140</v>
      </c>
    </row>
    <row r="10" spans="1:7" x14ac:dyDescent="0.25">
      <c r="A10" t="s">
        <v>38</v>
      </c>
      <c r="B10" s="27">
        <v>760071.29999999981</v>
      </c>
      <c r="C10" s="26">
        <v>0.74567283507973148</v>
      </c>
      <c r="D10" s="26">
        <v>0.73476647050633148</v>
      </c>
      <c r="E10" s="26">
        <v>1.4682857962510423E-2</v>
      </c>
      <c r="F10" s="26">
        <v>0.73476647050633148</v>
      </c>
      <c r="G10" s="27">
        <v>0.52277501668415849</v>
      </c>
    </row>
    <row r="11" spans="1:7" x14ac:dyDescent="0.25">
      <c r="A11" t="s">
        <v>36</v>
      </c>
      <c r="B11" s="27">
        <v>796172.6</v>
      </c>
      <c r="C11" s="26">
        <v>0.76742167980607168</v>
      </c>
      <c r="D11" s="26">
        <v>0.75727995232950907</v>
      </c>
      <c r="E11" s="26">
        <v>1.3032941609442246E-2</v>
      </c>
      <c r="F11" s="26">
        <v>0.75727995232950907</v>
      </c>
      <c r="G11" s="27">
        <v>0.51818388170739205</v>
      </c>
    </row>
    <row r="12" spans="1:7" x14ac:dyDescent="0.25">
      <c r="A12" t="s">
        <v>31</v>
      </c>
      <c r="B12" s="27">
        <v>341935.89999999991</v>
      </c>
      <c r="C12" s="26">
        <v>0.72854053347779779</v>
      </c>
      <c r="D12" s="26">
        <v>0.71628221153187321</v>
      </c>
      <c r="E12" s="26">
        <v>1.707950976863121E-2</v>
      </c>
      <c r="F12" s="26">
        <v>0.71628221153187321</v>
      </c>
      <c r="G12" s="27">
        <v>0.5167124697967288</v>
      </c>
    </row>
    <row r="13" spans="1:7" x14ac:dyDescent="0.25">
      <c r="A13" t="s">
        <v>133</v>
      </c>
      <c r="B13" s="27">
        <v>1898179.800000001</v>
      </c>
      <c r="C13" s="26">
        <v>0.75134130679262456</v>
      </c>
      <c r="D13" s="26">
        <v>0.74049367702641822</v>
      </c>
      <c r="E13" s="26">
        <v>1.445851433198856E-2</v>
      </c>
      <c r="F13" s="26">
        <v>0.74049367702641822</v>
      </c>
      <c r="G13" s="27">
        <v>0.51976357569391918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C6"/>
  <sheetViews>
    <sheetView workbookViewId="0">
      <selection activeCell="C2" sqref="C2:C6"/>
    </sheetView>
  </sheetViews>
  <sheetFormatPr defaultRowHeight="15" x14ac:dyDescent="0.25"/>
  <cols>
    <col min="1" max="1" width="25.85546875" bestFit="1" customWidth="1"/>
    <col min="2" max="2" width="16.28515625" bestFit="1" customWidth="1"/>
    <col min="3" max="3" width="20.28515625" customWidth="1"/>
    <col min="4" max="4" width="11.28515625" bestFit="1" customWidth="1"/>
    <col min="5" max="5" width="8.42578125" bestFit="1" customWidth="1"/>
    <col min="6" max="6" width="7" bestFit="1" customWidth="1"/>
    <col min="7" max="7" width="8.42578125" bestFit="1" customWidth="1"/>
    <col min="8" max="8" width="7" bestFit="1" customWidth="1"/>
    <col min="9" max="9" width="8.42578125" bestFit="1" customWidth="1"/>
    <col min="10" max="10" width="7" bestFit="1" customWidth="1"/>
    <col min="11" max="11" width="8.42578125" bestFit="1" customWidth="1"/>
    <col min="12" max="12" width="7" bestFit="1" customWidth="1"/>
    <col min="13" max="13" width="8.42578125" bestFit="1" customWidth="1"/>
    <col min="14" max="14" width="7" bestFit="1" customWidth="1"/>
    <col min="15" max="15" width="8.42578125" bestFit="1" customWidth="1"/>
    <col min="16" max="16" width="7" bestFit="1" customWidth="1"/>
    <col min="17" max="17" width="8.42578125" bestFit="1" customWidth="1"/>
    <col min="18" max="18" width="7" bestFit="1" customWidth="1"/>
    <col min="19" max="19" width="8.42578125" bestFit="1" customWidth="1"/>
    <col min="20" max="20" width="7" bestFit="1" customWidth="1"/>
    <col min="21" max="21" width="8.42578125" bestFit="1" customWidth="1"/>
    <col min="22" max="22" width="7" bestFit="1" customWidth="1"/>
    <col min="23" max="23" width="8.42578125" bestFit="1" customWidth="1"/>
    <col min="24" max="24" width="7" bestFit="1" customWidth="1"/>
    <col min="25" max="25" width="8.42578125" bestFit="1" customWidth="1"/>
    <col min="26" max="26" width="7" bestFit="1" customWidth="1"/>
    <col min="27" max="27" width="8.42578125" bestFit="1" customWidth="1"/>
    <col min="28" max="28" width="7" bestFit="1" customWidth="1"/>
    <col min="29" max="29" width="8.42578125" bestFit="1" customWidth="1"/>
    <col min="30" max="30" width="7" bestFit="1" customWidth="1"/>
    <col min="31" max="31" width="6.85546875" bestFit="1" customWidth="1"/>
    <col min="32" max="32" width="7" bestFit="1" customWidth="1"/>
    <col min="33" max="33" width="8.42578125" bestFit="1" customWidth="1"/>
    <col min="34" max="34" width="7" bestFit="1" customWidth="1"/>
    <col min="35" max="35" width="8.42578125" bestFit="1" customWidth="1"/>
    <col min="36" max="36" width="7" bestFit="1" customWidth="1"/>
    <col min="37" max="37" width="8.42578125" bestFit="1" customWidth="1"/>
    <col min="38" max="38" width="7" bestFit="1" customWidth="1"/>
    <col min="39" max="39" width="8.42578125" bestFit="1" customWidth="1"/>
    <col min="40" max="40" width="7" bestFit="1" customWidth="1"/>
    <col min="41" max="41" width="8.42578125" bestFit="1" customWidth="1"/>
    <col min="42" max="42" width="7" bestFit="1" customWidth="1"/>
    <col min="43" max="43" width="8.42578125" bestFit="1" customWidth="1"/>
    <col min="44" max="44" width="7" bestFit="1" customWidth="1"/>
    <col min="45" max="45" width="8.42578125" bestFit="1" customWidth="1"/>
    <col min="46" max="46" width="7" bestFit="1" customWidth="1"/>
    <col min="47" max="47" width="8.42578125" bestFit="1" customWidth="1"/>
    <col min="48" max="48" width="7" bestFit="1" customWidth="1"/>
    <col min="49" max="49" width="8.42578125" bestFit="1" customWidth="1"/>
    <col min="50" max="50" width="7" bestFit="1" customWidth="1"/>
    <col min="51" max="51" width="6.85546875" bestFit="1" customWidth="1"/>
    <col min="52" max="52" width="7" bestFit="1" customWidth="1"/>
    <col min="53" max="53" width="8.42578125" bestFit="1" customWidth="1"/>
    <col min="54" max="54" width="7" bestFit="1" customWidth="1"/>
    <col min="55" max="55" width="8.42578125" bestFit="1" customWidth="1"/>
    <col min="56" max="56" width="7" bestFit="1" customWidth="1"/>
    <col min="57" max="57" width="8.42578125" bestFit="1" customWidth="1"/>
    <col min="58" max="58" width="7" bestFit="1" customWidth="1"/>
    <col min="59" max="59" width="8.42578125" bestFit="1" customWidth="1"/>
    <col min="60" max="60" width="7" bestFit="1" customWidth="1"/>
    <col min="61" max="61" width="8.42578125" bestFit="1" customWidth="1"/>
    <col min="62" max="62" width="7" bestFit="1" customWidth="1"/>
    <col min="63" max="63" width="8.42578125" bestFit="1" customWidth="1"/>
    <col min="64" max="64" width="7" bestFit="1" customWidth="1"/>
    <col min="65" max="65" width="8.42578125" bestFit="1" customWidth="1"/>
    <col min="66" max="66" width="7" bestFit="1" customWidth="1"/>
    <col min="67" max="67" width="8.42578125" bestFit="1" customWidth="1"/>
    <col min="68" max="68" width="7" bestFit="1" customWidth="1"/>
    <col min="69" max="69" width="8.42578125" bestFit="1" customWidth="1"/>
    <col min="70" max="70" width="7" bestFit="1" customWidth="1"/>
    <col min="71" max="71" width="8.42578125" bestFit="1" customWidth="1"/>
    <col min="72" max="72" width="7" bestFit="1" customWidth="1"/>
    <col min="73" max="73" width="8.42578125" bestFit="1" customWidth="1"/>
    <col min="74" max="74" width="14.5703125" bestFit="1" customWidth="1"/>
    <col min="75" max="75" width="7" bestFit="1" customWidth="1"/>
    <col min="76" max="76" width="8.42578125" bestFit="1" customWidth="1"/>
    <col min="77" max="77" width="11.28515625" bestFit="1" customWidth="1"/>
  </cols>
  <sheetData>
    <row r="1" spans="1:3" x14ac:dyDescent="0.25">
      <c r="A1" s="3" t="s">
        <v>117</v>
      </c>
      <c r="B1" s="3" t="s">
        <v>118</v>
      </c>
      <c r="C1" s="3" t="s">
        <v>119</v>
      </c>
    </row>
    <row r="2" spans="1:3" x14ac:dyDescent="0.25">
      <c r="A2" s="2" t="s">
        <v>48</v>
      </c>
      <c r="B2" s="5">
        <f>COUNTIF(DeviationLog[Deviation_Type],Table7[[#This Row],[Deviation Type]])</f>
        <v>16</v>
      </c>
      <c r="C2" s="5">
        <f>_xlfn.XLOOKUP(A2,DeviationLog[Deviation_Type],DeviationLog[Investigation_Hours],,0,1)</f>
        <v>3</v>
      </c>
    </row>
    <row r="3" spans="1:3" x14ac:dyDescent="0.25">
      <c r="A3" s="2" t="s">
        <v>40</v>
      </c>
      <c r="B3" s="5">
        <f>COUNTIF(DeviationLog[Deviation_Type],Table7[[#This Row],[Deviation Type]])</f>
        <v>14</v>
      </c>
      <c r="C3" s="5">
        <f>_xlfn.XLOOKUP(A3,DeviationLog[Deviation_Type],DeviationLog[Investigation_Hours],,0,1)</f>
        <v>2.7</v>
      </c>
    </row>
    <row r="4" spans="1:3" x14ac:dyDescent="0.25">
      <c r="A4" s="2" t="s">
        <v>43</v>
      </c>
      <c r="B4" s="5">
        <f>COUNTIF(DeviationLog[Deviation_Type],Table7[[#This Row],[Deviation Type]])</f>
        <v>12</v>
      </c>
      <c r="C4" s="5">
        <f>_xlfn.XLOOKUP(A4,DeviationLog[Deviation_Type],DeviationLog[Investigation_Hours],,0,1)</f>
        <v>1</v>
      </c>
    </row>
    <row r="5" spans="1:3" x14ac:dyDescent="0.25">
      <c r="A5" s="2" t="s">
        <v>45</v>
      </c>
      <c r="B5" s="5">
        <f>COUNTIF(DeviationLog[Deviation_Type],Table7[[#This Row],[Deviation Type]])</f>
        <v>13</v>
      </c>
      <c r="C5" s="5">
        <f>_xlfn.XLOOKUP(A5,DeviationLog[Deviation_Type],DeviationLog[Investigation_Hours],,0,1)</f>
        <v>3.6</v>
      </c>
    </row>
    <row r="6" spans="1:3" x14ac:dyDescent="0.25">
      <c r="A6" s="2" t="s">
        <v>46</v>
      </c>
      <c r="B6" s="5">
        <f>COUNTIF(DeviationLog[Deviation_Type],Table7[[#This Row],[Deviation Type]])</f>
        <v>4</v>
      </c>
      <c r="C6" s="5">
        <f>_xlfn.XLOOKUP(A6,DeviationLog[Deviation_Type],DeviationLog[Investigation_Hours],,0,1)</f>
        <v>2.6</v>
      </c>
    </row>
  </sheetData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C4"/>
  <sheetViews>
    <sheetView workbookViewId="0">
      <selection activeCell="D10" sqref="D10"/>
    </sheetView>
  </sheetViews>
  <sheetFormatPr defaultRowHeight="15" x14ac:dyDescent="0.25"/>
  <cols>
    <col min="1" max="3" width="19" customWidth="1"/>
  </cols>
  <sheetData>
    <row r="1" spans="1:3" x14ac:dyDescent="0.25">
      <c r="A1" s="3" t="s">
        <v>52</v>
      </c>
      <c r="B1" s="3" t="s">
        <v>118</v>
      </c>
      <c r="C1" s="3" t="s">
        <v>59</v>
      </c>
    </row>
    <row r="2" spans="1:3" x14ac:dyDescent="0.25">
      <c r="A2" s="2" t="s">
        <v>55</v>
      </c>
      <c r="B2" s="5">
        <f>COUNTIF(DeviationLog[Severity],$A2)</f>
        <v>49</v>
      </c>
      <c r="C2" s="2">
        <f>COUNTIFS(DeviationLog[Severity],$A2,DeviationLog[Disposition],"CAPA Required")</f>
        <v>1</v>
      </c>
    </row>
    <row r="3" spans="1:3" x14ac:dyDescent="0.25">
      <c r="A3" s="2" t="s">
        <v>58</v>
      </c>
      <c r="B3" s="5">
        <f>COUNTIF(DeviationLog[Severity],$A3)</f>
        <v>7</v>
      </c>
      <c r="C3" s="5">
        <f>COUNTIFS(DeviationLog[Severity],$A3,DeviationLog[Disposition],"CAPA Required")</f>
        <v>0</v>
      </c>
    </row>
    <row r="4" spans="1:3" x14ac:dyDescent="0.25">
      <c r="A4" s="2" t="s">
        <v>57</v>
      </c>
      <c r="B4" s="5">
        <f>COUNTIF(DeviationLog[Severity],$A4)</f>
        <v>3</v>
      </c>
      <c r="C4" s="5">
        <f>COUNTIFS(DeviationLog[Severity],$A4,DeviationLog[Disposition],"CAPA Required")</f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E5"/>
  <sheetViews>
    <sheetView workbookViewId="0">
      <selection activeCell="C10" sqref="C10"/>
    </sheetView>
  </sheetViews>
  <sheetFormatPr defaultRowHeight="15" x14ac:dyDescent="0.25"/>
  <cols>
    <col min="1" max="1" width="19.5703125" customWidth="1"/>
    <col min="2" max="5" width="19" customWidth="1"/>
  </cols>
  <sheetData>
    <row r="1" spans="1:5" x14ac:dyDescent="0.25">
      <c r="A1" s="3" t="s">
        <v>120</v>
      </c>
      <c r="B1" s="3" t="s">
        <v>118</v>
      </c>
      <c r="C1" s="3" t="s">
        <v>116</v>
      </c>
      <c r="D1" s="3" t="s">
        <v>121</v>
      </c>
      <c r="E1" s="3" t="s">
        <v>122</v>
      </c>
    </row>
    <row r="2" spans="1:5" x14ac:dyDescent="0.25">
      <c r="A2" s="2" t="s">
        <v>37</v>
      </c>
      <c r="B2" s="2">
        <f>COUNTIF(PharmaMaintenance[Maintenance_Type],$A2)</f>
        <v>29</v>
      </c>
      <c r="C2" s="2">
        <f>SUMIF(PharmaMaintenance[Maintenance_Type],$A2,PharmaMaintenance[Downtime_hr])</f>
        <v>52.45</v>
      </c>
      <c r="D2" s="2">
        <f>SUMIF(PharmaMaintenance[Maintenance_Type],$A2,PharmaMaintenance[Maintenance_Cost_USD])</f>
        <v>8203.3300000000017</v>
      </c>
      <c r="E2" s="2">
        <f>AVERAGEIF(PharmaMaintenance[Maintenance_Type],$A2,PharmaMaintenance[Technician_Hours])</f>
        <v>9.4551724137931039</v>
      </c>
    </row>
    <row r="3" spans="1:5" x14ac:dyDescent="0.25">
      <c r="A3" s="2" t="s">
        <v>44</v>
      </c>
      <c r="B3" s="5">
        <f>COUNTIF(PharmaMaintenance[Maintenance_Type],$A3)</f>
        <v>36</v>
      </c>
      <c r="C3" s="5">
        <f>SUMIF(PharmaMaintenance[Maintenance_Type],$A3,PharmaMaintenance[Downtime_hr])</f>
        <v>57.31</v>
      </c>
      <c r="D3" s="5">
        <f>SUMIF(PharmaMaintenance[Maintenance_Type],$A3,PharmaMaintenance[Maintenance_Cost_USD])</f>
        <v>26696.65</v>
      </c>
      <c r="E3" s="5">
        <f>AVERAGEIF(PharmaMaintenance[Maintenance_Type],$A3,PharmaMaintenance[Technician_Hours])</f>
        <v>9.7111111111111121</v>
      </c>
    </row>
    <row r="4" spans="1:5" x14ac:dyDescent="0.25">
      <c r="A4" s="2" t="s">
        <v>47</v>
      </c>
      <c r="B4" s="5">
        <f>COUNTIF(PharmaMaintenance[Maintenance_Type],$A4)</f>
        <v>10</v>
      </c>
      <c r="C4" s="5">
        <f>SUMIF(PharmaMaintenance[Maintenance_Type],$A4,PharmaMaintenance[Downtime_hr])</f>
        <v>19.809999999999999</v>
      </c>
      <c r="D4" s="5">
        <f>SUMIF(PharmaMaintenance[Maintenance_Type],$A4,PharmaMaintenance[Maintenance_Cost_USD])</f>
        <v>17063.169999999998</v>
      </c>
      <c r="E4" s="5">
        <f>AVERAGEIF(PharmaMaintenance[Maintenance_Type],$A4,PharmaMaintenance[Technician_Hours])</f>
        <v>10.029999999999999</v>
      </c>
    </row>
    <row r="5" spans="1:5" x14ac:dyDescent="0.25">
      <c r="A5" s="5" t="s">
        <v>141</v>
      </c>
      <c r="B5" s="5">
        <f>SUM(Table8[Events])</f>
        <v>75</v>
      </c>
      <c r="C5" s="5">
        <f>SUBTOTAL(109,Table8[Downtime hr])</f>
        <v>129.57</v>
      </c>
      <c r="D5" s="5">
        <f>SUBTOTAL(109,Table8[Cost])</f>
        <v>51963.15</v>
      </c>
      <c r="E5" s="5">
        <f>SUBTOTAL(101,Table8[Avg Tech Hours])</f>
        <v>9.7320945083014063</v>
      </c>
    </row>
  </sheetData>
  <pageMargins left="0.75" right="0.75" top="1" bottom="1" header="0.5" footer="0.5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P35"/>
  <sheetViews>
    <sheetView showRowColHeaders="0" tabSelected="1" zoomScale="83" zoomScaleNormal="83" workbookViewId="0">
      <selection activeCell="E23" sqref="E23"/>
    </sheetView>
  </sheetViews>
  <sheetFormatPr defaultRowHeight="15" x14ac:dyDescent="0.25"/>
  <cols>
    <col min="1" max="1" width="18.5703125" bestFit="1" customWidth="1"/>
    <col min="2" max="2" width="19" customWidth="1"/>
    <col min="3" max="3" width="13.85546875" customWidth="1"/>
    <col min="4" max="5" width="19" customWidth="1"/>
    <col min="6" max="6" width="22.5703125" customWidth="1"/>
    <col min="7" max="7" width="22.28515625" customWidth="1"/>
    <col min="8" max="8" width="19" customWidth="1"/>
  </cols>
  <sheetData>
    <row r="1" spans="1:16" ht="27" thickBot="1" x14ac:dyDescent="0.3">
      <c r="A1" s="41" t="s">
        <v>123</v>
      </c>
      <c r="B1" s="42"/>
      <c r="C1" s="42"/>
      <c r="D1" s="42"/>
      <c r="E1" s="42"/>
      <c r="F1" s="42"/>
      <c r="G1" s="42"/>
      <c r="H1" s="43"/>
    </row>
    <row r="2" spans="1:16" ht="15.75" thickBot="1" x14ac:dyDescent="0.3">
      <c r="A2" s="2"/>
      <c r="B2" s="2"/>
      <c r="C2" s="2"/>
      <c r="D2" s="2"/>
      <c r="E2" s="2"/>
      <c r="F2" s="2"/>
      <c r="G2" s="2"/>
      <c r="H2" s="2"/>
    </row>
    <row r="3" spans="1:16" ht="19.5" thickBot="1" x14ac:dyDescent="0.3">
      <c r="A3" s="38" t="s">
        <v>101</v>
      </c>
      <c r="B3" s="2"/>
      <c r="C3" s="38" t="s">
        <v>124</v>
      </c>
      <c r="D3" s="2"/>
      <c r="E3" s="38" t="s">
        <v>125</v>
      </c>
      <c r="F3" s="2"/>
      <c r="G3" s="38" t="s">
        <v>113</v>
      </c>
      <c r="H3" s="2"/>
    </row>
    <row r="4" spans="1:16" ht="21.75" thickBot="1" x14ac:dyDescent="0.3">
      <c r="A4" s="52">
        <f>KPI_Calculations!B5</f>
        <v>1898179.8000000012</v>
      </c>
      <c r="B4" s="2"/>
      <c r="C4" s="39">
        <f>KPI_Calculations!B9</f>
        <v>0.74049367702641833</v>
      </c>
      <c r="D4" s="2"/>
      <c r="E4" s="40">
        <f>KPI_Calculations!B13</f>
        <v>408.29000000000019</v>
      </c>
      <c r="F4" s="2"/>
      <c r="G4" s="40">
        <f>KPI_Calculations!B17</f>
        <v>59</v>
      </c>
      <c r="H4" s="2"/>
    </row>
    <row r="5" spans="1:16" x14ac:dyDescent="0.25">
      <c r="A5" s="2"/>
      <c r="B5" s="2"/>
      <c r="C5" s="2"/>
      <c r="D5" s="2"/>
      <c r="E5" s="2"/>
      <c r="F5" s="2"/>
      <c r="G5" s="2"/>
      <c r="H5" s="2"/>
    </row>
    <row r="6" spans="1:16" s="50" customFormat="1" x14ac:dyDescent="0.25">
      <c r="B6" s="51"/>
      <c r="C6" s="51"/>
      <c r="D6" s="51"/>
      <c r="E6" s="51"/>
      <c r="F6" s="51"/>
      <c r="G6" s="51"/>
      <c r="H6" s="51"/>
    </row>
    <row r="7" spans="1:16" s="50" customFormat="1" x14ac:dyDescent="0.25">
      <c r="D7" s="44" t="s">
        <v>127</v>
      </c>
      <c r="E7" s="44"/>
      <c r="F7" s="44"/>
      <c r="G7" s="45" t="s">
        <v>131</v>
      </c>
      <c r="H7" s="45"/>
      <c r="I7" s="45"/>
      <c r="J7" s="45"/>
      <c r="K7" s="44" t="s">
        <v>130</v>
      </c>
      <c r="L7" s="44"/>
      <c r="M7" s="44"/>
      <c r="N7" s="44"/>
      <c r="O7" s="44"/>
      <c r="P7" s="44"/>
    </row>
    <row r="8" spans="1:16" s="50" customFormat="1" x14ac:dyDescent="0.25">
      <c r="A8" s="51"/>
      <c r="B8" s="51"/>
      <c r="C8" s="51"/>
      <c r="D8" s="51"/>
      <c r="E8" s="51"/>
      <c r="F8" s="51"/>
      <c r="G8" s="51"/>
      <c r="H8" s="51"/>
    </row>
    <row r="9" spans="1:16" s="50" customFormat="1" x14ac:dyDescent="0.25">
      <c r="A9" s="51"/>
      <c r="B9" s="51"/>
      <c r="C9" s="51"/>
      <c r="D9" s="51"/>
      <c r="E9" s="51"/>
      <c r="F9" s="51"/>
      <c r="G9" s="51"/>
      <c r="H9" s="51"/>
    </row>
    <row r="10" spans="1:16" s="50" customFormat="1" x14ac:dyDescent="0.25">
      <c r="A10" s="49" t="s">
        <v>126</v>
      </c>
      <c r="B10" s="49"/>
      <c r="C10" s="51"/>
      <c r="D10" s="51"/>
      <c r="E10" s="51"/>
      <c r="F10" s="51"/>
      <c r="G10" s="51"/>
      <c r="H10" s="51"/>
    </row>
    <row r="11" spans="1:16" s="50" customFormat="1" x14ac:dyDescent="0.25">
      <c r="A11" s="49"/>
      <c r="B11" s="49"/>
      <c r="C11" s="51"/>
      <c r="D11" s="51"/>
      <c r="E11" s="51"/>
      <c r="F11" s="51"/>
      <c r="G11" s="51"/>
      <c r="H11" s="51"/>
    </row>
    <row r="12" spans="1:16" s="50" customFormat="1" x14ac:dyDescent="0.25">
      <c r="A12" s="49"/>
      <c r="B12" s="49"/>
      <c r="C12" s="51"/>
      <c r="D12" s="51"/>
      <c r="E12" s="51"/>
      <c r="F12" s="51"/>
      <c r="G12" s="51"/>
      <c r="H12" s="51"/>
    </row>
    <row r="13" spans="1:16" s="50" customFormat="1" x14ac:dyDescent="0.25">
      <c r="A13" s="49"/>
      <c r="B13" s="49"/>
      <c r="C13" s="51"/>
      <c r="D13" s="51"/>
      <c r="E13" s="51"/>
      <c r="F13" s="51"/>
      <c r="G13" s="51"/>
      <c r="H13" s="51"/>
    </row>
    <row r="14" spans="1:16" s="50" customFormat="1" x14ac:dyDescent="0.25">
      <c r="A14" s="49"/>
      <c r="B14" s="49"/>
      <c r="C14" s="51"/>
      <c r="D14" s="51"/>
      <c r="E14" s="51"/>
      <c r="F14" s="51"/>
      <c r="G14" s="51"/>
      <c r="H14" s="51"/>
    </row>
    <row r="15" spans="1:16" s="50" customFormat="1" x14ac:dyDescent="0.25">
      <c r="B15" s="51"/>
      <c r="C15" s="51"/>
      <c r="D15" s="51"/>
      <c r="E15" s="51"/>
      <c r="F15" s="51"/>
      <c r="G15" s="51"/>
      <c r="H15" s="51"/>
    </row>
    <row r="16" spans="1:16" s="50" customFormat="1" x14ac:dyDescent="0.25">
      <c r="A16" s="51"/>
      <c r="B16" s="51"/>
      <c r="C16" s="51"/>
      <c r="D16" s="51"/>
      <c r="E16" s="51"/>
      <c r="F16" s="51"/>
      <c r="G16" s="51"/>
      <c r="H16" s="51"/>
    </row>
    <row r="17" spans="1:12" s="50" customFormat="1" x14ac:dyDescent="0.25">
      <c r="A17" s="51"/>
      <c r="B17" s="51"/>
      <c r="C17" s="51"/>
      <c r="D17" s="51"/>
      <c r="E17" s="51"/>
      <c r="F17" s="51"/>
      <c r="G17" s="51"/>
      <c r="H17" s="51"/>
    </row>
    <row r="18" spans="1:12" s="50" customFormat="1" x14ac:dyDescent="0.25">
      <c r="A18" s="51"/>
      <c r="B18" s="51"/>
      <c r="C18" s="51"/>
      <c r="D18" s="51"/>
      <c r="E18" s="51"/>
      <c r="F18" s="51"/>
      <c r="G18" s="51"/>
      <c r="H18" s="51"/>
    </row>
    <row r="19" spans="1:12" s="50" customFormat="1" x14ac:dyDescent="0.25">
      <c r="A19" s="51"/>
      <c r="B19" s="51"/>
      <c r="C19" s="51"/>
      <c r="D19" s="51"/>
      <c r="E19" s="51"/>
      <c r="F19" s="51"/>
      <c r="G19" s="51"/>
      <c r="H19" s="51"/>
    </row>
    <row r="20" spans="1:12" s="50" customFormat="1" x14ac:dyDescent="0.25">
      <c r="A20" s="44" t="s">
        <v>129</v>
      </c>
      <c r="B20" s="44"/>
      <c r="C20" s="44"/>
      <c r="D20" s="51"/>
      <c r="E20" s="51"/>
      <c r="F20" s="51"/>
      <c r="G20" s="51"/>
      <c r="H20" s="51"/>
    </row>
    <row r="21" spans="1:12" s="50" customFormat="1" x14ac:dyDescent="0.25">
      <c r="A21" s="51"/>
      <c r="B21" s="51"/>
      <c r="C21" s="51"/>
      <c r="D21" s="51"/>
      <c r="E21" s="51"/>
      <c r="F21" s="51"/>
      <c r="G21" s="51"/>
      <c r="H21" s="51"/>
    </row>
    <row r="22" spans="1:12" s="50" customFormat="1" x14ac:dyDescent="0.25">
      <c r="A22" s="51"/>
      <c r="B22" s="51"/>
      <c r="C22" s="51"/>
      <c r="D22" s="51"/>
      <c r="E22" s="51"/>
      <c r="F22" s="51"/>
      <c r="G22" s="51"/>
      <c r="H22" s="51"/>
    </row>
    <row r="23" spans="1:12" s="50" customFormat="1" x14ac:dyDescent="0.25">
      <c r="A23" s="51"/>
      <c r="B23" s="51"/>
      <c r="C23" s="51"/>
      <c r="D23" s="51"/>
      <c r="E23" s="51"/>
      <c r="F23" s="51"/>
      <c r="G23" s="51"/>
      <c r="H23" s="51"/>
    </row>
    <row r="24" spans="1:12" s="50" customFormat="1" x14ac:dyDescent="0.25">
      <c r="A24" s="51"/>
      <c r="B24" s="51"/>
      <c r="C24" s="51"/>
      <c r="D24" s="51"/>
      <c r="E24" s="51"/>
      <c r="F24" s="51"/>
      <c r="G24" s="51"/>
      <c r="H24" s="51"/>
      <c r="I24" s="46" t="s">
        <v>128</v>
      </c>
      <c r="J24" s="46"/>
      <c r="K24" s="46"/>
      <c r="L24" s="46"/>
    </row>
    <row r="25" spans="1:12" s="50" customFormat="1" x14ac:dyDescent="0.25">
      <c r="A25" s="51"/>
      <c r="B25" s="51"/>
      <c r="C25" s="51"/>
      <c r="D25" s="51"/>
      <c r="E25" s="51"/>
      <c r="F25" s="51"/>
      <c r="G25" s="51"/>
      <c r="H25" s="51"/>
    </row>
    <row r="26" spans="1:12" s="50" customFormat="1" x14ac:dyDescent="0.25">
      <c r="A26" s="51"/>
      <c r="B26" s="51"/>
      <c r="C26" s="51"/>
      <c r="D26" s="51"/>
      <c r="E26" s="51"/>
      <c r="F26" s="51"/>
      <c r="G26" s="51"/>
      <c r="H26" s="51"/>
    </row>
    <row r="27" spans="1:12" s="50" customFormat="1" x14ac:dyDescent="0.25">
      <c r="A27" s="51"/>
      <c r="B27" s="51"/>
      <c r="C27" s="51"/>
      <c r="D27" s="51"/>
      <c r="E27" s="51"/>
      <c r="F27" s="51"/>
      <c r="G27" s="51"/>
      <c r="H27" s="51"/>
    </row>
    <row r="28" spans="1:12" s="50" customFormat="1" x14ac:dyDescent="0.25">
      <c r="A28" s="51"/>
      <c r="B28" s="51"/>
      <c r="C28" s="51"/>
      <c r="D28" s="51"/>
      <c r="E28" s="51"/>
      <c r="F28" s="51"/>
      <c r="G28" s="51"/>
      <c r="H28" s="51"/>
    </row>
    <row r="29" spans="1:12" s="50" customFormat="1" x14ac:dyDescent="0.25">
      <c r="A29" s="51"/>
      <c r="B29" s="51"/>
      <c r="C29" s="51"/>
      <c r="D29" s="51"/>
      <c r="E29" s="51"/>
      <c r="F29" s="51"/>
      <c r="G29" s="51"/>
      <c r="H29" s="51"/>
    </row>
    <row r="30" spans="1:12" s="50" customFormat="1" x14ac:dyDescent="0.25">
      <c r="A30" s="51"/>
      <c r="B30" s="51"/>
      <c r="C30" s="51"/>
      <c r="D30" s="51"/>
      <c r="E30" s="51"/>
      <c r="F30" s="51"/>
      <c r="G30" s="51"/>
      <c r="H30" s="51"/>
    </row>
    <row r="31" spans="1:12" s="50" customFormat="1" x14ac:dyDescent="0.25">
      <c r="A31" s="51"/>
      <c r="B31" s="51"/>
      <c r="C31" s="51"/>
      <c r="D31" s="51"/>
      <c r="E31" s="51"/>
      <c r="F31" s="51"/>
      <c r="G31" s="51"/>
      <c r="H31" s="51"/>
    </row>
    <row r="32" spans="1:12" s="50" customFormat="1" x14ac:dyDescent="0.25">
      <c r="A32" s="51"/>
      <c r="B32" s="51"/>
      <c r="C32" s="51"/>
      <c r="D32" s="51"/>
      <c r="E32" s="51"/>
      <c r="F32" s="51"/>
      <c r="G32" s="51"/>
      <c r="H32" s="51"/>
    </row>
    <row r="33" spans="1:8" s="50" customFormat="1" x14ac:dyDescent="0.25">
      <c r="A33" s="51"/>
      <c r="B33" s="51"/>
      <c r="C33" s="51"/>
      <c r="D33" s="51"/>
      <c r="E33" s="51"/>
      <c r="F33" s="51"/>
      <c r="G33" s="51"/>
      <c r="H33" s="51"/>
    </row>
    <row r="34" spans="1:8" s="50" customFormat="1" x14ac:dyDescent="0.25">
      <c r="A34" s="51"/>
      <c r="B34" s="51"/>
      <c r="C34" s="51"/>
      <c r="D34" s="51"/>
      <c r="E34" s="51"/>
      <c r="F34" s="51"/>
      <c r="G34" s="51"/>
      <c r="H34" s="51"/>
    </row>
    <row r="35" spans="1:8" s="50" customFormat="1" x14ac:dyDescent="0.25"/>
  </sheetData>
  <mergeCells count="7">
    <mergeCell ref="A20:C20"/>
    <mergeCell ref="I24:L24"/>
    <mergeCell ref="A10:B14"/>
    <mergeCell ref="A1:H1"/>
    <mergeCell ref="D7:F7"/>
    <mergeCell ref="G7:J7"/>
    <mergeCell ref="K7:P7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Production_Data</vt:lpstr>
      <vt:lpstr>Deviation_Log</vt:lpstr>
      <vt:lpstr>Maintenance_Log</vt:lpstr>
      <vt:lpstr>Project_Instructions</vt:lpstr>
      <vt:lpstr>KPI_Calculations</vt:lpstr>
      <vt:lpstr>Line_Analysis</vt:lpstr>
      <vt:lpstr>Shift_Analysis</vt:lpstr>
      <vt:lpstr>Product_Analysis</vt:lpstr>
      <vt:lpstr>Deviation_Analysis</vt:lpstr>
      <vt:lpstr>Deviation_Severity</vt:lpstr>
      <vt:lpstr>Maintenance_Analysis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Omer Ibrahim</cp:lastModifiedBy>
  <dcterms:created xsi:type="dcterms:W3CDTF">2026-09-27T10:07:11Z</dcterms:created>
  <dcterms:modified xsi:type="dcterms:W3CDTF">2026-09-29T18:43:10Z</dcterms:modified>
</cp:coreProperties>
</file>