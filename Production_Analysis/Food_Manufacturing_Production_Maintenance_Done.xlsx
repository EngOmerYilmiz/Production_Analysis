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ustafa\Desktop\Projects\Production\"/>
    </mc:Choice>
  </mc:AlternateContent>
  <xr:revisionPtr revIDLastSave="0" documentId="13_ncr:1_{813B54C3-2F1B-4D7E-8AD6-8832E3E42B39}" xr6:coauthVersionLast="47" xr6:coauthVersionMax="47" xr10:uidLastSave="{00000000-0000-0000-0000-000000000000}"/>
  <bookViews>
    <workbookView xWindow="-120" yWindow="-120" windowWidth="20730" windowHeight="11160" firstSheet="6" activeTab="9" xr2:uid="{00000000-000D-0000-FFFF-FFFF00000000}"/>
  </bookViews>
  <sheets>
    <sheet name="Production_Data" sheetId="1" r:id="rId1"/>
    <sheet name="Maintenance_Log" sheetId="2" r:id="rId2"/>
    <sheet name="Project_Instructions" sheetId="3" r:id="rId3"/>
    <sheet name="KPI_Calculations" sheetId="4" r:id="rId4"/>
    <sheet name="Shift_Analysis" sheetId="5" r:id="rId5"/>
    <sheet name="Line_Analysis" sheetId="6" r:id="rId6"/>
    <sheet name="Product_Analysis" sheetId="7" r:id="rId7"/>
    <sheet name="Maintenance_Analysis" sheetId="8" r:id="rId8"/>
    <sheet name="Downtime_Analysis" sheetId="9" r:id="rId9"/>
    <sheet name="Dashboar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C5" i="5"/>
  <c r="D5" i="5"/>
  <c r="E5" i="5"/>
  <c r="F5" i="5"/>
  <c r="G5" i="5"/>
  <c r="B9" i="9"/>
  <c r="C9" i="9"/>
  <c r="D9" i="9"/>
  <c r="B5" i="8"/>
  <c r="C5" i="8"/>
  <c r="D5" i="8"/>
  <c r="E5" i="8"/>
  <c r="F5" i="8"/>
  <c r="B4" i="6"/>
  <c r="C4" i="6"/>
  <c r="D4" i="6"/>
  <c r="E4" i="6"/>
  <c r="F4" i="6"/>
  <c r="G4" i="6"/>
  <c r="F5" i="7"/>
  <c r="E5" i="7"/>
  <c r="D5" i="7"/>
  <c r="C5" i="7"/>
  <c r="B5" i="7"/>
  <c r="C8" i="9"/>
  <c r="D8" i="9" s="1"/>
  <c r="B8" i="9"/>
  <c r="D7" i="9"/>
  <c r="C7" i="9"/>
  <c r="B7" i="9"/>
  <c r="C6" i="9"/>
  <c r="D6" i="9" s="1"/>
  <c r="B6" i="9"/>
  <c r="C5" i="9"/>
  <c r="D5" i="9" s="1"/>
  <c r="B5" i="9"/>
  <c r="C4" i="9"/>
  <c r="D4" i="9" s="1"/>
  <c r="B4" i="9"/>
  <c r="D3" i="9"/>
  <c r="C3" i="9"/>
  <c r="B3" i="9"/>
  <c r="C2" i="9"/>
  <c r="D2" i="9" s="1"/>
  <c r="B2" i="9"/>
  <c r="E4" i="8"/>
  <c r="D4" i="8"/>
  <c r="C4" i="8"/>
  <c r="B4" i="8"/>
  <c r="F4" i="8" s="1"/>
  <c r="E3" i="8"/>
  <c r="D3" i="8"/>
  <c r="C3" i="8"/>
  <c r="B3" i="8"/>
  <c r="F3" i="8" s="1"/>
  <c r="E2" i="8"/>
  <c r="D2" i="8"/>
  <c r="C2" i="8"/>
  <c r="B2" i="8"/>
  <c r="F2" i="8" s="1"/>
  <c r="G4" i="7"/>
  <c r="F4" i="7"/>
  <c r="E4" i="7"/>
  <c r="C4" i="7"/>
  <c r="B4" i="7"/>
  <c r="G3" i="7"/>
  <c r="F3" i="7"/>
  <c r="E3" i="7"/>
  <c r="C3" i="7"/>
  <c r="B3" i="7"/>
  <c r="G2" i="7"/>
  <c r="G5" i="7" s="1"/>
  <c r="F2" i="7"/>
  <c r="E2" i="7"/>
  <c r="C2" i="7"/>
  <c r="B2" i="7"/>
  <c r="G3" i="6"/>
  <c r="F3" i="6"/>
  <c r="E3" i="6"/>
  <c r="C3" i="6"/>
  <c r="B3" i="6"/>
  <c r="G2" i="6"/>
  <c r="F2" i="6"/>
  <c r="E2" i="6"/>
  <c r="C2" i="6"/>
  <c r="B2" i="6"/>
  <c r="G4" i="5"/>
  <c r="F4" i="5"/>
  <c r="E4" i="5"/>
  <c r="C4" i="5"/>
  <c r="B4" i="5"/>
  <c r="G3" i="5"/>
  <c r="F3" i="5"/>
  <c r="E3" i="5"/>
  <c r="C3" i="5"/>
  <c r="B3" i="5"/>
  <c r="G2" i="5"/>
  <c r="F2" i="5"/>
  <c r="E2" i="5"/>
  <c r="C2" i="5"/>
  <c r="B2" i="5"/>
  <c r="B14" i="4"/>
  <c r="G4" i="10" s="1"/>
  <c r="B13" i="4"/>
  <c r="E4" i="10" s="1"/>
  <c r="B7" i="4"/>
  <c r="B6" i="4"/>
  <c r="B5" i="4"/>
  <c r="B4" i="4"/>
  <c r="AA364" i="1"/>
  <c r="Z364" i="1"/>
  <c r="Y364" i="1"/>
  <c r="X364" i="1"/>
  <c r="V364" i="1"/>
  <c r="U364" i="1"/>
  <c r="T364" i="1"/>
  <c r="S364" i="1"/>
  <c r="AA363" i="1"/>
  <c r="Z363" i="1"/>
  <c r="Y363" i="1"/>
  <c r="X363" i="1"/>
  <c r="V363" i="1"/>
  <c r="W363" i="1" s="1"/>
  <c r="U363" i="1"/>
  <c r="T363" i="1"/>
  <c r="S363" i="1"/>
  <c r="AA362" i="1"/>
  <c r="Z362" i="1"/>
  <c r="Y362" i="1"/>
  <c r="X362" i="1"/>
  <c r="W362" i="1"/>
  <c r="V362" i="1"/>
  <c r="T362" i="1"/>
  <c r="U362" i="1" s="1"/>
  <c r="S362" i="1"/>
  <c r="AA361" i="1"/>
  <c r="Z361" i="1"/>
  <c r="Y361" i="1"/>
  <c r="X361" i="1"/>
  <c r="V361" i="1"/>
  <c r="T361" i="1"/>
  <c r="S361" i="1"/>
  <c r="AA360" i="1"/>
  <c r="Z360" i="1"/>
  <c r="Y360" i="1"/>
  <c r="X360" i="1"/>
  <c r="V360" i="1"/>
  <c r="U360" i="1"/>
  <c r="T360" i="1"/>
  <c r="S360" i="1"/>
  <c r="AA359" i="1"/>
  <c r="Z359" i="1"/>
  <c r="Y359" i="1"/>
  <c r="X359" i="1"/>
  <c r="W359" i="1"/>
  <c r="V359" i="1"/>
  <c r="U359" i="1"/>
  <c r="T359" i="1"/>
  <c r="S359" i="1"/>
  <c r="AA358" i="1"/>
  <c r="Z358" i="1"/>
  <c r="Y358" i="1"/>
  <c r="X358" i="1"/>
  <c r="V358" i="1"/>
  <c r="T358" i="1"/>
  <c r="U358" i="1" s="1"/>
  <c r="S358" i="1"/>
  <c r="AA357" i="1"/>
  <c r="Z357" i="1"/>
  <c r="Y357" i="1"/>
  <c r="X357" i="1"/>
  <c r="V357" i="1"/>
  <c r="U357" i="1"/>
  <c r="T357" i="1"/>
  <c r="S357" i="1"/>
  <c r="AA356" i="1"/>
  <c r="Z356" i="1"/>
  <c r="Y356" i="1"/>
  <c r="X356" i="1"/>
  <c r="V356" i="1"/>
  <c r="U356" i="1"/>
  <c r="T356" i="1"/>
  <c r="S356" i="1"/>
  <c r="AA355" i="1"/>
  <c r="Z355" i="1"/>
  <c r="Y355" i="1"/>
  <c r="X355" i="1"/>
  <c r="V355" i="1"/>
  <c r="W355" i="1" s="1"/>
  <c r="U355" i="1"/>
  <c r="T355" i="1"/>
  <c r="S355" i="1"/>
  <c r="AA354" i="1"/>
  <c r="Z354" i="1"/>
  <c r="Y354" i="1"/>
  <c r="X354" i="1"/>
  <c r="V354" i="1"/>
  <c r="T354" i="1"/>
  <c r="S354" i="1"/>
  <c r="AA353" i="1"/>
  <c r="Z353" i="1"/>
  <c r="Y353" i="1"/>
  <c r="X353" i="1"/>
  <c r="V353" i="1"/>
  <c r="T353" i="1"/>
  <c r="S353" i="1"/>
  <c r="AA352" i="1"/>
  <c r="Z352" i="1"/>
  <c r="Y352" i="1"/>
  <c r="X352" i="1"/>
  <c r="V352" i="1"/>
  <c r="U352" i="1"/>
  <c r="T352" i="1"/>
  <c r="W352" i="1" s="1"/>
  <c r="S352" i="1"/>
  <c r="AA351" i="1"/>
  <c r="Z351" i="1"/>
  <c r="Y351" i="1"/>
  <c r="X351" i="1"/>
  <c r="W351" i="1"/>
  <c r="V351" i="1"/>
  <c r="U351" i="1"/>
  <c r="T351" i="1"/>
  <c r="S351" i="1"/>
  <c r="AA350" i="1"/>
  <c r="Z350" i="1"/>
  <c r="Y350" i="1"/>
  <c r="X350" i="1"/>
  <c r="W350" i="1"/>
  <c r="V350" i="1"/>
  <c r="T350" i="1"/>
  <c r="U350" i="1" s="1"/>
  <c r="S350" i="1"/>
  <c r="AA349" i="1"/>
  <c r="Z349" i="1"/>
  <c r="Y349" i="1"/>
  <c r="X349" i="1"/>
  <c r="V349" i="1"/>
  <c r="U349" i="1"/>
  <c r="T349" i="1"/>
  <c r="S349" i="1"/>
  <c r="AA348" i="1"/>
  <c r="Z348" i="1"/>
  <c r="Y348" i="1"/>
  <c r="X348" i="1"/>
  <c r="V348" i="1"/>
  <c r="U348" i="1"/>
  <c r="T348" i="1"/>
  <c r="S348" i="1"/>
  <c r="AA347" i="1"/>
  <c r="Z347" i="1"/>
  <c r="Y347" i="1"/>
  <c r="X347" i="1"/>
  <c r="V347" i="1"/>
  <c r="W347" i="1" s="1"/>
  <c r="U347" i="1"/>
  <c r="T347" i="1"/>
  <c r="S347" i="1"/>
  <c r="AA346" i="1"/>
  <c r="Z346" i="1"/>
  <c r="Y346" i="1"/>
  <c r="X346" i="1"/>
  <c r="W346" i="1"/>
  <c r="V346" i="1"/>
  <c r="T346" i="1"/>
  <c r="U346" i="1" s="1"/>
  <c r="S346" i="1"/>
  <c r="AA345" i="1"/>
  <c r="Z345" i="1"/>
  <c r="Y345" i="1"/>
  <c r="X345" i="1"/>
  <c r="V345" i="1"/>
  <c r="T345" i="1"/>
  <c r="S345" i="1"/>
  <c r="AA344" i="1"/>
  <c r="Z344" i="1"/>
  <c r="Y344" i="1"/>
  <c r="X344" i="1"/>
  <c r="V344" i="1"/>
  <c r="U344" i="1"/>
  <c r="T344" i="1"/>
  <c r="S344" i="1"/>
  <c r="AA343" i="1"/>
  <c r="Z343" i="1"/>
  <c r="Y343" i="1"/>
  <c r="X343" i="1"/>
  <c r="W343" i="1"/>
  <c r="V343" i="1"/>
  <c r="U343" i="1"/>
  <c r="T343" i="1"/>
  <c r="S343" i="1"/>
  <c r="AA342" i="1"/>
  <c r="Z342" i="1"/>
  <c r="Y342" i="1"/>
  <c r="X342" i="1"/>
  <c r="V342" i="1"/>
  <c r="T342" i="1"/>
  <c r="U342" i="1" s="1"/>
  <c r="S342" i="1"/>
  <c r="AA341" i="1"/>
  <c r="Z341" i="1"/>
  <c r="Y341" i="1"/>
  <c r="X341" i="1"/>
  <c r="V341" i="1"/>
  <c r="U341" i="1"/>
  <c r="T341" i="1"/>
  <c r="S341" i="1"/>
  <c r="AA340" i="1"/>
  <c r="Z340" i="1"/>
  <c r="Y340" i="1"/>
  <c r="X340" i="1"/>
  <c r="V340" i="1"/>
  <c r="U340" i="1"/>
  <c r="T340" i="1"/>
  <c r="S340" i="1"/>
  <c r="AA339" i="1"/>
  <c r="Z339" i="1"/>
  <c r="Y339" i="1"/>
  <c r="X339" i="1"/>
  <c r="V339" i="1"/>
  <c r="W339" i="1" s="1"/>
  <c r="U339" i="1"/>
  <c r="T339" i="1"/>
  <c r="S339" i="1"/>
  <c r="AA338" i="1"/>
  <c r="Z338" i="1"/>
  <c r="Y338" i="1"/>
  <c r="X338" i="1"/>
  <c r="V338" i="1"/>
  <c r="T338" i="1"/>
  <c r="S338" i="1"/>
  <c r="AA337" i="1"/>
  <c r="Z337" i="1"/>
  <c r="Y337" i="1"/>
  <c r="X337" i="1"/>
  <c r="V337" i="1"/>
  <c r="T337" i="1"/>
  <c r="S337" i="1"/>
  <c r="AA336" i="1"/>
  <c r="Z336" i="1"/>
  <c r="Y336" i="1"/>
  <c r="X336" i="1"/>
  <c r="V336" i="1"/>
  <c r="U336" i="1"/>
  <c r="T336" i="1"/>
  <c r="W336" i="1" s="1"/>
  <c r="S336" i="1"/>
  <c r="AA335" i="1"/>
  <c r="Z335" i="1"/>
  <c r="Y335" i="1"/>
  <c r="X335" i="1"/>
  <c r="W335" i="1"/>
  <c r="V335" i="1"/>
  <c r="U335" i="1"/>
  <c r="T335" i="1"/>
  <c r="S335" i="1"/>
  <c r="AA334" i="1"/>
  <c r="Z334" i="1"/>
  <c r="Y334" i="1"/>
  <c r="X334" i="1"/>
  <c r="W334" i="1"/>
  <c r="V334" i="1"/>
  <c r="T334" i="1"/>
  <c r="U334" i="1" s="1"/>
  <c r="S334" i="1"/>
  <c r="AA333" i="1"/>
  <c r="Z333" i="1"/>
  <c r="Y333" i="1"/>
  <c r="X333" i="1"/>
  <c r="V333" i="1"/>
  <c r="U333" i="1"/>
  <c r="T333" i="1"/>
  <c r="S333" i="1"/>
  <c r="AA332" i="1"/>
  <c r="Z332" i="1"/>
  <c r="Y332" i="1"/>
  <c r="X332" i="1"/>
  <c r="V332" i="1"/>
  <c r="U332" i="1"/>
  <c r="T332" i="1"/>
  <c r="S332" i="1"/>
  <c r="AA331" i="1"/>
  <c r="Z331" i="1"/>
  <c r="Y331" i="1"/>
  <c r="X331" i="1"/>
  <c r="V331" i="1"/>
  <c r="W331" i="1" s="1"/>
  <c r="U331" i="1"/>
  <c r="T331" i="1"/>
  <c r="S331" i="1"/>
  <c r="AA330" i="1"/>
  <c r="Z330" i="1"/>
  <c r="Y330" i="1"/>
  <c r="X330" i="1"/>
  <c r="W330" i="1"/>
  <c r="V330" i="1"/>
  <c r="T330" i="1"/>
  <c r="U330" i="1" s="1"/>
  <c r="S330" i="1"/>
  <c r="AA329" i="1"/>
  <c r="Z329" i="1"/>
  <c r="Y329" i="1"/>
  <c r="X329" i="1"/>
  <c r="V329" i="1"/>
  <c r="T329" i="1"/>
  <c r="S329" i="1"/>
  <c r="AA328" i="1"/>
  <c r="Z328" i="1"/>
  <c r="Y328" i="1"/>
  <c r="X328" i="1"/>
  <c r="V328" i="1"/>
  <c r="U328" i="1"/>
  <c r="T328" i="1"/>
  <c r="S328" i="1"/>
  <c r="AA327" i="1"/>
  <c r="Z327" i="1"/>
  <c r="Y327" i="1"/>
  <c r="X327" i="1"/>
  <c r="W327" i="1"/>
  <c r="V327" i="1"/>
  <c r="U327" i="1"/>
  <c r="T327" i="1"/>
  <c r="S327" i="1"/>
  <c r="AA326" i="1"/>
  <c r="Z326" i="1"/>
  <c r="Y326" i="1"/>
  <c r="X326" i="1"/>
  <c r="V326" i="1"/>
  <c r="T326" i="1"/>
  <c r="U326" i="1" s="1"/>
  <c r="S326" i="1"/>
  <c r="AA325" i="1"/>
  <c r="Z325" i="1"/>
  <c r="Y325" i="1"/>
  <c r="X325" i="1"/>
  <c r="V325" i="1"/>
  <c r="U325" i="1"/>
  <c r="T325" i="1"/>
  <c r="S325" i="1"/>
  <c r="AA324" i="1"/>
  <c r="Z324" i="1"/>
  <c r="Y324" i="1"/>
  <c r="X324" i="1"/>
  <c r="V324" i="1"/>
  <c r="U324" i="1"/>
  <c r="T324" i="1"/>
  <c r="S324" i="1"/>
  <c r="AA323" i="1"/>
  <c r="Z323" i="1"/>
  <c r="Y323" i="1"/>
  <c r="X323" i="1"/>
  <c r="V323" i="1"/>
  <c r="W323" i="1" s="1"/>
  <c r="U323" i="1"/>
  <c r="T323" i="1"/>
  <c r="S323" i="1"/>
  <c r="AA322" i="1"/>
  <c r="Z322" i="1"/>
  <c r="Y322" i="1"/>
  <c r="X322" i="1"/>
  <c r="V322" i="1"/>
  <c r="T322" i="1"/>
  <c r="S322" i="1"/>
  <c r="AA321" i="1"/>
  <c r="Z321" i="1"/>
  <c r="Y321" i="1"/>
  <c r="X321" i="1"/>
  <c r="V321" i="1"/>
  <c r="T321" i="1"/>
  <c r="S321" i="1"/>
  <c r="AA320" i="1"/>
  <c r="Z320" i="1"/>
  <c r="Y320" i="1"/>
  <c r="X320" i="1"/>
  <c r="V320" i="1"/>
  <c r="U320" i="1"/>
  <c r="T320" i="1"/>
  <c r="W320" i="1" s="1"/>
  <c r="S320" i="1"/>
  <c r="AA319" i="1"/>
  <c r="Z319" i="1"/>
  <c r="Y319" i="1"/>
  <c r="X319" i="1"/>
  <c r="W319" i="1"/>
  <c r="V319" i="1"/>
  <c r="U319" i="1"/>
  <c r="T319" i="1"/>
  <c r="S319" i="1"/>
  <c r="AA318" i="1"/>
  <c r="Z318" i="1"/>
  <c r="Y318" i="1"/>
  <c r="X318" i="1"/>
  <c r="W318" i="1"/>
  <c r="V318" i="1"/>
  <c r="T318" i="1"/>
  <c r="U318" i="1" s="1"/>
  <c r="S318" i="1"/>
  <c r="AA317" i="1"/>
  <c r="Z317" i="1"/>
  <c r="Y317" i="1"/>
  <c r="X317" i="1"/>
  <c r="V317" i="1"/>
  <c r="U317" i="1"/>
  <c r="T317" i="1"/>
  <c r="S317" i="1"/>
  <c r="AA316" i="1"/>
  <c r="Z316" i="1"/>
  <c r="Y316" i="1"/>
  <c r="X316" i="1"/>
  <c r="V316" i="1"/>
  <c r="U316" i="1"/>
  <c r="T316" i="1"/>
  <c r="S316" i="1"/>
  <c r="AA315" i="1"/>
  <c r="Z315" i="1"/>
  <c r="Y315" i="1"/>
  <c r="X315" i="1"/>
  <c r="V315" i="1"/>
  <c r="W315" i="1" s="1"/>
  <c r="U315" i="1"/>
  <c r="T315" i="1"/>
  <c r="S315" i="1"/>
  <c r="AA314" i="1"/>
  <c r="Z314" i="1"/>
  <c r="Y314" i="1"/>
  <c r="X314" i="1"/>
  <c r="W314" i="1"/>
  <c r="V314" i="1"/>
  <c r="T314" i="1"/>
  <c r="U314" i="1" s="1"/>
  <c r="S314" i="1"/>
  <c r="AA313" i="1"/>
  <c r="Z313" i="1"/>
  <c r="Y313" i="1"/>
  <c r="X313" i="1"/>
  <c r="V313" i="1"/>
  <c r="T313" i="1"/>
  <c r="S313" i="1"/>
  <c r="AA312" i="1"/>
  <c r="Z312" i="1"/>
  <c r="Y312" i="1"/>
  <c r="X312" i="1"/>
  <c r="V312" i="1"/>
  <c r="U312" i="1"/>
  <c r="T312" i="1"/>
  <c r="S312" i="1"/>
  <c r="AA311" i="1"/>
  <c r="Z311" i="1"/>
  <c r="Y311" i="1"/>
  <c r="X311" i="1"/>
  <c r="W311" i="1"/>
  <c r="V311" i="1"/>
  <c r="U311" i="1"/>
  <c r="T311" i="1"/>
  <c r="S311" i="1"/>
  <c r="AA310" i="1"/>
  <c r="Z310" i="1"/>
  <c r="Y310" i="1"/>
  <c r="X310" i="1"/>
  <c r="V310" i="1"/>
  <c r="T310" i="1"/>
  <c r="U310" i="1" s="1"/>
  <c r="S310" i="1"/>
  <c r="AA309" i="1"/>
  <c r="Z309" i="1"/>
  <c r="Y309" i="1"/>
  <c r="X309" i="1"/>
  <c r="V309" i="1"/>
  <c r="U309" i="1"/>
  <c r="T309" i="1"/>
  <c r="S309" i="1"/>
  <c r="AA308" i="1"/>
  <c r="Z308" i="1"/>
  <c r="Y308" i="1"/>
  <c r="X308" i="1"/>
  <c r="V308" i="1"/>
  <c r="U308" i="1"/>
  <c r="T308" i="1"/>
  <c r="S308" i="1"/>
  <c r="AA307" i="1"/>
  <c r="Z307" i="1"/>
  <c r="Y307" i="1"/>
  <c r="X307" i="1"/>
  <c r="V307" i="1"/>
  <c r="W307" i="1" s="1"/>
  <c r="U307" i="1"/>
  <c r="T307" i="1"/>
  <c r="S307" i="1"/>
  <c r="AA306" i="1"/>
  <c r="Z306" i="1"/>
  <c r="Y306" i="1"/>
  <c r="X306" i="1"/>
  <c r="V306" i="1"/>
  <c r="T306" i="1"/>
  <c r="S306" i="1"/>
  <c r="AA305" i="1"/>
  <c r="Z305" i="1"/>
  <c r="Y305" i="1"/>
  <c r="X305" i="1"/>
  <c r="V305" i="1"/>
  <c r="T305" i="1"/>
  <c r="S305" i="1"/>
  <c r="AA304" i="1"/>
  <c r="Z304" i="1"/>
  <c r="Y304" i="1"/>
  <c r="X304" i="1"/>
  <c r="V304" i="1"/>
  <c r="U304" i="1"/>
  <c r="T304" i="1"/>
  <c r="W304" i="1" s="1"/>
  <c r="S304" i="1"/>
  <c r="AA303" i="1"/>
  <c r="Z303" i="1"/>
  <c r="Y303" i="1"/>
  <c r="X303" i="1"/>
  <c r="W303" i="1"/>
  <c r="V303" i="1"/>
  <c r="U303" i="1"/>
  <c r="T303" i="1"/>
  <c r="S303" i="1"/>
  <c r="AA302" i="1"/>
  <c r="Z302" i="1"/>
  <c r="Y302" i="1"/>
  <c r="X302" i="1"/>
  <c r="W302" i="1"/>
  <c r="V302" i="1"/>
  <c r="T302" i="1"/>
  <c r="U302" i="1" s="1"/>
  <c r="S302" i="1"/>
  <c r="AA301" i="1"/>
  <c r="Z301" i="1"/>
  <c r="Y301" i="1"/>
  <c r="X301" i="1"/>
  <c r="V301" i="1"/>
  <c r="U301" i="1"/>
  <c r="T301" i="1"/>
  <c r="S301" i="1"/>
  <c r="AA300" i="1"/>
  <c r="Z300" i="1"/>
  <c r="Y300" i="1"/>
  <c r="X300" i="1"/>
  <c r="V300" i="1"/>
  <c r="U300" i="1"/>
  <c r="T300" i="1"/>
  <c r="S300" i="1"/>
  <c r="AA299" i="1"/>
  <c r="Z299" i="1"/>
  <c r="Y299" i="1"/>
  <c r="X299" i="1"/>
  <c r="V299" i="1"/>
  <c r="W299" i="1" s="1"/>
  <c r="U299" i="1"/>
  <c r="T299" i="1"/>
  <c r="S299" i="1"/>
  <c r="AA298" i="1"/>
  <c r="Z298" i="1"/>
  <c r="Y298" i="1"/>
  <c r="X298" i="1"/>
  <c r="W298" i="1"/>
  <c r="V298" i="1"/>
  <c r="T298" i="1"/>
  <c r="U298" i="1" s="1"/>
  <c r="S298" i="1"/>
  <c r="AA297" i="1"/>
  <c r="Z297" i="1"/>
  <c r="Y297" i="1"/>
  <c r="X297" i="1"/>
  <c r="V297" i="1"/>
  <c r="T297" i="1"/>
  <c r="S297" i="1"/>
  <c r="AA296" i="1"/>
  <c r="Z296" i="1"/>
  <c r="Y296" i="1"/>
  <c r="X296" i="1"/>
  <c r="V296" i="1"/>
  <c r="U296" i="1"/>
  <c r="T296" i="1"/>
  <c r="S296" i="1"/>
  <c r="AA295" i="1"/>
  <c r="Z295" i="1"/>
  <c r="Y295" i="1"/>
  <c r="X295" i="1"/>
  <c r="W295" i="1"/>
  <c r="V295" i="1"/>
  <c r="U295" i="1"/>
  <c r="T295" i="1"/>
  <c r="S295" i="1"/>
  <c r="AA294" i="1"/>
  <c r="Z294" i="1"/>
  <c r="Y294" i="1"/>
  <c r="X294" i="1"/>
  <c r="V294" i="1"/>
  <c r="T294" i="1"/>
  <c r="U294" i="1" s="1"/>
  <c r="S294" i="1"/>
  <c r="AA293" i="1"/>
  <c r="Z293" i="1"/>
  <c r="Y293" i="1"/>
  <c r="X293" i="1"/>
  <c r="V293" i="1"/>
  <c r="U293" i="1"/>
  <c r="T293" i="1"/>
  <c r="S293" i="1"/>
  <c r="AA292" i="1"/>
  <c r="Z292" i="1"/>
  <c r="Y292" i="1"/>
  <c r="X292" i="1"/>
  <c r="V292" i="1"/>
  <c r="U292" i="1"/>
  <c r="T292" i="1"/>
  <c r="S292" i="1"/>
  <c r="AA291" i="1"/>
  <c r="Z291" i="1"/>
  <c r="Y291" i="1"/>
  <c r="X291" i="1"/>
  <c r="V291" i="1"/>
  <c r="W291" i="1" s="1"/>
  <c r="U291" i="1"/>
  <c r="T291" i="1"/>
  <c r="S291" i="1"/>
  <c r="AA290" i="1"/>
  <c r="Z290" i="1"/>
  <c r="Y290" i="1"/>
  <c r="X290" i="1"/>
  <c r="V290" i="1"/>
  <c r="T290" i="1"/>
  <c r="S290" i="1"/>
  <c r="AA289" i="1"/>
  <c r="Z289" i="1"/>
  <c r="Y289" i="1"/>
  <c r="X289" i="1"/>
  <c r="V289" i="1"/>
  <c r="T289" i="1"/>
  <c r="S289" i="1"/>
  <c r="AA288" i="1"/>
  <c r="Z288" i="1"/>
  <c r="Y288" i="1"/>
  <c r="X288" i="1"/>
  <c r="V288" i="1"/>
  <c r="U288" i="1"/>
  <c r="T288" i="1"/>
  <c r="W288" i="1" s="1"/>
  <c r="S288" i="1"/>
  <c r="AA287" i="1"/>
  <c r="Z287" i="1"/>
  <c r="Y287" i="1"/>
  <c r="X287" i="1"/>
  <c r="W287" i="1"/>
  <c r="V287" i="1"/>
  <c r="U287" i="1"/>
  <c r="T287" i="1"/>
  <c r="S287" i="1"/>
  <c r="AA286" i="1"/>
  <c r="Z286" i="1"/>
  <c r="Y286" i="1"/>
  <c r="X286" i="1"/>
  <c r="W286" i="1"/>
  <c r="V286" i="1"/>
  <c r="T286" i="1"/>
  <c r="U286" i="1" s="1"/>
  <c r="S286" i="1"/>
  <c r="AA285" i="1"/>
  <c r="Z285" i="1"/>
  <c r="Y285" i="1"/>
  <c r="X285" i="1"/>
  <c r="V285" i="1"/>
  <c r="U285" i="1"/>
  <c r="T285" i="1"/>
  <c r="S285" i="1"/>
  <c r="AA284" i="1"/>
  <c r="Z284" i="1"/>
  <c r="Y284" i="1"/>
  <c r="X284" i="1"/>
  <c r="V284" i="1"/>
  <c r="U284" i="1"/>
  <c r="T284" i="1"/>
  <c r="S284" i="1"/>
  <c r="AA283" i="1"/>
  <c r="Z283" i="1"/>
  <c r="Y283" i="1"/>
  <c r="X283" i="1"/>
  <c r="V283" i="1"/>
  <c r="W283" i="1" s="1"/>
  <c r="U283" i="1"/>
  <c r="T283" i="1"/>
  <c r="S283" i="1"/>
  <c r="AA282" i="1"/>
  <c r="Z282" i="1"/>
  <c r="Y282" i="1"/>
  <c r="X282" i="1"/>
  <c r="W282" i="1"/>
  <c r="V282" i="1"/>
  <c r="T282" i="1"/>
  <c r="U282" i="1" s="1"/>
  <c r="S282" i="1"/>
  <c r="AA281" i="1"/>
  <c r="Z281" i="1"/>
  <c r="Y281" i="1"/>
  <c r="X281" i="1"/>
  <c r="V281" i="1"/>
  <c r="T281" i="1"/>
  <c r="S281" i="1"/>
  <c r="AA280" i="1"/>
  <c r="Z280" i="1"/>
  <c r="Y280" i="1"/>
  <c r="X280" i="1"/>
  <c r="V280" i="1"/>
  <c r="U280" i="1"/>
  <c r="T280" i="1"/>
  <c r="W280" i="1" s="1"/>
  <c r="S280" i="1"/>
  <c r="AA279" i="1"/>
  <c r="Z279" i="1"/>
  <c r="Y279" i="1"/>
  <c r="X279" i="1"/>
  <c r="W279" i="1"/>
  <c r="V279" i="1"/>
  <c r="U279" i="1"/>
  <c r="T279" i="1"/>
  <c r="S279" i="1"/>
  <c r="AA278" i="1"/>
  <c r="Z278" i="1"/>
  <c r="Y278" i="1"/>
  <c r="X278" i="1"/>
  <c r="V278" i="1"/>
  <c r="T278" i="1"/>
  <c r="U278" i="1" s="1"/>
  <c r="S278" i="1"/>
  <c r="AA277" i="1"/>
  <c r="Z277" i="1"/>
  <c r="Y277" i="1"/>
  <c r="X277" i="1"/>
  <c r="V277" i="1"/>
  <c r="U277" i="1"/>
  <c r="T277" i="1"/>
  <c r="S277" i="1"/>
  <c r="AA276" i="1"/>
  <c r="Z276" i="1"/>
  <c r="Y276" i="1"/>
  <c r="X276" i="1"/>
  <c r="V276" i="1"/>
  <c r="U276" i="1"/>
  <c r="T276" i="1"/>
  <c r="S276" i="1"/>
  <c r="AA275" i="1"/>
  <c r="Z275" i="1"/>
  <c r="Y275" i="1"/>
  <c r="X275" i="1"/>
  <c r="V275" i="1"/>
  <c r="W275" i="1" s="1"/>
  <c r="U275" i="1"/>
  <c r="T275" i="1"/>
  <c r="S275" i="1"/>
  <c r="AA274" i="1"/>
  <c r="Z274" i="1"/>
  <c r="Y274" i="1"/>
  <c r="X274" i="1"/>
  <c r="V274" i="1"/>
  <c r="T274" i="1"/>
  <c r="U274" i="1" s="1"/>
  <c r="S274" i="1"/>
  <c r="AA273" i="1"/>
  <c r="Z273" i="1"/>
  <c r="Y273" i="1"/>
  <c r="X273" i="1"/>
  <c r="V273" i="1"/>
  <c r="T273" i="1"/>
  <c r="S273" i="1"/>
  <c r="AA272" i="1"/>
  <c r="Z272" i="1"/>
  <c r="Y272" i="1"/>
  <c r="X272" i="1"/>
  <c r="V272" i="1"/>
  <c r="U272" i="1"/>
  <c r="T272" i="1"/>
  <c r="S272" i="1"/>
  <c r="AA271" i="1"/>
  <c r="Z271" i="1"/>
  <c r="Y271" i="1"/>
  <c r="X271" i="1"/>
  <c r="W271" i="1"/>
  <c r="V271" i="1"/>
  <c r="U271" i="1"/>
  <c r="T271" i="1"/>
  <c r="S271" i="1"/>
  <c r="AA270" i="1"/>
  <c r="Z270" i="1"/>
  <c r="Y270" i="1"/>
  <c r="X270" i="1"/>
  <c r="W270" i="1"/>
  <c r="V270" i="1"/>
  <c r="T270" i="1"/>
  <c r="U270" i="1" s="1"/>
  <c r="S270" i="1"/>
  <c r="AA269" i="1"/>
  <c r="Z269" i="1"/>
  <c r="Y269" i="1"/>
  <c r="X269" i="1"/>
  <c r="V269" i="1"/>
  <c r="U269" i="1"/>
  <c r="T269" i="1"/>
  <c r="S269" i="1"/>
  <c r="AA268" i="1"/>
  <c r="Z268" i="1"/>
  <c r="Y268" i="1"/>
  <c r="X268" i="1"/>
  <c r="V268" i="1"/>
  <c r="U268" i="1"/>
  <c r="T268" i="1"/>
  <c r="S268" i="1"/>
  <c r="AA267" i="1"/>
  <c r="Z267" i="1"/>
  <c r="Y267" i="1"/>
  <c r="X267" i="1"/>
  <c r="V267" i="1"/>
  <c r="W267" i="1" s="1"/>
  <c r="U267" i="1"/>
  <c r="T267" i="1"/>
  <c r="S267" i="1"/>
  <c r="AA266" i="1"/>
  <c r="Z266" i="1"/>
  <c r="Y266" i="1"/>
  <c r="X266" i="1"/>
  <c r="V266" i="1"/>
  <c r="T266" i="1"/>
  <c r="U266" i="1" s="1"/>
  <c r="S266" i="1"/>
  <c r="AA265" i="1"/>
  <c r="Z265" i="1"/>
  <c r="Y265" i="1"/>
  <c r="X265" i="1"/>
  <c r="V265" i="1"/>
  <c r="T265" i="1"/>
  <c r="S265" i="1"/>
  <c r="AA264" i="1"/>
  <c r="Z264" i="1"/>
  <c r="Y264" i="1"/>
  <c r="X264" i="1"/>
  <c r="V264" i="1"/>
  <c r="U264" i="1"/>
  <c r="T264" i="1"/>
  <c r="S264" i="1"/>
  <c r="AA263" i="1"/>
  <c r="Z263" i="1"/>
  <c r="Y263" i="1"/>
  <c r="X263" i="1"/>
  <c r="W263" i="1"/>
  <c r="V263" i="1"/>
  <c r="U263" i="1"/>
  <c r="T263" i="1"/>
  <c r="S263" i="1"/>
  <c r="AA262" i="1"/>
  <c r="Z262" i="1"/>
  <c r="Y262" i="1"/>
  <c r="X262" i="1"/>
  <c r="V262" i="1"/>
  <c r="T262" i="1"/>
  <c r="U262" i="1" s="1"/>
  <c r="S262" i="1"/>
  <c r="AA261" i="1"/>
  <c r="Z261" i="1"/>
  <c r="Y261" i="1"/>
  <c r="X261" i="1"/>
  <c r="V261" i="1"/>
  <c r="U261" i="1"/>
  <c r="T261" i="1"/>
  <c r="S261" i="1"/>
  <c r="AA260" i="1"/>
  <c r="Z260" i="1"/>
  <c r="Y260" i="1"/>
  <c r="X260" i="1"/>
  <c r="V260" i="1"/>
  <c r="U260" i="1"/>
  <c r="T260" i="1"/>
  <c r="S260" i="1"/>
  <c r="AA259" i="1"/>
  <c r="Z259" i="1"/>
  <c r="Y259" i="1"/>
  <c r="X259" i="1"/>
  <c r="V259" i="1"/>
  <c r="W259" i="1" s="1"/>
  <c r="U259" i="1"/>
  <c r="T259" i="1"/>
  <c r="S259" i="1"/>
  <c r="AA258" i="1"/>
  <c r="Z258" i="1"/>
  <c r="Y258" i="1"/>
  <c r="X258" i="1"/>
  <c r="W258" i="1"/>
  <c r="V258" i="1"/>
  <c r="T258" i="1"/>
  <c r="U258" i="1" s="1"/>
  <c r="S258" i="1"/>
  <c r="AA257" i="1"/>
  <c r="Z257" i="1"/>
  <c r="Y257" i="1"/>
  <c r="X257" i="1"/>
  <c r="V257" i="1"/>
  <c r="T257" i="1"/>
  <c r="S257" i="1"/>
  <c r="AA256" i="1"/>
  <c r="Z256" i="1"/>
  <c r="Y256" i="1"/>
  <c r="X256" i="1"/>
  <c r="V256" i="1"/>
  <c r="U256" i="1"/>
  <c r="T256" i="1"/>
  <c r="S256" i="1"/>
  <c r="AA255" i="1"/>
  <c r="Z255" i="1"/>
  <c r="Y255" i="1"/>
  <c r="X255" i="1"/>
  <c r="W255" i="1"/>
  <c r="V255" i="1"/>
  <c r="U255" i="1"/>
  <c r="T255" i="1"/>
  <c r="S255" i="1"/>
  <c r="AA254" i="1"/>
  <c r="Z254" i="1"/>
  <c r="Y254" i="1"/>
  <c r="X254" i="1"/>
  <c r="W254" i="1"/>
  <c r="V254" i="1"/>
  <c r="T254" i="1"/>
  <c r="U254" i="1" s="1"/>
  <c r="S254" i="1"/>
  <c r="AA253" i="1"/>
  <c r="Z253" i="1"/>
  <c r="Y253" i="1"/>
  <c r="X253" i="1"/>
  <c r="V253" i="1"/>
  <c r="U253" i="1"/>
  <c r="T253" i="1"/>
  <c r="S253" i="1"/>
  <c r="AA252" i="1"/>
  <c r="Z252" i="1"/>
  <c r="Y252" i="1"/>
  <c r="X252" i="1"/>
  <c r="V252" i="1"/>
  <c r="U252" i="1"/>
  <c r="T252" i="1"/>
  <c r="S252" i="1"/>
  <c r="AA251" i="1"/>
  <c r="Z251" i="1"/>
  <c r="Y251" i="1"/>
  <c r="X251" i="1"/>
  <c r="V251" i="1"/>
  <c r="W251" i="1" s="1"/>
  <c r="U251" i="1"/>
  <c r="T251" i="1"/>
  <c r="S251" i="1"/>
  <c r="AA250" i="1"/>
  <c r="Z250" i="1"/>
  <c r="Y250" i="1"/>
  <c r="X250" i="1"/>
  <c r="W250" i="1"/>
  <c r="V250" i="1"/>
  <c r="T250" i="1"/>
  <c r="U250" i="1" s="1"/>
  <c r="S250" i="1"/>
  <c r="AA249" i="1"/>
  <c r="Z249" i="1"/>
  <c r="Y249" i="1"/>
  <c r="X249" i="1"/>
  <c r="V249" i="1"/>
  <c r="T249" i="1"/>
  <c r="S249" i="1"/>
  <c r="AA248" i="1"/>
  <c r="Z248" i="1"/>
  <c r="Y248" i="1"/>
  <c r="X248" i="1"/>
  <c r="V248" i="1"/>
  <c r="U248" i="1"/>
  <c r="T248" i="1"/>
  <c r="S248" i="1"/>
  <c r="AA247" i="1"/>
  <c r="Z247" i="1"/>
  <c r="Y247" i="1"/>
  <c r="X247" i="1"/>
  <c r="W247" i="1"/>
  <c r="V247" i="1"/>
  <c r="U247" i="1"/>
  <c r="T247" i="1"/>
  <c r="S247" i="1"/>
  <c r="AA246" i="1"/>
  <c r="Z246" i="1"/>
  <c r="Y246" i="1"/>
  <c r="X246" i="1"/>
  <c r="V246" i="1"/>
  <c r="T246" i="1"/>
  <c r="U246" i="1" s="1"/>
  <c r="S246" i="1"/>
  <c r="AA245" i="1"/>
  <c r="Z245" i="1"/>
  <c r="Y245" i="1"/>
  <c r="X245" i="1"/>
  <c r="V245" i="1"/>
  <c r="U245" i="1"/>
  <c r="T245" i="1"/>
  <c r="S245" i="1"/>
  <c r="AA244" i="1"/>
  <c r="Z244" i="1"/>
  <c r="Y244" i="1"/>
  <c r="X244" i="1"/>
  <c r="V244" i="1"/>
  <c r="U244" i="1"/>
  <c r="T244" i="1"/>
  <c r="S244" i="1"/>
  <c r="AA243" i="1"/>
  <c r="Z243" i="1"/>
  <c r="Y243" i="1"/>
  <c r="X243" i="1"/>
  <c r="V243" i="1"/>
  <c r="W243" i="1" s="1"/>
  <c r="U243" i="1"/>
  <c r="T243" i="1"/>
  <c r="S243" i="1"/>
  <c r="AA242" i="1"/>
  <c r="Z242" i="1"/>
  <c r="Y242" i="1"/>
  <c r="X242" i="1"/>
  <c r="W242" i="1"/>
  <c r="V242" i="1"/>
  <c r="T242" i="1"/>
  <c r="U242" i="1" s="1"/>
  <c r="S242" i="1"/>
  <c r="AA241" i="1"/>
  <c r="Z241" i="1"/>
  <c r="Y241" i="1"/>
  <c r="X241" i="1"/>
  <c r="V241" i="1"/>
  <c r="T241" i="1"/>
  <c r="S241" i="1"/>
  <c r="AA240" i="1"/>
  <c r="Z240" i="1"/>
  <c r="Y240" i="1"/>
  <c r="X240" i="1"/>
  <c r="V240" i="1"/>
  <c r="U240" i="1"/>
  <c r="T240" i="1"/>
  <c r="W240" i="1" s="1"/>
  <c r="S240" i="1"/>
  <c r="AA239" i="1"/>
  <c r="Z239" i="1"/>
  <c r="Y239" i="1"/>
  <c r="X239" i="1"/>
  <c r="W239" i="1"/>
  <c r="V239" i="1"/>
  <c r="U239" i="1"/>
  <c r="T239" i="1"/>
  <c r="S239" i="1"/>
  <c r="AA238" i="1"/>
  <c r="Z238" i="1"/>
  <c r="Y238" i="1"/>
  <c r="X238" i="1"/>
  <c r="W238" i="1"/>
  <c r="V238" i="1"/>
  <c r="T238" i="1"/>
  <c r="U238" i="1" s="1"/>
  <c r="S238" i="1"/>
  <c r="AA237" i="1"/>
  <c r="Z237" i="1"/>
  <c r="Y237" i="1"/>
  <c r="X237" i="1"/>
  <c r="V237" i="1"/>
  <c r="U237" i="1"/>
  <c r="T237" i="1"/>
  <c r="S237" i="1"/>
  <c r="AA236" i="1"/>
  <c r="Z236" i="1"/>
  <c r="Y236" i="1"/>
  <c r="X236" i="1"/>
  <c r="V236" i="1"/>
  <c r="U236" i="1"/>
  <c r="T236" i="1"/>
  <c r="S236" i="1"/>
  <c r="AA235" i="1"/>
  <c r="Z235" i="1"/>
  <c r="Y235" i="1"/>
  <c r="X235" i="1"/>
  <c r="V235" i="1"/>
  <c r="W235" i="1" s="1"/>
  <c r="U235" i="1"/>
  <c r="T235" i="1"/>
  <c r="S235" i="1"/>
  <c r="AA234" i="1"/>
  <c r="Z234" i="1"/>
  <c r="Y234" i="1"/>
  <c r="X234" i="1"/>
  <c r="W234" i="1"/>
  <c r="V234" i="1"/>
  <c r="T234" i="1"/>
  <c r="U234" i="1" s="1"/>
  <c r="S234" i="1"/>
  <c r="AA233" i="1"/>
  <c r="Z233" i="1"/>
  <c r="Y233" i="1"/>
  <c r="X233" i="1"/>
  <c r="V233" i="1"/>
  <c r="T233" i="1"/>
  <c r="S233" i="1"/>
  <c r="AA232" i="1"/>
  <c r="Z232" i="1"/>
  <c r="Y232" i="1"/>
  <c r="X232" i="1"/>
  <c r="V232" i="1"/>
  <c r="T232" i="1"/>
  <c r="S232" i="1"/>
  <c r="AA231" i="1"/>
  <c r="Z231" i="1"/>
  <c r="Y231" i="1"/>
  <c r="X231" i="1"/>
  <c r="V231" i="1"/>
  <c r="U231" i="1"/>
  <c r="W231" i="1" s="1"/>
  <c r="T231" i="1"/>
  <c r="S231" i="1"/>
  <c r="AA230" i="1"/>
  <c r="Z230" i="1"/>
  <c r="Y230" i="1"/>
  <c r="X230" i="1"/>
  <c r="V230" i="1"/>
  <c r="T230" i="1"/>
  <c r="U230" i="1" s="1"/>
  <c r="S230" i="1"/>
  <c r="AA229" i="1"/>
  <c r="Z229" i="1"/>
  <c r="Y229" i="1"/>
  <c r="X229" i="1"/>
  <c r="V229" i="1"/>
  <c r="T229" i="1"/>
  <c r="S229" i="1"/>
  <c r="AA228" i="1"/>
  <c r="Z228" i="1"/>
  <c r="Y228" i="1"/>
  <c r="X228" i="1"/>
  <c r="V228" i="1"/>
  <c r="T228" i="1"/>
  <c r="S228" i="1"/>
  <c r="AA227" i="1"/>
  <c r="Z227" i="1"/>
  <c r="Y227" i="1"/>
  <c r="X227" i="1"/>
  <c r="W227" i="1"/>
  <c r="V227" i="1"/>
  <c r="U227" i="1"/>
  <c r="T227" i="1"/>
  <c r="S227" i="1"/>
  <c r="AA226" i="1"/>
  <c r="Z226" i="1"/>
  <c r="Y226" i="1"/>
  <c r="X226" i="1"/>
  <c r="V226" i="1"/>
  <c r="W226" i="1" s="1"/>
  <c r="T226" i="1"/>
  <c r="U226" i="1" s="1"/>
  <c r="S226" i="1"/>
  <c r="AA225" i="1"/>
  <c r="Z225" i="1"/>
  <c r="Y225" i="1"/>
  <c r="X225" i="1"/>
  <c r="V225" i="1"/>
  <c r="T225" i="1"/>
  <c r="S225" i="1"/>
  <c r="AA224" i="1"/>
  <c r="Z224" i="1"/>
  <c r="Y224" i="1"/>
  <c r="X224" i="1"/>
  <c r="V224" i="1"/>
  <c r="T224" i="1"/>
  <c r="S224" i="1"/>
  <c r="AA223" i="1"/>
  <c r="Z223" i="1"/>
  <c r="Y223" i="1"/>
  <c r="X223" i="1"/>
  <c r="V223" i="1"/>
  <c r="U223" i="1"/>
  <c r="W223" i="1" s="1"/>
  <c r="T223" i="1"/>
  <c r="S223" i="1"/>
  <c r="AA222" i="1"/>
  <c r="Z222" i="1"/>
  <c r="Y222" i="1"/>
  <c r="X222" i="1"/>
  <c r="V222" i="1"/>
  <c r="T222" i="1"/>
  <c r="U222" i="1" s="1"/>
  <c r="S222" i="1"/>
  <c r="AA221" i="1"/>
  <c r="Z221" i="1"/>
  <c r="Y221" i="1"/>
  <c r="X221" i="1"/>
  <c r="V221" i="1"/>
  <c r="T221" i="1"/>
  <c r="S221" i="1"/>
  <c r="AA220" i="1"/>
  <c r="Z220" i="1"/>
  <c r="Y220" i="1"/>
  <c r="X220" i="1"/>
  <c r="V220" i="1"/>
  <c r="T220" i="1"/>
  <c r="S220" i="1"/>
  <c r="AA219" i="1"/>
  <c r="Z219" i="1"/>
  <c r="Y219" i="1"/>
  <c r="X219" i="1"/>
  <c r="W219" i="1"/>
  <c r="V219" i="1"/>
  <c r="U219" i="1"/>
  <c r="T219" i="1"/>
  <c r="S219" i="1"/>
  <c r="AA218" i="1"/>
  <c r="Z218" i="1"/>
  <c r="Y218" i="1"/>
  <c r="X218" i="1"/>
  <c r="V218" i="1"/>
  <c r="W218" i="1" s="1"/>
  <c r="T218" i="1"/>
  <c r="U218" i="1" s="1"/>
  <c r="S218" i="1"/>
  <c r="AA217" i="1"/>
  <c r="Z217" i="1"/>
  <c r="Y217" i="1"/>
  <c r="X217" i="1"/>
  <c r="V217" i="1"/>
  <c r="T217" i="1"/>
  <c r="S217" i="1"/>
  <c r="AA216" i="1"/>
  <c r="Z216" i="1"/>
  <c r="Y216" i="1"/>
  <c r="X216" i="1"/>
  <c r="V216" i="1"/>
  <c r="T216" i="1"/>
  <c r="S216" i="1"/>
  <c r="AA215" i="1"/>
  <c r="Z215" i="1"/>
  <c r="Y215" i="1"/>
  <c r="X215" i="1"/>
  <c r="V215" i="1"/>
  <c r="U215" i="1"/>
  <c r="W215" i="1" s="1"/>
  <c r="T215" i="1"/>
  <c r="S215" i="1"/>
  <c r="AA214" i="1"/>
  <c r="Z214" i="1"/>
  <c r="Y214" i="1"/>
  <c r="X214" i="1"/>
  <c r="V214" i="1"/>
  <c r="T214" i="1"/>
  <c r="U214" i="1" s="1"/>
  <c r="S214" i="1"/>
  <c r="AA213" i="1"/>
  <c r="Z213" i="1"/>
  <c r="Y213" i="1"/>
  <c r="X213" i="1"/>
  <c r="V213" i="1"/>
  <c r="T213" i="1"/>
  <c r="S213" i="1"/>
  <c r="AA212" i="1"/>
  <c r="Z212" i="1"/>
  <c r="Y212" i="1"/>
  <c r="X212" i="1"/>
  <c r="W212" i="1"/>
  <c r="V212" i="1"/>
  <c r="U212" i="1"/>
  <c r="T212" i="1"/>
  <c r="S212" i="1"/>
  <c r="AA211" i="1"/>
  <c r="Z211" i="1"/>
  <c r="Y211" i="1"/>
  <c r="X211" i="1"/>
  <c r="V211" i="1"/>
  <c r="T211" i="1"/>
  <c r="S211" i="1"/>
  <c r="AA210" i="1"/>
  <c r="Z210" i="1"/>
  <c r="Y210" i="1"/>
  <c r="X210" i="1"/>
  <c r="W210" i="1"/>
  <c r="V210" i="1"/>
  <c r="U210" i="1"/>
  <c r="T210" i="1"/>
  <c r="S210" i="1"/>
  <c r="AA209" i="1"/>
  <c r="Z209" i="1"/>
  <c r="Y209" i="1"/>
  <c r="X209" i="1"/>
  <c r="V209" i="1"/>
  <c r="T209" i="1"/>
  <c r="S209" i="1"/>
  <c r="AA208" i="1"/>
  <c r="Z208" i="1"/>
  <c r="Y208" i="1"/>
  <c r="X208" i="1"/>
  <c r="W208" i="1"/>
  <c r="V208" i="1"/>
  <c r="U208" i="1"/>
  <c r="T208" i="1"/>
  <c r="S208" i="1"/>
  <c r="AA207" i="1"/>
  <c r="Z207" i="1"/>
  <c r="Y207" i="1"/>
  <c r="X207" i="1"/>
  <c r="V207" i="1"/>
  <c r="T207" i="1"/>
  <c r="S207" i="1"/>
  <c r="AA206" i="1"/>
  <c r="Z206" i="1"/>
  <c r="Y206" i="1"/>
  <c r="X206" i="1"/>
  <c r="W206" i="1"/>
  <c r="V206" i="1"/>
  <c r="U206" i="1"/>
  <c r="T206" i="1"/>
  <c r="S206" i="1"/>
  <c r="AA205" i="1"/>
  <c r="Z205" i="1"/>
  <c r="Y205" i="1"/>
  <c r="X205" i="1"/>
  <c r="V205" i="1"/>
  <c r="T205" i="1"/>
  <c r="S205" i="1"/>
  <c r="AA204" i="1"/>
  <c r="Z204" i="1"/>
  <c r="Y204" i="1"/>
  <c r="X204" i="1"/>
  <c r="W204" i="1"/>
  <c r="V204" i="1"/>
  <c r="U204" i="1"/>
  <c r="T204" i="1"/>
  <c r="S204" i="1"/>
  <c r="AA203" i="1"/>
  <c r="Z203" i="1"/>
  <c r="Y203" i="1"/>
  <c r="X203" i="1"/>
  <c r="V203" i="1"/>
  <c r="T203" i="1"/>
  <c r="S203" i="1"/>
  <c r="AA202" i="1"/>
  <c r="Z202" i="1"/>
  <c r="Y202" i="1"/>
  <c r="X202" i="1"/>
  <c r="W202" i="1"/>
  <c r="V202" i="1"/>
  <c r="U202" i="1"/>
  <c r="T202" i="1"/>
  <c r="S202" i="1"/>
  <c r="AA201" i="1"/>
  <c r="Z201" i="1"/>
  <c r="Y201" i="1"/>
  <c r="X201" i="1"/>
  <c r="V201" i="1"/>
  <c r="T201" i="1"/>
  <c r="S201" i="1"/>
  <c r="AA200" i="1"/>
  <c r="Z200" i="1"/>
  <c r="Y200" i="1"/>
  <c r="X200" i="1"/>
  <c r="W200" i="1"/>
  <c r="V200" i="1"/>
  <c r="U200" i="1"/>
  <c r="T200" i="1"/>
  <c r="S200" i="1"/>
  <c r="AA199" i="1"/>
  <c r="Z199" i="1"/>
  <c r="Y199" i="1"/>
  <c r="X199" i="1"/>
  <c r="V199" i="1"/>
  <c r="T199" i="1"/>
  <c r="S199" i="1"/>
  <c r="AA198" i="1"/>
  <c r="Z198" i="1"/>
  <c r="Y198" i="1"/>
  <c r="X198" i="1"/>
  <c r="W198" i="1"/>
  <c r="V198" i="1"/>
  <c r="U198" i="1"/>
  <c r="T198" i="1"/>
  <c r="S198" i="1"/>
  <c r="AA197" i="1"/>
  <c r="Z197" i="1"/>
  <c r="Y197" i="1"/>
  <c r="X197" i="1"/>
  <c r="V197" i="1"/>
  <c r="T197" i="1"/>
  <c r="S197" i="1"/>
  <c r="AA196" i="1"/>
  <c r="Z196" i="1"/>
  <c r="Y196" i="1"/>
  <c r="X196" i="1"/>
  <c r="W196" i="1"/>
  <c r="V196" i="1"/>
  <c r="U196" i="1"/>
  <c r="T196" i="1"/>
  <c r="S196" i="1"/>
  <c r="AA195" i="1"/>
  <c r="Z195" i="1"/>
  <c r="Y195" i="1"/>
  <c r="X195" i="1"/>
  <c r="V195" i="1"/>
  <c r="T195" i="1"/>
  <c r="S195" i="1"/>
  <c r="AA194" i="1"/>
  <c r="Z194" i="1"/>
  <c r="Y194" i="1"/>
  <c r="X194" i="1"/>
  <c r="W194" i="1"/>
  <c r="V194" i="1"/>
  <c r="U194" i="1"/>
  <c r="T194" i="1"/>
  <c r="S194" i="1"/>
  <c r="AA193" i="1"/>
  <c r="Z193" i="1"/>
  <c r="Y193" i="1"/>
  <c r="X193" i="1"/>
  <c r="V193" i="1"/>
  <c r="T193" i="1"/>
  <c r="S193" i="1"/>
  <c r="AA192" i="1"/>
  <c r="Z192" i="1"/>
  <c r="Y192" i="1"/>
  <c r="X192" i="1"/>
  <c r="W192" i="1"/>
  <c r="V192" i="1"/>
  <c r="U192" i="1"/>
  <c r="T192" i="1"/>
  <c r="S192" i="1"/>
  <c r="AA191" i="1"/>
  <c r="Z191" i="1"/>
  <c r="Y191" i="1"/>
  <c r="X191" i="1"/>
  <c r="V191" i="1"/>
  <c r="T191" i="1"/>
  <c r="S191" i="1"/>
  <c r="AA190" i="1"/>
  <c r="Z190" i="1"/>
  <c r="Y190" i="1"/>
  <c r="X190" i="1"/>
  <c r="W190" i="1"/>
  <c r="V190" i="1"/>
  <c r="U190" i="1"/>
  <c r="T190" i="1"/>
  <c r="S190" i="1"/>
  <c r="AA189" i="1"/>
  <c r="Z189" i="1"/>
  <c r="Y189" i="1"/>
  <c r="X189" i="1"/>
  <c r="V189" i="1"/>
  <c r="T189" i="1"/>
  <c r="S189" i="1"/>
  <c r="AA188" i="1"/>
  <c r="Z188" i="1"/>
  <c r="Y188" i="1"/>
  <c r="X188" i="1"/>
  <c r="W188" i="1"/>
  <c r="V188" i="1"/>
  <c r="U188" i="1"/>
  <c r="T188" i="1"/>
  <c r="S188" i="1"/>
  <c r="AA187" i="1"/>
  <c r="Z187" i="1"/>
  <c r="Y187" i="1"/>
  <c r="X187" i="1"/>
  <c r="V187" i="1"/>
  <c r="T187" i="1"/>
  <c r="S187" i="1"/>
  <c r="AA186" i="1"/>
  <c r="Z186" i="1"/>
  <c r="Y186" i="1"/>
  <c r="X186" i="1"/>
  <c r="W186" i="1"/>
  <c r="V186" i="1"/>
  <c r="U186" i="1"/>
  <c r="T186" i="1"/>
  <c r="S186" i="1"/>
  <c r="AA185" i="1"/>
  <c r="Z185" i="1"/>
  <c r="Y185" i="1"/>
  <c r="X185" i="1"/>
  <c r="V185" i="1"/>
  <c r="T185" i="1"/>
  <c r="S185" i="1"/>
  <c r="AA184" i="1"/>
  <c r="Z184" i="1"/>
  <c r="Y184" i="1"/>
  <c r="X184" i="1"/>
  <c r="W184" i="1"/>
  <c r="V184" i="1"/>
  <c r="U184" i="1"/>
  <c r="T184" i="1"/>
  <c r="S184" i="1"/>
  <c r="AA183" i="1"/>
  <c r="Z183" i="1"/>
  <c r="Y183" i="1"/>
  <c r="X183" i="1"/>
  <c r="V183" i="1"/>
  <c r="T183" i="1"/>
  <c r="S183" i="1"/>
  <c r="AA182" i="1"/>
  <c r="Z182" i="1"/>
  <c r="Y182" i="1"/>
  <c r="X182" i="1"/>
  <c r="W182" i="1"/>
  <c r="V182" i="1"/>
  <c r="U182" i="1"/>
  <c r="T182" i="1"/>
  <c r="S182" i="1"/>
  <c r="AA181" i="1"/>
  <c r="Z181" i="1"/>
  <c r="Y181" i="1"/>
  <c r="X181" i="1"/>
  <c r="V181" i="1"/>
  <c r="T181" i="1"/>
  <c r="S181" i="1"/>
  <c r="AA180" i="1"/>
  <c r="Z180" i="1"/>
  <c r="Y180" i="1"/>
  <c r="X180" i="1"/>
  <c r="W180" i="1"/>
  <c r="V180" i="1"/>
  <c r="U180" i="1"/>
  <c r="T180" i="1"/>
  <c r="S180" i="1"/>
  <c r="AA179" i="1"/>
  <c r="Z179" i="1"/>
  <c r="Y179" i="1"/>
  <c r="X179" i="1"/>
  <c r="V179" i="1"/>
  <c r="T179" i="1"/>
  <c r="S179" i="1"/>
  <c r="AA178" i="1"/>
  <c r="Z178" i="1"/>
  <c r="Y178" i="1"/>
  <c r="X178" i="1"/>
  <c r="W178" i="1"/>
  <c r="V178" i="1"/>
  <c r="U178" i="1"/>
  <c r="T178" i="1"/>
  <c r="S178" i="1"/>
  <c r="AA177" i="1"/>
  <c r="Z177" i="1"/>
  <c r="Y177" i="1"/>
  <c r="X177" i="1"/>
  <c r="V177" i="1"/>
  <c r="T177" i="1"/>
  <c r="S177" i="1"/>
  <c r="AA176" i="1"/>
  <c r="Z176" i="1"/>
  <c r="Y176" i="1"/>
  <c r="X176" i="1"/>
  <c r="W176" i="1"/>
  <c r="V176" i="1"/>
  <c r="U176" i="1"/>
  <c r="T176" i="1"/>
  <c r="S176" i="1"/>
  <c r="AA175" i="1"/>
  <c r="Z175" i="1"/>
  <c r="Y175" i="1"/>
  <c r="X175" i="1"/>
  <c r="V175" i="1"/>
  <c r="T175" i="1"/>
  <c r="S175" i="1"/>
  <c r="AA174" i="1"/>
  <c r="Z174" i="1"/>
  <c r="Y174" i="1"/>
  <c r="X174" i="1"/>
  <c r="W174" i="1"/>
  <c r="V174" i="1"/>
  <c r="U174" i="1"/>
  <c r="T174" i="1"/>
  <c r="S174" i="1"/>
  <c r="AA173" i="1"/>
  <c r="Z173" i="1"/>
  <c r="Y173" i="1"/>
  <c r="X173" i="1"/>
  <c r="V173" i="1"/>
  <c r="T173" i="1"/>
  <c r="S173" i="1"/>
  <c r="AA172" i="1"/>
  <c r="Z172" i="1"/>
  <c r="Y172" i="1"/>
  <c r="X172" i="1"/>
  <c r="W172" i="1"/>
  <c r="V172" i="1"/>
  <c r="U172" i="1"/>
  <c r="T172" i="1"/>
  <c r="S172" i="1"/>
  <c r="AA171" i="1"/>
  <c r="Z171" i="1"/>
  <c r="Y171" i="1"/>
  <c r="X171" i="1"/>
  <c r="V171" i="1"/>
  <c r="T171" i="1"/>
  <c r="S171" i="1"/>
  <c r="AA170" i="1"/>
  <c r="Z170" i="1"/>
  <c r="Y170" i="1"/>
  <c r="X170" i="1"/>
  <c r="W170" i="1"/>
  <c r="V170" i="1"/>
  <c r="U170" i="1"/>
  <c r="T170" i="1"/>
  <c r="S170" i="1"/>
  <c r="AA169" i="1"/>
  <c r="Z169" i="1"/>
  <c r="Y169" i="1"/>
  <c r="X169" i="1"/>
  <c r="V169" i="1"/>
  <c r="T169" i="1"/>
  <c r="S169" i="1"/>
  <c r="AA168" i="1"/>
  <c r="Z168" i="1"/>
  <c r="Y168" i="1"/>
  <c r="X168" i="1"/>
  <c r="W168" i="1"/>
  <c r="V168" i="1"/>
  <c r="U168" i="1"/>
  <c r="T168" i="1"/>
  <c r="S168" i="1"/>
  <c r="AA167" i="1"/>
  <c r="Z167" i="1"/>
  <c r="Y167" i="1"/>
  <c r="X167" i="1"/>
  <c r="V167" i="1"/>
  <c r="T167" i="1"/>
  <c r="S167" i="1"/>
  <c r="AA166" i="1"/>
  <c r="Z166" i="1"/>
  <c r="Y166" i="1"/>
  <c r="X166" i="1"/>
  <c r="W166" i="1"/>
  <c r="V166" i="1"/>
  <c r="U166" i="1"/>
  <c r="T166" i="1"/>
  <c r="S166" i="1"/>
  <c r="AA165" i="1"/>
  <c r="Z165" i="1"/>
  <c r="Y165" i="1"/>
  <c r="X165" i="1"/>
  <c r="V165" i="1"/>
  <c r="T165" i="1"/>
  <c r="S165" i="1"/>
  <c r="AA164" i="1"/>
  <c r="Z164" i="1"/>
  <c r="Y164" i="1"/>
  <c r="X164" i="1"/>
  <c r="W164" i="1"/>
  <c r="V164" i="1"/>
  <c r="U164" i="1"/>
  <c r="T164" i="1"/>
  <c r="S164" i="1"/>
  <c r="AA163" i="1"/>
  <c r="Z163" i="1"/>
  <c r="Y163" i="1"/>
  <c r="X163" i="1"/>
  <c r="V163" i="1"/>
  <c r="T163" i="1"/>
  <c r="S163" i="1"/>
  <c r="AA162" i="1"/>
  <c r="Z162" i="1"/>
  <c r="Y162" i="1"/>
  <c r="X162" i="1"/>
  <c r="W162" i="1"/>
  <c r="V162" i="1"/>
  <c r="U162" i="1"/>
  <c r="T162" i="1"/>
  <c r="S162" i="1"/>
  <c r="AA161" i="1"/>
  <c r="Z161" i="1"/>
  <c r="Y161" i="1"/>
  <c r="X161" i="1"/>
  <c r="V161" i="1"/>
  <c r="T161" i="1"/>
  <c r="S161" i="1"/>
  <c r="AA160" i="1"/>
  <c r="Z160" i="1"/>
  <c r="Y160" i="1"/>
  <c r="X160" i="1"/>
  <c r="W160" i="1"/>
  <c r="V160" i="1"/>
  <c r="U160" i="1"/>
  <c r="T160" i="1"/>
  <c r="S160" i="1"/>
  <c r="AA159" i="1"/>
  <c r="Z159" i="1"/>
  <c r="Y159" i="1"/>
  <c r="X159" i="1"/>
  <c r="V159" i="1"/>
  <c r="T159" i="1"/>
  <c r="S159" i="1"/>
  <c r="AA158" i="1"/>
  <c r="Z158" i="1"/>
  <c r="Y158" i="1"/>
  <c r="X158" i="1"/>
  <c r="W158" i="1"/>
  <c r="V158" i="1"/>
  <c r="U158" i="1"/>
  <c r="T158" i="1"/>
  <c r="S158" i="1"/>
  <c r="AA157" i="1"/>
  <c r="Z157" i="1"/>
  <c r="Y157" i="1"/>
  <c r="X157" i="1"/>
  <c r="V157" i="1"/>
  <c r="T157" i="1"/>
  <c r="S157" i="1"/>
  <c r="AA156" i="1"/>
  <c r="Z156" i="1"/>
  <c r="Y156" i="1"/>
  <c r="X156" i="1"/>
  <c r="W156" i="1"/>
  <c r="V156" i="1"/>
  <c r="U156" i="1"/>
  <c r="T156" i="1"/>
  <c r="S156" i="1"/>
  <c r="AA155" i="1"/>
  <c r="Z155" i="1"/>
  <c r="Y155" i="1"/>
  <c r="X155" i="1"/>
  <c r="V155" i="1"/>
  <c r="T155" i="1"/>
  <c r="U155" i="1" s="1"/>
  <c r="S155" i="1"/>
  <c r="AA154" i="1"/>
  <c r="Z154" i="1"/>
  <c r="Y154" i="1"/>
  <c r="X154" i="1"/>
  <c r="V154" i="1"/>
  <c r="T154" i="1"/>
  <c r="S154" i="1"/>
  <c r="AA153" i="1"/>
  <c r="Z153" i="1"/>
  <c r="Y153" i="1"/>
  <c r="X153" i="1"/>
  <c r="V153" i="1"/>
  <c r="U153" i="1"/>
  <c r="W153" i="1" s="1"/>
  <c r="T153" i="1"/>
  <c r="S153" i="1"/>
  <c r="AA152" i="1"/>
  <c r="Z152" i="1"/>
  <c r="Y152" i="1"/>
  <c r="X152" i="1"/>
  <c r="V152" i="1"/>
  <c r="T152" i="1"/>
  <c r="U152" i="1" s="1"/>
  <c r="W152" i="1" s="1"/>
  <c r="S152" i="1"/>
  <c r="AA151" i="1"/>
  <c r="Z151" i="1"/>
  <c r="Y151" i="1"/>
  <c r="X151" i="1"/>
  <c r="V151" i="1"/>
  <c r="T151" i="1"/>
  <c r="U151" i="1" s="1"/>
  <c r="W151" i="1" s="1"/>
  <c r="S151" i="1"/>
  <c r="AA150" i="1"/>
  <c r="Z150" i="1"/>
  <c r="Y150" i="1"/>
  <c r="X150" i="1"/>
  <c r="V150" i="1"/>
  <c r="T150" i="1"/>
  <c r="S150" i="1"/>
  <c r="AA149" i="1"/>
  <c r="Z149" i="1"/>
  <c r="Y149" i="1"/>
  <c r="X149" i="1"/>
  <c r="V149" i="1"/>
  <c r="U149" i="1"/>
  <c r="W149" i="1" s="1"/>
  <c r="T149" i="1"/>
  <c r="S149" i="1"/>
  <c r="AA148" i="1"/>
  <c r="Z148" i="1"/>
  <c r="Y148" i="1"/>
  <c r="X148" i="1"/>
  <c r="V148" i="1"/>
  <c r="T148" i="1"/>
  <c r="U148" i="1" s="1"/>
  <c r="W148" i="1" s="1"/>
  <c r="S148" i="1"/>
  <c r="AA147" i="1"/>
  <c r="Z147" i="1"/>
  <c r="Y147" i="1"/>
  <c r="X147" i="1"/>
  <c r="V147" i="1"/>
  <c r="T147" i="1"/>
  <c r="U147" i="1" s="1"/>
  <c r="W147" i="1" s="1"/>
  <c r="S147" i="1"/>
  <c r="AA146" i="1"/>
  <c r="Z146" i="1"/>
  <c r="Y146" i="1"/>
  <c r="X146" i="1"/>
  <c r="V146" i="1"/>
  <c r="T146" i="1"/>
  <c r="S146" i="1"/>
  <c r="AA145" i="1"/>
  <c r="Z145" i="1"/>
  <c r="Y145" i="1"/>
  <c r="X145" i="1"/>
  <c r="V145" i="1"/>
  <c r="U145" i="1"/>
  <c r="W145" i="1" s="1"/>
  <c r="T145" i="1"/>
  <c r="S145" i="1"/>
  <c r="AA144" i="1"/>
  <c r="Z144" i="1"/>
  <c r="Y144" i="1"/>
  <c r="X144" i="1"/>
  <c r="V144" i="1"/>
  <c r="T144" i="1"/>
  <c r="U144" i="1" s="1"/>
  <c r="W144" i="1" s="1"/>
  <c r="S144" i="1"/>
  <c r="AA143" i="1"/>
  <c r="Z143" i="1"/>
  <c r="Y143" i="1"/>
  <c r="X143" i="1"/>
  <c r="V143" i="1"/>
  <c r="T143" i="1"/>
  <c r="U143" i="1" s="1"/>
  <c r="W143" i="1" s="1"/>
  <c r="S143" i="1"/>
  <c r="AA142" i="1"/>
  <c r="Z142" i="1"/>
  <c r="Y142" i="1"/>
  <c r="X142" i="1"/>
  <c r="V142" i="1"/>
  <c r="T142" i="1"/>
  <c r="S142" i="1"/>
  <c r="AA141" i="1"/>
  <c r="Z141" i="1"/>
  <c r="Y141" i="1"/>
  <c r="X141" i="1"/>
  <c r="V141" i="1"/>
  <c r="U141" i="1"/>
  <c r="W141" i="1" s="1"/>
  <c r="T141" i="1"/>
  <c r="S141" i="1"/>
  <c r="AA140" i="1"/>
  <c r="Z140" i="1"/>
  <c r="Y140" i="1"/>
  <c r="X140" i="1"/>
  <c r="V140" i="1"/>
  <c r="T140" i="1"/>
  <c r="U140" i="1" s="1"/>
  <c r="W140" i="1" s="1"/>
  <c r="S140" i="1"/>
  <c r="AA139" i="1"/>
  <c r="Z139" i="1"/>
  <c r="Y139" i="1"/>
  <c r="X139" i="1"/>
  <c r="V139" i="1"/>
  <c r="T139" i="1"/>
  <c r="U139" i="1" s="1"/>
  <c r="W139" i="1" s="1"/>
  <c r="S139" i="1"/>
  <c r="AA138" i="1"/>
  <c r="Z138" i="1"/>
  <c r="Y138" i="1"/>
  <c r="X138" i="1"/>
  <c r="V138" i="1"/>
  <c r="T138" i="1"/>
  <c r="S138" i="1"/>
  <c r="AA137" i="1"/>
  <c r="Z137" i="1"/>
  <c r="Y137" i="1"/>
  <c r="X137" i="1"/>
  <c r="V137" i="1"/>
  <c r="U137" i="1"/>
  <c r="T137" i="1"/>
  <c r="W137" i="1" s="1"/>
  <c r="S137" i="1"/>
  <c r="AA136" i="1"/>
  <c r="Z136" i="1"/>
  <c r="Y136" i="1"/>
  <c r="X136" i="1"/>
  <c r="V136" i="1"/>
  <c r="U136" i="1"/>
  <c r="W136" i="1" s="1"/>
  <c r="T136" i="1"/>
  <c r="S136" i="1"/>
  <c r="AA135" i="1"/>
  <c r="Z135" i="1"/>
  <c r="Y135" i="1"/>
  <c r="X135" i="1"/>
  <c r="V135" i="1"/>
  <c r="T135" i="1"/>
  <c r="U135" i="1" s="1"/>
  <c r="W135" i="1" s="1"/>
  <c r="S135" i="1"/>
  <c r="AA134" i="1"/>
  <c r="Z134" i="1"/>
  <c r="Y134" i="1"/>
  <c r="X134" i="1"/>
  <c r="V134" i="1"/>
  <c r="T134" i="1"/>
  <c r="S134" i="1"/>
  <c r="AA133" i="1"/>
  <c r="Z133" i="1"/>
  <c r="Y133" i="1"/>
  <c r="X133" i="1"/>
  <c r="V133" i="1"/>
  <c r="U133" i="1"/>
  <c r="T133" i="1"/>
  <c r="W133" i="1" s="1"/>
  <c r="S133" i="1"/>
  <c r="AA132" i="1"/>
  <c r="Z132" i="1"/>
  <c r="Y132" i="1"/>
  <c r="X132" i="1"/>
  <c r="V132" i="1"/>
  <c r="U132" i="1"/>
  <c r="W132" i="1" s="1"/>
  <c r="T132" i="1"/>
  <c r="S132" i="1"/>
  <c r="AA131" i="1"/>
  <c r="Z131" i="1"/>
  <c r="Y131" i="1"/>
  <c r="X131" i="1"/>
  <c r="V131" i="1"/>
  <c r="T131" i="1"/>
  <c r="U131" i="1" s="1"/>
  <c r="W131" i="1" s="1"/>
  <c r="S131" i="1"/>
  <c r="AA130" i="1"/>
  <c r="Z130" i="1"/>
  <c r="Y130" i="1"/>
  <c r="X130" i="1"/>
  <c r="V130" i="1"/>
  <c r="T130" i="1"/>
  <c r="S130" i="1"/>
  <c r="AA129" i="1"/>
  <c r="Z129" i="1"/>
  <c r="Y129" i="1"/>
  <c r="X129" i="1"/>
  <c r="V129" i="1"/>
  <c r="U129" i="1"/>
  <c r="T129" i="1"/>
  <c r="W129" i="1" s="1"/>
  <c r="S129" i="1"/>
  <c r="AA128" i="1"/>
  <c r="Z128" i="1"/>
  <c r="Y128" i="1"/>
  <c r="X128" i="1"/>
  <c r="V128" i="1"/>
  <c r="U128" i="1"/>
  <c r="W128" i="1" s="1"/>
  <c r="T128" i="1"/>
  <c r="S128" i="1"/>
  <c r="AA127" i="1"/>
  <c r="Z127" i="1"/>
  <c r="Y127" i="1"/>
  <c r="X127" i="1"/>
  <c r="V127" i="1"/>
  <c r="T127" i="1"/>
  <c r="U127" i="1" s="1"/>
  <c r="W127" i="1" s="1"/>
  <c r="S127" i="1"/>
  <c r="AA126" i="1"/>
  <c r="Z126" i="1"/>
  <c r="Y126" i="1"/>
  <c r="X126" i="1"/>
  <c r="V126" i="1"/>
  <c r="T126" i="1"/>
  <c r="S126" i="1"/>
  <c r="AA125" i="1"/>
  <c r="Z125" i="1"/>
  <c r="Y125" i="1"/>
  <c r="X125" i="1"/>
  <c r="V125" i="1"/>
  <c r="U125" i="1"/>
  <c r="T125" i="1"/>
  <c r="W125" i="1" s="1"/>
  <c r="S125" i="1"/>
  <c r="AA124" i="1"/>
  <c r="Z124" i="1"/>
  <c r="Y124" i="1"/>
  <c r="X124" i="1"/>
  <c r="V124" i="1"/>
  <c r="U124" i="1"/>
  <c r="W124" i="1" s="1"/>
  <c r="T124" i="1"/>
  <c r="S124" i="1"/>
  <c r="AA123" i="1"/>
  <c r="Z123" i="1"/>
  <c r="Y123" i="1"/>
  <c r="X123" i="1"/>
  <c r="V123" i="1"/>
  <c r="T123" i="1"/>
  <c r="U123" i="1" s="1"/>
  <c r="W123" i="1" s="1"/>
  <c r="S123" i="1"/>
  <c r="AA122" i="1"/>
  <c r="Z122" i="1"/>
  <c r="Y122" i="1"/>
  <c r="X122" i="1"/>
  <c r="V122" i="1"/>
  <c r="T122" i="1"/>
  <c r="S122" i="1"/>
  <c r="AA121" i="1"/>
  <c r="Z121" i="1"/>
  <c r="Y121" i="1"/>
  <c r="X121" i="1"/>
  <c r="V121" i="1"/>
  <c r="U121" i="1"/>
  <c r="T121" i="1"/>
  <c r="W121" i="1" s="1"/>
  <c r="S121" i="1"/>
  <c r="AA120" i="1"/>
  <c r="Z120" i="1"/>
  <c r="Y120" i="1"/>
  <c r="X120" i="1"/>
  <c r="V120" i="1"/>
  <c r="U120" i="1"/>
  <c r="W120" i="1" s="1"/>
  <c r="T120" i="1"/>
  <c r="S120" i="1"/>
  <c r="AA119" i="1"/>
  <c r="Z119" i="1"/>
  <c r="Y119" i="1"/>
  <c r="X119" i="1"/>
  <c r="V119" i="1"/>
  <c r="T119" i="1"/>
  <c r="U119" i="1" s="1"/>
  <c r="W119" i="1" s="1"/>
  <c r="S119" i="1"/>
  <c r="AA118" i="1"/>
  <c r="Z118" i="1"/>
  <c r="Y118" i="1"/>
  <c r="X118" i="1"/>
  <c r="V118" i="1"/>
  <c r="T118" i="1"/>
  <c r="S118" i="1"/>
  <c r="AA117" i="1"/>
  <c r="Z117" i="1"/>
  <c r="Y117" i="1"/>
  <c r="X117" i="1"/>
  <c r="V117" i="1"/>
  <c r="U117" i="1"/>
  <c r="T117" i="1"/>
  <c r="W117" i="1" s="1"/>
  <c r="S117" i="1"/>
  <c r="AA116" i="1"/>
  <c r="Z116" i="1"/>
  <c r="Y116" i="1"/>
  <c r="X116" i="1"/>
  <c r="V116" i="1"/>
  <c r="U116" i="1"/>
  <c r="W116" i="1" s="1"/>
  <c r="T116" i="1"/>
  <c r="S116" i="1"/>
  <c r="AA115" i="1"/>
  <c r="Z115" i="1"/>
  <c r="Y115" i="1"/>
  <c r="X115" i="1"/>
  <c r="V115" i="1"/>
  <c r="T115" i="1"/>
  <c r="U115" i="1" s="1"/>
  <c r="W115" i="1" s="1"/>
  <c r="S115" i="1"/>
  <c r="AA114" i="1"/>
  <c r="Z114" i="1"/>
  <c r="Y114" i="1"/>
  <c r="X114" i="1"/>
  <c r="V114" i="1"/>
  <c r="T114" i="1"/>
  <c r="S114" i="1"/>
  <c r="AA113" i="1"/>
  <c r="Z113" i="1"/>
  <c r="Y113" i="1"/>
  <c r="X113" i="1"/>
  <c r="V113" i="1"/>
  <c r="U113" i="1"/>
  <c r="T113" i="1"/>
  <c r="W113" i="1" s="1"/>
  <c r="S113" i="1"/>
  <c r="AA112" i="1"/>
  <c r="Z112" i="1"/>
  <c r="Y112" i="1"/>
  <c r="X112" i="1"/>
  <c r="V112" i="1"/>
  <c r="U112" i="1"/>
  <c r="W112" i="1" s="1"/>
  <c r="T112" i="1"/>
  <c r="S112" i="1"/>
  <c r="AA111" i="1"/>
  <c r="Z111" i="1"/>
  <c r="Y111" i="1"/>
  <c r="X111" i="1"/>
  <c r="V111" i="1"/>
  <c r="T111" i="1"/>
  <c r="U111" i="1" s="1"/>
  <c r="W111" i="1" s="1"/>
  <c r="S111" i="1"/>
  <c r="AA110" i="1"/>
  <c r="Z110" i="1"/>
  <c r="Y110" i="1"/>
  <c r="X110" i="1"/>
  <c r="V110" i="1"/>
  <c r="T110" i="1"/>
  <c r="S110" i="1"/>
  <c r="AA109" i="1"/>
  <c r="Z109" i="1"/>
  <c r="Y109" i="1"/>
  <c r="X109" i="1"/>
  <c r="V109" i="1"/>
  <c r="U109" i="1"/>
  <c r="T109" i="1"/>
  <c r="W109" i="1" s="1"/>
  <c r="S109" i="1"/>
  <c r="AA108" i="1"/>
  <c r="Z108" i="1"/>
  <c r="Y108" i="1"/>
  <c r="X108" i="1"/>
  <c r="V108" i="1"/>
  <c r="U108" i="1"/>
  <c r="W108" i="1" s="1"/>
  <c r="T108" i="1"/>
  <c r="S108" i="1"/>
  <c r="AA107" i="1"/>
  <c r="Z107" i="1"/>
  <c r="Y107" i="1"/>
  <c r="X107" i="1"/>
  <c r="V107" i="1"/>
  <c r="T107" i="1"/>
  <c r="U107" i="1" s="1"/>
  <c r="W107" i="1" s="1"/>
  <c r="S107" i="1"/>
  <c r="AA106" i="1"/>
  <c r="Z106" i="1"/>
  <c r="Y106" i="1"/>
  <c r="X106" i="1"/>
  <c r="V106" i="1"/>
  <c r="T106" i="1"/>
  <c r="S106" i="1"/>
  <c r="AA105" i="1"/>
  <c r="Z105" i="1"/>
  <c r="Y105" i="1"/>
  <c r="X105" i="1"/>
  <c r="V105" i="1"/>
  <c r="U105" i="1"/>
  <c r="T105" i="1"/>
  <c r="W105" i="1" s="1"/>
  <c r="S105" i="1"/>
  <c r="AA104" i="1"/>
  <c r="Z104" i="1"/>
  <c r="Y104" i="1"/>
  <c r="X104" i="1"/>
  <c r="V104" i="1"/>
  <c r="U104" i="1"/>
  <c r="W104" i="1" s="1"/>
  <c r="T104" i="1"/>
  <c r="S104" i="1"/>
  <c r="AA103" i="1"/>
  <c r="Z103" i="1"/>
  <c r="Y103" i="1"/>
  <c r="X103" i="1"/>
  <c r="V103" i="1"/>
  <c r="T103" i="1"/>
  <c r="U103" i="1" s="1"/>
  <c r="W103" i="1" s="1"/>
  <c r="S103" i="1"/>
  <c r="AA102" i="1"/>
  <c r="Z102" i="1"/>
  <c r="Y102" i="1"/>
  <c r="X102" i="1"/>
  <c r="V102" i="1"/>
  <c r="T102" i="1"/>
  <c r="S102" i="1"/>
  <c r="AA101" i="1"/>
  <c r="Z101" i="1"/>
  <c r="Y101" i="1"/>
  <c r="X101" i="1"/>
  <c r="V101" i="1"/>
  <c r="U101" i="1"/>
  <c r="T101" i="1"/>
  <c r="W101" i="1" s="1"/>
  <c r="S101" i="1"/>
  <c r="AA100" i="1"/>
  <c r="Z100" i="1"/>
  <c r="Y100" i="1"/>
  <c r="X100" i="1"/>
  <c r="V100" i="1"/>
  <c r="U100" i="1"/>
  <c r="W100" i="1" s="1"/>
  <c r="T100" i="1"/>
  <c r="S100" i="1"/>
  <c r="AA99" i="1"/>
  <c r="Z99" i="1"/>
  <c r="Y99" i="1"/>
  <c r="X99" i="1"/>
  <c r="V99" i="1"/>
  <c r="T99" i="1"/>
  <c r="U99" i="1" s="1"/>
  <c r="W99" i="1" s="1"/>
  <c r="S99" i="1"/>
  <c r="AA98" i="1"/>
  <c r="Z98" i="1"/>
  <c r="Y98" i="1"/>
  <c r="X98" i="1"/>
  <c r="V98" i="1"/>
  <c r="T98" i="1"/>
  <c r="S98" i="1"/>
  <c r="AA97" i="1"/>
  <c r="Z97" i="1"/>
  <c r="Y97" i="1"/>
  <c r="X97" i="1"/>
  <c r="V97" i="1"/>
  <c r="U97" i="1"/>
  <c r="T97" i="1"/>
  <c r="W97" i="1" s="1"/>
  <c r="S97" i="1"/>
  <c r="AA96" i="1"/>
  <c r="Z96" i="1"/>
  <c r="Y96" i="1"/>
  <c r="X96" i="1"/>
  <c r="V96" i="1"/>
  <c r="U96" i="1"/>
  <c r="W96" i="1" s="1"/>
  <c r="T96" i="1"/>
  <c r="S96" i="1"/>
  <c r="AA95" i="1"/>
  <c r="Z95" i="1"/>
  <c r="Y95" i="1"/>
  <c r="X95" i="1"/>
  <c r="V95" i="1"/>
  <c r="T95" i="1"/>
  <c r="U95" i="1" s="1"/>
  <c r="W95" i="1" s="1"/>
  <c r="S95" i="1"/>
  <c r="AA94" i="1"/>
  <c r="Z94" i="1"/>
  <c r="Y94" i="1"/>
  <c r="X94" i="1"/>
  <c r="V94" i="1"/>
  <c r="T94" i="1"/>
  <c r="S94" i="1"/>
  <c r="AA93" i="1"/>
  <c r="Z93" i="1"/>
  <c r="Y93" i="1"/>
  <c r="X93" i="1"/>
  <c r="V93" i="1"/>
  <c r="U93" i="1"/>
  <c r="T93" i="1"/>
  <c r="W93" i="1" s="1"/>
  <c r="S93" i="1"/>
  <c r="AA92" i="1"/>
  <c r="Z92" i="1"/>
  <c r="Y92" i="1"/>
  <c r="X92" i="1"/>
  <c r="V92" i="1"/>
  <c r="U92" i="1"/>
  <c r="W92" i="1" s="1"/>
  <c r="T92" i="1"/>
  <c r="S92" i="1"/>
  <c r="AA91" i="1"/>
  <c r="Z91" i="1"/>
  <c r="Y91" i="1"/>
  <c r="X91" i="1"/>
  <c r="V91" i="1"/>
  <c r="T91" i="1"/>
  <c r="U91" i="1" s="1"/>
  <c r="W91" i="1" s="1"/>
  <c r="S91" i="1"/>
  <c r="AA90" i="1"/>
  <c r="Z90" i="1"/>
  <c r="Y90" i="1"/>
  <c r="X90" i="1"/>
  <c r="V90" i="1"/>
  <c r="T90" i="1"/>
  <c r="S90" i="1"/>
  <c r="AA89" i="1"/>
  <c r="Z89" i="1"/>
  <c r="Y89" i="1"/>
  <c r="X89" i="1"/>
  <c r="V89" i="1"/>
  <c r="U89" i="1"/>
  <c r="T89" i="1"/>
  <c r="W89" i="1" s="1"/>
  <c r="S89" i="1"/>
  <c r="AA88" i="1"/>
  <c r="Z88" i="1"/>
  <c r="Y88" i="1"/>
  <c r="X88" i="1"/>
  <c r="V88" i="1"/>
  <c r="U88" i="1"/>
  <c r="W88" i="1" s="1"/>
  <c r="T88" i="1"/>
  <c r="S88" i="1"/>
  <c r="AA87" i="1"/>
  <c r="Z87" i="1"/>
  <c r="Y87" i="1"/>
  <c r="X87" i="1"/>
  <c r="V87" i="1"/>
  <c r="T87" i="1"/>
  <c r="U87" i="1" s="1"/>
  <c r="W87" i="1" s="1"/>
  <c r="S87" i="1"/>
  <c r="AA86" i="1"/>
  <c r="Z86" i="1"/>
  <c r="Y86" i="1"/>
  <c r="X86" i="1"/>
  <c r="V86" i="1"/>
  <c r="T86" i="1"/>
  <c r="S86" i="1"/>
  <c r="AA85" i="1"/>
  <c r="Z85" i="1"/>
  <c r="Y85" i="1"/>
  <c r="X85" i="1"/>
  <c r="V85" i="1"/>
  <c r="U85" i="1"/>
  <c r="T85" i="1"/>
  <c r="W85" i="1" s="1"/>
  <c r="S85" i="1"/>
  <c r="AA84" i="1"/>
  <c r="Z84" i="1"/>
  <c r="Y84" i="1"/>
  <c r="X84" i="1"/>
  <c r="V84" i="1"/>
  <c r="U84" i="1"/>
  <c r="W84" i="1" s="1"/>
  <c r="T84" i="1"/>
  <c r="S84" i="1"/>
  <c r="AA83" i="1"/>
  <c r="Z83" i="1"/>
  <c r="Y83" i="1"/>
  <c r="X83" i="1"/>
  <c r="V83" i="1"/>
  <c r="T83" i="1"/>
  <c r="U83" i="1" s="1"/>
  <c r="W83" i="1" s="1"/>
  <c r="S83" i="1"/>
  <c r="AA82" i="1"/>
  <c r="Z82" i="1"/>
  <c r="Y82" i="1"/>
  <c r="X82" i="1"/>
  <c r="V82" i="1"/>
  <c r="T82" i="1"/>
  <c r="S82" i="1"/>
  <c r="AA81" i="1"/>
  <c r="Z81" i="1"/>
  <c r="Y81" i="1"/>
  <c r="X81" i="1"/>
  <c r="V81" i="1"/>
  <c r="U81" i="1"/>
  <c r="T81" i="1"/>
  <c r="W81" i="1" s="1"/>
  <c r="S81" i="1"/>
  <c r="AA80" i="1"/>
  <c r="Z80" i="1"/>
  <c r="Y80" i="1"/>
  <c r="X80" i="1"/>
  <c r="V80" i="1"/>
  <c r="U80" i="1"/>
  <c r="W80" i="1" s="1"/>
  <c r="T80" i="1"/>
  <c r="S80" i="1"/>
  <c r="AA79" i="1"/>
  <c r="Z79" i="1"/>
  <c r="Y79" i="1"/>
  <c r="X79" i="1"/>
  <c r="V79" i="1"/>
  <c r="T79" i="1"/>
  <c r="U79" i="1" s="1"/>
  <c r="W79" i="1" s="1"/>
  <c r="S79" i="1"/>
  <c r="AA78" i="1"/>
  <c r="Z78" i="1"/>
  <c r="Y78" i="1"/>
  <c r="X78" i="1"/>
  <c r="V78" i="1"/>
  <c r="T78" i="1"/>
  <c r="S78" i="1"/>
  <c r="AA77" i="1"/>
  <c r="Z77" i="1"/>
  <c r="Y77" i="1"/>
  <c r="X77" i="1"/>
  <c r="V77" i="1"/>
  <c r="U77" i="1"/>
  <c r="T77" i="1"/>
  <c r="W77" i="1" s="1"/>
  <c r="S77" i="1"/>
  <c r="AA76" i="1"/>
  <c r="Z76" i="1"/>
  <c r="Y76" i="1"/>
  <c r="X76" i="1"/>
  <c r="V76" i="1"/>
  <c r="U76" i="1"/>
  <c r="W76" i="1" s="1"/>
  <c r="T76" i="1"/>
  <c r="S76" i="1"/>
  <c r="AA75" i="1"/>
  <c r="Z75" i="1"/>
  <c r="Y75" i="1"/>
  <c r="X75" i="1"/>
  <c r="V75" i="1"/>
  <c r="T75" i="1"/>
  <c r="U75" i="1" s="1"/>
  <c r="W75" i="1" s="1"/>
  <c r="S75" i="1"/>
  <c r="AA74" i="1"/>
  <c r="Z74" i="1"/>
  <c r="Y74" i="1"/>
  <c r="X74" i="1"/>
  <c r="V74" i="1"/>
  <c r="T74" i="1"/>
  <c r="S74" i="1"/>
  <c r="AA73" i="1"/>
  <c r="Z73" i="1"/>
  <c r="Y73" i="1"/>
  <c r="X73" i="1"/>
  <c r="V73" i="1"/>
  <c r="U73" i="1"/>
  <c r="T73" i="1"/>
  <c r="W73" i="1" s="1"/>
  <c r="S73" i="1"/>
  <c r="AA72" i="1"/>
  <c r="Z72" i="1"/>
  <c r="Y72" i="1"/>
  <c r="X72" i="1"/>
  <c r="V72" i="1"/>
  <c r="U72" i="1"/>
  <c r="W72" i="1" s="1"/>
  <c r="T72" i="1"/>
  <c r="S72" i="1"/>
  <c r="AA71" i="1"/>
  <c r="Z71" i="1"/>
  <c r="Y71" i="1"/>
  <c r="X71" i="1"/>
  <c r="V71" i="1"/>
  <c r="T71" i="1"/>
  <c r="U71" i="1" s="1"/>
  <c r="W71" i="1" s="1"/>
  <c r="S71" i="1"/>
  <c r="AA70" i="1"/>
  <c r="Z70" i="1"/>
  <c r="Y70" i="1"/>
  <c r="X70" i="1"/>
  <c r="V70" i="1"/>
  <c r="T70" i="1"/>
  <c r="S70" i="1"/>
  <c r="AA69" i="1"/>
  <c r="Z69" i="1"/>
  <c r="Y69" i="1"/>
  <c r="X69" i="1"/>
  <c r="V69" i="1"/>
  <c r="U69" i="1"/>
  <c r="T69" i="1"/>
  <c r="W69" i="1" s="1"/>
  <c r="S69" i="1"/>
  <c r="AA68" i="1"/>
  <c r="Z68" i="1"/>
  <c r="Y68" i="1"/>
  <c r="X68" i="1"/>
  <c r="V68" i="1"/>
  <c r="U68" i="1"/>
  <c r="W68" i="1" s="1"/>
  <c r="T68" i="1"/>
  <c r="S68" i="1"/>
  <c r="AA67" i="1"/>
  <c r="Z67" i="1"/>
  <c r="Y67" i="1"/>
  <c r="X67" i="1"/>
  <c r="V67" i="1"/>
  <c r="T67" i="1"/>
  <c r="U67" i="1" s="1"/>
  <c r="W67" i="1" s="1"/>
  <c r="S67" i="1"/>
  <c r="AA66" i="1"/>
  <c r="Z66" i="1"/>
  <c r="Y66" i="1"/>
  <c r="X66" i="1"/>
  <c r="V66" i="1"/>
  <c r="T66" i="1"/>
  <c r="S66" i="1"/>
  <c r="AA65" i="1"/>
  <c r="Z65" i="1"/>
  <c r="Y65" i="1"/>
  <c r="X65" i="1"/>
  <c r="V65" i="1"/>
  <c r="U65" i="1"/>
  <c r="T65" i="1"/>
  <c r="W65" i="1" s="1"/>
  <c r="S65" i="1"/>
  <c r="AA64" i="1"/>
  <c r="Z64" i="1"/>
  <c r="Y64" i="1"/>
  <c r="X64" i="1"/>
  <c r="V64" i="1"/>
  <c r="U64" i="1"/>
  <c r="W64" i="1" s="1"/>
  <c r="T64" i="1"/>
  <c r="S64" i="1"/>
  <c r="AA63" i="1"/>
  <c r="Z63" i="1"/>
  <c r="Y63" i="1"/>
  <c r="X63" i="1"/>
  <c r="V63" i="1"/>
  <c r="T63" i="1"/>
  <c r="U63" i="1" s="1"/>
  <c r="W63" i="1" s="1"/>
  <c r="S63" i="1"/>
  <c r="AA62" i="1"/>
  <c r="Z62" i="1"/>
  <c r="Y62" i="1"/>
  <c r="X62" i="1"/>
  <c r="V62" i="1"/>
  <c r="T62" i="1"/>
  <c r="S62" i="1"/>
  <c r="AA61" i="1"/>
  <c r="Z61" i="1"/>
  <c r="Y61" i="1"/>
  <c r="X61" i="1"/>
  <c r="V61" i="1"/>
  <c r="U61" i="1"/>
  <c r="T61" i="1"/>
  <c r="W61" i="1" s="1"/>
  <c r="S61" i="1"/>
  <c r="AA60" i="1"/>
  <c r="Z60" i="1"/>
  <c r="Y60" i="1"/>
  <c r="X60" i="1"/>
  <c r="V60" i="1"/>
  <c r="U60" i="1"/>
  <c r="W60" i="1" s="1"/>
  <c r="T60" i="1"/>
  <c r="S60" i="1"/>
  <c r="AA59" i="1"/>
  <c r="Z59" i="1"/>
  <c r="Y59" i="1"/>
  <c r="X59" i="1"/>
  <c r="V59" i="1"/>
  <c r="T59" i="1"/>
  <c r="U59" i="1" s="1"/>
  <c r="W59" i="1" s="1"/>
  <c r="S59" i="1"/>
  <c r="AA58" i="1"/>
  <c r="Z58" i="1"/>
  <c r="Y58" i="1"/>
  <c r="X58" i="1"/>
  <c r="V58" i="1"/>
  <c r="T58" i="1"/>
  <c r="S58" i="1"/>
  <c r="AA57" i="1"/>
  <c r="Z57" i="1"/>
  <c r="Y57" i="1"/>
  <c r="X57" i="1"/>
  <c r="V57" i="1"/>
  <c r="U57" i="1"/>
  <c r="T57" i="1"/>
  <c r="W57" i="1" s="1"/>
  <c r="S57" i="1"/>
  <c r="AA56" i="1"/>
  <c r="Z56" i="1"/>
  <c r="Y56" i="1"/>
  <c r="X56" i="1"/>
  <c r="V56" i="1"/>
  <c r="U56" i="1"/>
  <c r="W56" i="1" s="1"/>
  <c r="T56" i="1"/>
  <c r="S56" i="1"/>
  <c r="AA55" i="1"/>
  <c r="Z55" i="1"/>
  <c r="Y55" i="1"/>
  <c r="X55" i="1"/>
  <c r="V55" i="1"/>
  <c r="T55" i="1"/>
  <c r="U55" i="1" s="1"/>
  <c r="W55" i="1" s="1"/>
  <c r="S55" i="1"/>
  <c r="AA54" i="1"/>
  <c r="Z54" i="1"/>
  <c r="Y54" i="1"/>
  <c r="X54" i="1"/>
  <c r="V54" i="1"/>
  <c r="T54" i="1"/>
  <c r="S54" i="1"/>
  <c r="AA53" i="1"/>
  <c r="Z53" i="1"/>
  <c r="Y53" i="1"/>
  <c r="X53" i="1"/>
  <c r="V53" i="1"/>
  <c r="U53" i="1"/>
  <c r="T53" i="1"/>
  <c r="W53" i="1" s="1"/>
  <c r="S53" i="1"/>
  <c r="AA52" i="1"/>
  <c r="Z52" i="1"/>
  <c r="Y52" i="1"/>
  <c r="X52" i="1"/>
  <c r="V52" i="1"/>
  <c r="U52" i="1"/>
  <c r="W52" i="1" s="1"/>
  <c r="T52" i="1"/>
  <c r="S52" i="1"/>
  <c r="AA51" i="1"/>
  <c r="Z51" i="1"/>
  <c r="Y51" i="1"/>
  <c r="X51" i="1"/>
  <c r="V51" i="1"/>
  <c r="T51" i="1"/>
  <c r="U51" i="1" s="1"/>
  <c r="W51" i="1" s="1"/>
  <c r="S51" i="1"/>
  <c r="AA50" i="1"/>
  <c r="Z50" i="1"/>
  <c r="Y50" i="1"/>
  <c r="X50" i="1"/>
  <c r="V50" i="1"/>
  <c r="T50" i="1"/>
  <c r="S50" i="1"/>
  <c r="AA49" i="1"/>
  <c r="Z49" i="1"/>
  <c r="Y49" i="1"/>
  <c r="X49" i="1"/>
  <c r="V49" i="1"/>
  <c r="U49" i="1"/>
  <c r="T49" i="1"/>
  <c r="W49" i="1" s="1"/>
  <c r="S49" i="1"/>
  <c r="AA48" i="1"/>
  <c r="Z48" i="1"/>
  <c r="Y48" i="1"/>
  <c r="X48" i="1"/>
  <c r="V48" i="1"/>
  <c r="U48" i="1"/>
  <c r="W48" i="1" s="1"/>
  <c r="T48" i="1"/>
  <c r="S48" i="1"/>
  <c r="AA47" i="1"/>
  <c r="Z47" i="1"/>
  <c r="Y47" i="1"/>
  <c r="X47" i="1"/>
  <c r="V47" i="1"/>
  <c r="T47" i="1"/>
  <c r="U47" i="1" s="1"/>
  <c r="W47" i="1" s="1"/>
  <c r="S47" i="1"/>
  <c r="AA46" i="1"/>
  <c r="Z46" i="1"/>
  <c r="Y46" i="1"/>
  <c r="X46" i="1"/>
  <c r="V46" i="1"/>
  <c r="T46" i="1"/>
  <c r="S46" i="1"/>
  <c r="AA45" i="1"/>
  <c r="Z45" i="1"/>
  <c r="Y45" i="1"/>
  <c r="X45" i="1"/>
  <c r="V45" i="1"/>
  <c r="U45" i="1"/>
  <c r="T45" i="1"/>
  <c r="W45" i="1" s="1"/>
  <c r="S45" i="1"/>
  <c r="AA44" i="1"/>
  <c r="Z44" i="1"/>
  <c r="Y44" i="1"/>
  <c r="X44" i="1"/>
  <c r="V44" i="1"/>
  <c r="U44" i="1"/>
  <c r="W44" i="1" s="1"/>
  <c r="T44" i="1"/>
  <c r="S44" i="1"/>
  <c r="AA43" i="1"/>
  <c r="Z43" i="1"/>
  <c r="Y43" i="1"/>
  <c r="X43" i="1"/>
  <c r="V43" i="1"/>
  <c r="T43" i="1"/>
  <c r="U43" i="1" s="1"/>
  <c r="W43" i="1" s="1"/>
  <c r="S43" i="1"/>
  <c r="AA42" i="1"/>
  <c r="Z42" i="1"/>
  <c r="Y42" i="1"/>
  <c r="X42" i="1"/>
  <c r="V42" i="1"/>
  <c r="T42" i="1"/>
  <c r="S42" i="1"/>
  <c r="AA41" i="1"/>
  <c r="Z41" i="1"/>
  <c r="Y41" i="1"/>
  <c r="X41" i="1"/>
  <c r="V41" i="1"/>
  <c r="U41" i="1"/>
  <c r="T41" i="1"/>
  <c r="W41" i="1" s="1"/>
  <c r="S41" i="1"/>
  <c r="AA40" i="1"/>
  <c r="Z40" i="1"/>
  <c r="Y40" i="1"/>
  <c r="X40" i="1"/>
  <c r="V40" i="1"/>
  <c r="U40" i="1"/>
  <c r="W40" i="1" s="1"/>
  <c r="T40" i="1"/>
  <c r="S40" i="1"/>
  <c r="AA39" i="1"/>
  <c r="Z39" i="1"/>
  <c r="Y39" i="1"/>
  <c r="X39" i="1"/>
  <c r="V39" i="1"/>
  <c r="T39" i="1"/>
  <c r="U39" i="1" s="1"/>
  <c r="W39" i="1" s="1"/>
  <c r="S39" i="1"/>
  <c r="AA38" i="1"/>
  <c r="Z38" i="1"/>
  <c r="Y38" i="1"/>
  <c r="X38" i="1"/>
  <c r="V38" i="1"/>
  <c r="T38" i="1"/>
  <c r="S38" i="1"/>
  <c r="AA37" i="1"/>
  <c r="Z37" i="1"/>
  <c r="Y37" i="1"/>
  <c r="X37" i="1"/>
  <c r="V37" i="1"/>
  <c r="U37" i="1"/>
  <c r="T37" i="1"/>
  <c r="W37" i="1" s="1"/>
  <c r="S37" i="1"/>
  <c r="AA36" i="1"/>
  <c r="Z36" i="1"/>
  <c r="Y36" i="1"/>
  <c r="X36" i="1"/>
  <c r="V36" i="1"/>
  <c r="U36" i="1"/>
  <c r="W36" i="1" s="1"/>
  <c r="T36" i="1"/>
  <c r="S36" i="1"/>
  <c r="AA35" i="1"/>
  <c r="Z35" i="1"/>
  <c r="Y35" i="1"/>
  <c r="X35" i="1"/>
  <c r="V35" i="1"/>
  <c r="T35" i="1"/>
  <c r="U35" i="1" s="1"/>
  <c r="W35" i="1" s="1"/>
  <c r="S35" i="1"/>
  <c r="AA34" i="1"/>
  <c r="Z34" i="1"/>
  <c r="Y34" i="1"/>
  <c r="X34" i="1"/>
  <c r="V34" i="1"/>
  <c r="T34" i="1"/>
  <c r="S34" i="1"/>
  <c r="AA33" i="1"/>
  <c r="Z33" i="1"/>
  <c r="Y33" i="1"/>
  <c r="X33" i="1"/>
  <c r="V33" i="1"/>
  <c r="U33" i="1"/>
  <c r="T33" i="1"/>
  <c r="W33" i="1" s="1"/>
  <c r="S33" i="1"/>
  <c r="AA32" i="1"/>
  <c r="Z32" i="1"/>
  <c r="Y32" i="1"/>
  <c r="X32" i="1"/>
  <c r="V32" i="1"/>
  <c r="U32" i="1"/>
  <c r="W32" i="1" s="1"/>
  <c r="T32" i="1"/>
  <c r="S32" i="1"/>
  <c r="AA31" i="1"/>
  <c r="Z31" i="1"/>
  <c r="Y31" i="1"/>
  <c r="X31" i="1"/>
  <c r="V31" i="1"/>
  <c r="T31" i="1"/>
  <c r="U31" i="1" s="1"/>
  <c r="W31" i="1" s="1"/>
  <c r="S31" i="1"/>
  <c r="AA30" i="1"/>
  <c r="Z30" i="1"/>
  <c r="Y30" i="1"/>
  <c r="X30" i="1"/>
  <c r="V30" i="1"/>
  <c r="T30" i="1"/>
  <c r="S30" i="1"/>
  <c r="AA29" i="1"/>
  <c r="Z29" i="1"/>
  <c r="Y29" i="1"/>
  <c r="X29" i="1"/>
  <c r="V29" i="1"/>
  <c r="U29" i="1"/>
  <c r="T29" i="1"/>
  <c r="W29" i="1" s="1"/>
  <c r="S29" i="1"/>
  <c r="AA28" i="1"/>
  <c r="Z28" i="1"/>
  <c r="Y28" i="1"/>
  <c r="X28" i="1"/>
  <c r="V28" i="1"/>
  <c r="U28" i="1"/>
  <c r="W28" i="1" s="1"/>
  <c r="T28" i="1"/>
  <c r="S28" i="1"/>
  <c r="AA27" i="1"/>
  <c r="Z27" i="1"/>
  <c r="Y27" i="1"/>
  <c r="X27" i="1"/>
  <c r="V27" i="1"/>
  <c r="T27" i="1"/>
  <c r="U27" i="1" s="1"/>
  <c r="W27" i="1" s="1"/>
  <c r="S27" i="1"/>
  <c r="AA26" i="1"/>
  <c r="Z26" i="1"/>
  <c r="Y26" i="1"/>
  <c r="X26" i="1"/>
  <c r="V26" i="1"/>
  <c r="T26" i="1"/>
  <c r="S26" i="1"/>
  <c r="AA25" i="1"/>
  <c r="Z25" i="1"/>
  <c r="Y25" i="1"/>
  <c r="X25" i="1"/>
  <c r="V25" i="1"/>
  <c r="U25" i="1"/>
  <c r="T25" i="1"/>
  <c r="W25" i="1" s="1"/>
  <c r="S25" i="1"/>
  <c r="AA24" i="1"/>
  <c r="Z24" i="1"/>
  <c r="Y24" i="1"/>
  <c r="X24" i="1"/>
  <c r="V24" i="1"/>
  <c r="U24" i="1"/>
  <c r="W24" i="1" s="1"/>
  <c r="T24" i="1"/>
  <c r="S24" i="1"/>
  <c r="AA23" i="1"/>
  <c r="Z23" i="1"/>
  <c r="Y23" i="1"/>
  <c r="X23" i="1"/>
  <c r="V23" i="1"/>
  <c r="T23" i="1"/>
  <c r="U23" i="1" s="1"/>
  <c r="W23" i="1" s="1"/>
  <c r="S23" i="1"/>
  <c r="AA22" i="1"/>
  <c r="Z22" i="1"/>
  <c r="Y22" i="1"/>
  <c r="X22" i="1"/>
  <c r="V22" i="1"/>
  <c r="T22" i="1"/>
  <c r="S22" i="1"/>
  <c r="AA21" i="1"/>
  <c r="Z21" i="1"/>
  <c r="Y21" i="1"/>
  <c r="X21" i="1"/>
  <c r="V21" i="1"/>
  <c r="U21" i="1"/>
  <c r="T21" i="1"/>
  <c r="W21" i="1" s="1"/>
  <c r="S21" i="1"/>
  <c r="AA20" i="1"/>
  <c r="Z20" i="1"/>
  <c r="Y20" i="1"/>
  <c r="X20" i="1"/>
  <c r="V20" i="1"/>
  <c r="U20" i="1"/>
  <c r="W20" i="1" s="1"/>
  <c r="T20" i="1"/>
  <c r="S20" i="1"/>
  <c r="AA19" i="1"/>
  <c r="Z19" i="1"/>
  <c r="Y19" i="1"/>
  <c r="X19" i="1"/>
  <c r="V19" i="1"/>
  <c r="T19" i="1"/>
  <c r="U19" i="1" s="1"/>
  <c r="W19" i="1" s="1"/>
  <c r="S19" i="1"/>
  <c r="AA18" i="1"/>
  <c r="Z18" i="1"/>
  <c r="Y18" i="1"/>
  <c r="X18" i="1"/>
  <c r="V18" i="1"/>
  <c r="T18" i="1"/>
  <c r="S18" i="1"/>
  <c r="AA17" i="1"/>
  <c r="Z17" i="1"/>
  <c r="Y17" i="1"/>
  <c r="X17" i="1"/>
  <c r="V17" i="1"/>
  <c r="U17" i="1"/>
  <c r="T17" i="1"/>
  <c r="W17" i="1" s="1"/>
  <c r="S17" i="1"/>
  <c r="AA16" i="1"/>
  <c r="Z16" i="1"/>
  <c r="Y16" i="1"/>
  <c r="X16" i="1"/>
  <c r="V16" i="1"/>
  <c r="U16" i="1"/>
  <c r="W16" i="1" s="1"/>
  <c r="T16" i="1"/>
  <c r="S16" i="1"/>
  <c r="AA15" i="1"/>
  <c r="Z15" i="1"/>
  <c r="Y15" i="1"/>
  <c r="X15" i="1"/>
  <c r="V15" i="1"/>
  <c r="T15" i="1"/>
  <c r="U15" i="1" s="1"/>
  <c r="W15" i="1" s="1"/>
  <c r="S15" i="1"/>
  <c r="AA14" i="1"/>
  <c r="Z14" i="1"/>
  <c r="Y14" i="1"/>
  <c r="X14" i="1"/>
  <c r="V14" i="1"/>
  <c r="T14" i="1"/>
  <c r="S14" i="1"/>
  <c r="AA13" i="1"/>
  <c r="Z13" i="1"/>
  <c r="Y13" i="1"/>
  <c r="X13" i="1"/>
  <c r="V13" i="1"/>
  <c r="U13" i="1"/>
  <c r="T13" i="1"/>
  <c r="W13" i="1" s="1"/>
  <c r="S13" i="1"/>
  <c r="AA12" i="1"/>
  <c r="Z12" i="1"/>
  <c r="Y12" i="1"/>
  <c r="X12" i="1"/>
  <c r="V12" i="1"/>
  <c r="U12" i="1"/>
  <c r="W12" i="1" s="1"/>
  <c r="T12" i="1"/>
  <c r="S12" i="1"/>
  <c r="AA11" i="1"/>
  <c r="Z11" i="1"/>
  <c r="Y11" i="1"/>
  <c r="X11" i="1"/>
  <c r="V11" i="1"/>
  <c r="T11" i="1"/>
  <c r="U11" i="1" s="1"/>
  <c r="W11" i="1" s="1"/>
  <c r="S11" i="1"/>
  <c r="AA10" i="1"/>
  <c r="Z10" i="1"/>
  <c r="Y10" i="1"/>
  <c r="X10" i="1"/>
  <c r="V10" i="1"/>
  <c r="T10" i="1"/>
  <c r="S10" i="1"/>
  <c r="AA9" i="1"/>
  <c r="Z9" i="1"/>
  <c r="Y9" i="1"/>
  <c r="X9" i="1"/>
  <c r="V9" i="1"/>
  <c r="U9" i="1"/>
  <c r="T9" i="1"/>
  <c r="W9" i="1" s="1"/>
  <c r="S9" i="1"/>
  <c r="AA8" i="1"/>
  <c r="Z8" i="1"/>
  <c r="Y8" i="1"/>
  <c r="X8" i="1"/>
  <c r="V8" i="1"/>
  <c r="U8" i="1"/>
  <c r="W8" i="1" s="1"/>
  <c r="T8" i="1"/>
  <c r="S8" i="1"/>
  <c r="AA7" i="1"/>
  <c r="Z7" i="1"/>
  <c r="Y7" i="1"/>
  <c r="X7" i="1"/>
  <c r="V7" i="1"/>
  <c r="T7" i="1"/>
  <c r="U7" i="1" s="1"/>
  <c r="W7" i="1" s="1"/>
  <c r="S7" i="1"/>
  <c r="AA6" i="1"/>
  <c r="Z6" i="1"/>
  <c r="Y6" i="1"/>
  <c r="X6" i="1"/>
  <c r="V6" i="1"/>
  <c r="T6" i="1"/>
  <c r="S6" i="1"/>
  <c r="AA5" i="1"/>
  <c r="Z5" i="1"/>
  <c r="Y5" i="1"/>
  <c r="X5" i="1"/>
  <c r="V5" i="1"/>
  <c r="U5" i="1"/>
  <c r="T5" i="1"/>
  <c r="W5" i="1" s="1"/>
  <c r="S5" i="1"/>
  <c r="W58" i="1" l="1"/>
  <c r="W90" i="1"/>
  <c r="W122" i="1"/>
  <c r="W6" i="1"/>
  <c r="W38" i="1"/>
  <c r="W70" i="1"/>
  <c r="W102" i="1"/>
  <c r="W110" i="1"/>
  <c r="W134" i="1"/>
  <c r="B12" i="4"/>
  <c r="U6" i="1"/>
  <c r="U34" i="1"/>
  <c r="W34" i="1" s="1"/>
  <c r="U86" i="1"/>
  <c r="W86" i="1" s="1"/>
  <c r="U90" i="1"/>
  <c r="U94" i="1"/>
  <c r="W94" i="1" s="1"/>
  <c r="U98" i="1"/>
  <c r="W98" i="1" s="1"/>
  <c r="U102" i="1"/>
  <c r="U106" i="1"/>
  <c r="W106" i="1" s="1"/>
  <c r="U110" i="1"/>
  <c r="U114" i="1"/>
  <c r="W114" i="1" s="1"/>
  <c r="U118" i="1"/>
  <c r="W118" i="1" s="1"/>
  <c r="U122" i="1"/>
  <c r="U126" i="1"/>
  <c r="W126" i="1" s="1"/>
  <c r="U130" i="1"/>
  <c r="W130" i="1" s="1"/>
  <c r="U134" i="1"/>
  <c r="U138" i="1"/>
  <c r="W138" i="1" s="1"/>
  <c r="U142" i="1"/>
  <c r="W142" i="1" s="1"/>
  <c r="U146" i="1"/>
  <c r="W146" i="1" s="1"/>
  <c r="U150" i="1"/>
  <c r="W150" i="1" s="1"/>
  <c r="U154" i="1"/>
  <c r="W154" i="1" s="1"/>
  <c r="U216" i="1"/>
  <c r="W216" i="1" s="1"/>
  <c r="W224" i="1"/>
  <c r="U224" i="1"/>
  <c r="U232" i="1"/>
  <c r="W232" i="1" s="1"/>
  <c r="W289" i="1"/>
  <c r="U289" i="1"/>
  <c r="U321" i="1"/>
  <c r="W321" i="1" s="1"/>
  <c r="W353" i="1"/>
  <c r="U353" i="1"/>
  <c r="W233" i="1"/>
  <c r="U233" i="1"/>
  <c r="U290" i="1"/>
  <c r="W290" i="1" s="1"/>
  <c r="U322" i="1"/>
  <c r="W322" i="1" s="1"/>
  <c r="U354" i="1"/>
  <c r="W354" i="1" s="1"/>
  <c r="U10" i="1"/>
  <c r="W10" i="1" s="1"/>
  <c r="U14" i="1"/>
  <c r="W14" i="1" s="1"/>
  <c r="U18" i="1"/>
  <c r="W18" i="1" s="1"/>
  <c r="U22" i="1"/>
  <c r="W22" i="1" s="1"/>
  <c r="U26" i="1"/>
  <c r="W26" i="1" s="1"/>
  <c r="U30" i="1"/>
  <c r="W30" i="1" s="1"/>
  <c r="U38" i="1"/>
  <c r="U42" i="1"/>
  <c r="W42" i="1" s="1"/>
  <c r="U46" i="1"/>
  <c r="W46" i="1" s="1"/>
  <c r="U50" i="1"/>
  <c r="W50" i="1" s="1"/>
  <c r="U54" i="1"/>
  <c r="W54" i="1" s="1"/>
  <c r="U58" i="1"/>
  <c r="U62" i="1"/>
  <c r="W62" i="1" s="1"/>
  <c r="U66" i="1"/>
  <c r="W66" i="1" s="1"/>
  <c r="U70" i="1"/>
  <c r="U74" i="1"/>
  <c r="W74" i="1" s="1"/>
  <c r="U78" i="1"/>
  <c r="W78" i="1" s="1"/>
  <c r="U82" i="1"/>
  <c r="W82" i="1" s="1"/>
  <c r="W157" i="1"/>
  <c r="U157" i="1"/>
  <c r="U159" i="1"/>
  <c r="W159" i="1" s="1"/>
  <c r="W161" i="1"/>
  <c r="U161" i="1"/>
  <c r="U163" i="1"/>
  <c r="W163" i="1" s="1"/>
  <c r="W165" i="1"/>
  <c r="U165" i="1"/>
  <c r="U167" i="1"/>
  <c r="W167" i="1" s="1"/>
  <c r="W169" i="1"/>
  <c r="U169" i="1"/>
  <c r="U171" i="1"/>
  <c r="W171" i="1" s="1"/>
  <c r="W173" i="1"/>
  <c r="U173" i="1"/>
  <c r="U175" i="1"/>
  <c r="W175" i="1" s="1"/>
  <c r="W177" i="1"/>
  <c r="U177" i="1"/>
  <c r="U179" i="1"/>
  <c r="W179" i="1" s="1"/>
  <c r="W181" i="1"/>
  <c r="U181" i="1"/>
  <c r="U183" i="1"/>
  <c r="W183" i="1" s="1"/>
  <c r="W185" i="1"/>
  <c r="U185" i="1"/>
  <c r="U187" i="1"/>
  <c r="W187" i="1" s="1"/>
  <c r="W189" i="1"/>
  <c r="U189" i="1"/>
  <c r="U191" i="1"/>
  <c r="W191" i="1" s="1"/>
  <c r="W193" i="1"/>
  <c r="U193" i="1"/>
  <c r="U195" i="1"/>
  <c r="W195" i="1" s="1"/>
  <c r="W197" i="1"/>
  <c r="U197" i="1"/>
  <c r="U199" i="1"/>
  <c r="W199" i="1" s="1"/>
  <c r="W201" i="1"/>
  <c r="U201" i="1"/>
  <c r="U203" i="1"/>
  <c r="W203" i="1" s="1"/>
  <c r="W205" i="1"/>
  <c r="U205" i="1"/>
  <c r="U207" i="1"/>
  <c r="W207" i="1" s="1"/>
  <c r="W209" i="1"/>
  <c r="U209" i="1"/>
  <c r="U211" i="1"/>
  <c r="W211" i="1" s="1"/>
  <c r="W213" i="1"/>
  <c r="U213" i="1"/>
  <c r="W221" i="1"/>
  <c r="U221" i="1"/>
  <c r="W229" i="1"/>
  <c r="U229" i="1"/>
  <c r="W264" i="1"/>
  <c r="W265" i="1"/>
  <c r="U265" i="1"/>
  <c r="W272" i="1"/>
  <c r="W273" i="1"/>
  <c r="U273" i="1"/>
  <c r="U306" i="1"/>
  <c r="W306" i="1" s="1"/>
  <c r="U338" i="1"/>
  <c r="W338" i="1" s="1"/>
  <c r="U217" i="1"/>
  <c r="W217" i="1" s="1"/>
  <c r="U225" i="1"/>
  <c r="W225" i="1" s="1"/>
  <c r="W241" i="1"/>
  <c r="U241" i="1"/>
  <c r="B10" i="4"/>
  <c r="W155" i="1"/>
  <c r="W220" i="1"/>
  <c r="U220" i="1"/>
  <c r="W228" i="1"/>
  <c r="U228" i="1"/>
  <c r="W248" i="1"/>
  <c r="U249" i="1"/>
  <c r="W249" i="1" s="1"/>
  <c r="W256" i="1"/>
  <c r="W257" i="1"/>
  <c r="U257" i="1"/>
  <c r="W266" i="1"/>
  <c r="W274" i="1"/>
  <c r="W305" i="1"/>
  <c r="U305" i="1"/>
  <c r="W337" i="1"/>
  <c r="U337" i="1"/>
  <c r="W244" i="1"/>
  <c r="W245" i="1"/>
  <c r="W260" i="1"/>
  <c r="W261" i="1"/>
  <c r="W276" i="1"/>
  <c r="W277" i="1"/>
  <c r="W292" i="1"/>
  <c r="W293" i="1"/>
  <c r="W308" i="1"/>
  <c r="W309" i="1"/>
  <c r="W324" i="1"/>
  <c r="W325" i="1"/>
  <c r="W340" i="1"/>
  <c r="W341" i="1"/>
  <c r="W356" i="1"/>
  <c r="W357" i="1"/>
  <c r="B15" i="4"/>
  <c r="W296" i="1"/>
  <c r="W312" i="1"/>
  <c r="W328" i="1"/>
  <c r="W344" i="1"/>
  <c r="W360" i="1"/>
  <c r="W214" i="1"/>
  <c r="W222" i="1"/>
  <c r="W230" i="1"/>
  <c r="W236" i="1"/>
  <c r="W237" i="1"/>
  <c r="W246" i="1"/>
  <c r="W252" i="1"/>
  <c r="W253" i="1"/>
  <c r="W262" i="1"/>
  <c r="W268" i="1"/>
  <c r="W269" i="1"/>
  <c r="W278" i="1"/>
  <c r="U281" i="1"/>
  <c r="W281" i="1" s="1"/>
  <c r="W284" i="1"/>
  <c r="W285" i="1"/>
  <c r="W294" i="1"/>
  <c r="U297" i="1"/>
  <c r="W297" i="1" s="1"/>
  <c r="W300" i="1"/>
  <c r="W301" i="1"/>
  <c r="W310" i="1"/>
  <c r="U313" i="1"/>
  <c r="W313" i="1" s="1"/>
  <c r="W316" i="1"/>
  <c r="W317" i="1"/>
  <c r="W326" i="1"/>
  <c r="U329" i="1"/>
  <c r="W329" i="1" s="1"/>
  <c r="W332" i="1"/>
  <c r="W333" i="1"/>
  <c r="W342" i="1"/>
  <c r="U345" i="1"/>
  <c r="W345" i="1" s="1"/>
  <c r="W348" i="1"/>
  <c r="W349" i="1"/>
  <c r="W358" i="1"/>
  <c r="U361" i="1"/>
  <c r="W361" i="1" s="1"/>
  <c r="W364" i="1"/>
  <c r="B16" i="4"/>
  <c r="B8" i="4"/>
  <c r="A4" i="10"/>
  <c r="D2" i="5" l="1"/>
  <c r="D3" i="7"/>
  <c r="D4" i="7"/>
  <c r="D4" i="5"/>
  <c r="D3" i="6"/>
  <c r="D3" i="5"/>
  <c r="D2" i="6"/>
  <c r="B11" i="4"/>
  <c r="B9" i="4"/>
  <c r="C4" i="10" s="1"/>
  <c r="D2" i="7"/>
</calcChain>
</file>

<file path=xl/sharedStrings.xml><?xml version="1.0" encoding="utf-8"?>
<sst xmlns="http://schemas.openxmlformats.org/spreadsheetml/2006/main" count="3246" uniqueCount="123">
  <si>
    <t>FOOD MANUFACTURING — PRODUCTION &amp; MAINTENANCE ANALYSIS</t>
  </si>
  <si>
    <t>Potato Chips Manufacturing | 120 Days | 360 Production Records</t>
  </si>
  <si>
    <t>Record_ID</t>
  </si>
  <si>
    <t>Date</t>
  </si>
  <si>
    <t>Shift</t>
  </si>
  <si>
    <t>Line</t>
  </si>
  <si>
    <t>Product</t>
  </si>
  <si>
    <t>Target_kg</t>
  </si>
  <si>
    <t>Actual_kg</t>
  </si>
  <si>
    <t>Good_Product_kg</t>
  </si>
  <si>
    <t>Reject_kg</t>
  </si>
  <si>
    <t>Downtime_hr</t>
  </si>
  <si>
    <t>Downtime_Reason</t>
  </si>
  <si>
    <t>Maintenance_Type</t>
  </si>
  <si>
    <t>Raw_Potato_kg</t>
  </si>
  <si>
    <t>Oil_kg</t>
  </si>
  <si>
    <t>Energy_kWh</t>
  </si>
  <si>
    <t>Fryer_Temp_C</t>
  </si>
  <si>
    <t>Moisture_%</t>
  </si>
  <si>
    <t>Maintenance_Cost_USD</t>
  </si>
  <si>
    <t>Achievement_%</t>
  </si>
  <si>
    <t>Availability_%</t>
  </si>
  <si>
    <t>Performance_%</t>
  </si>
  <si>
    <t>Quality_%</t>
  </si>
  <si>
    <t>OEE_%</t>
  </si>
  <si>
    <t>Reject_Rate_%</t>
  </si>
  <si>
    <t>Material_Yield_%</t>
  </si>
  <si>
    <t>Energy_per_kg</t>
  </si>
  <si>
    <t>Maintenance_Status</t>
  </si>
  <si>
    <t>Day</t>
  </si>
  <si>
    <t>Line 2</t>
  </si>
  <si>
    <t>Classic Chips</t>
  </si>
  <si>
    <t>No Downtime</t>
  </si>
  <si>
    <t>None</t>
  </si>
  <si>
    <t>Evening</t>
  </si>
  <si>
    <t>Line 1</t>
  </si>
  <si>
    <t>Night</t>
  </si>
  <si>
    <t>Electrical Fault</t>
  </si>
  <si>
    <t>Corrective</t>
  </si>
  <si>
    <t>Paprika Chips</t>
  </si>
  <si>
    <t>Planned Maintenance</t>
  </si>
  <si>
    <t>Preventive</t>
  </si>
  <si>
    <t>Conveyor Jam</t>
  </si>
  <si>
    <t>Emergency</t>
  </si>
  <si>
    <t>Quality Hold</t>
  </si>
  <si>
    <t>Salt &amp; Vinegar</t>
  </si>
  <si>
    <t>Packaging Machine</t>
  </si>
  <si>
    <t>Raw Material Shortage</t>
  </si>
  <si>
    <t>Fryer Temperature</t>
  </si>
  <si>
    <t>MAINTENANCE EVENT LOG</t>
  </si>
  <si>
    <t>Event_ID</t>
  </si>
  <si>
    <t>Failure_or_Task</t>
  </si>
  <si>
    <t>Technician_Hours</t>
  </si>
  <si>
    <t>Status</t>
  </si>
  <si>
    <t>Completed</t>
  </si>
  <si>
    <t>Follow-up Required</t>
  </si>
  <si>
    <t>FOOD MANUFACTURING PRODUCTION &amp; MAINTENANCE PROJECT</t>
  </si>
  <si>
    <t>Scenario</t>
  </si>
  <si>
    <t>You are a Production Engineer supporting a potato chips manufacturing plant.</t>
  </si>
  <si>
    <t>Goal</t>
  </si>
  <si>
    <t>Improve output, equipment reliability, quality and maintenance effectiveness.</t>
  </si>
  <si>
    <t>Step 1</t>
  </si>
  <si>
    <t>Review the data grain, dimensions, measures and maintenance events.</t>
  </si>
  <si>
    <t>Step 2</t>
  </si>
  <si>
    <t>Perform data-quality checks: duplicates, missing values, ranges and unusual process values.</t>
  </si>
  <si>
    <t>Step 3</t>
  </si>
  <si>
    <t>Calculate OEE = Availability × Performance × Quality and explain each component.</t>
  </si>
  <si>
    <t>Step 4</t>
  </si>
  <si>
    <t>Compare OEE, output, downtime and rejects by production line.</t>
  </si>
  <si>
    <t>Step 5</t>
  </si>
  <si>
    <t>Compare Day, Evening and Night shifts.</t>
  </si>
  <si>
    <t>Step 6</t>
  </si>
  <si>
    <t>Compare products for output, rejects, material yield and energy/kg.</t>
  </si>
  <si>
    <t>Step 7</t>
  </si>
  <si>
    <t>Build a Pareto analysis of downtime reasons.</t>
  </si>
  <si>
    <t>Step 8</t>
  </si>
  <si>
    <t>Compare Preventive, Corrective and Emergency maintenance.</t>
  </si>
  <si>
    <t>Step 9</t>
  </si>
  <si>
    <t>Calculate MTTR and MTBF from the maintenance log using clearly stated assumptions.</t>
  </si>
  <si>
    <t>Step 10</t>
  </si>
  <si>
    <t>Identify the main reliability and production-loss areas.</t>
  </si>
  <si>
    <t>Step 11</t>
  </si>
  <si>
    <t>Build a management dashboard.</t>
  </si>
  <si>
    <t>Step 12</t>
  </si>
  <si>
    <t>Write 5 evidence-based findings and 5 improvement recommendations.</t>
  </si>
  <si>
    <t>KPI CALCULATION LAYER</t>
  </si>
  <si>
    <t>Total Target (kg)</t>
  </si>
  <si>
    <t>Total Actual (kg)</t>
  </si>
  <si>
    <t>Good Product (kg)</t>
  </si>
  <si>
    <t>Reject (kg)</t>
  </si>
  <si>
    <t>Achievement %</t>
  </si>
  <si>
    <t>Average OEE %</t>
  </si>
  <si>
    <t>Average Availability %</t>
  </si>
  <si>
    <t>Average Performance %</t>
  </si>
  <si>
    <t>Average Quality %</t>
  </si>
  <si>
    <t>Total Downtime (hr)</t>
  </si>
  <si>
    <t>Maintenance Cost</t>
  </si>
  <si>
    <t>Reject Rate %</t>
  </si>
  <si>
    <t>Energy / kg</t>
  </si>
  <si>
    <t>Actual kg</t>
  </si>
  <si>
    <t>OEE %</t>
  </si>
  <si>
    <t>Downtime hr</t>
  </si>
  <si>
    <t>Energy/kg</t>
  </si>
  <si>
    <t>Material Yield %</t>
  </si>
  <si>
    <t>Type</t>
  </si>
  <si>
    <t>Events</t>
  </si>
  <si>
    <t>Cost</t>
  </si>
  <si>
    <t>Avg Technician Hours</t>
  </si>
  <si>
    <t>Avg Downtime/Event</t>
  </si>
  <si>
    <t>Reason</t>
  </si>
  <si>
    <t>% of Downtime</t>
  </si>
  <si>
    <t>FOOD MANUFACTURING — PRODUCTION &amp; MAINTENANCE DASHBOARD</t>
  </si>
  <si>
    <t>Actual Production (kg)</t>
  </si>
  <si>
    <t>OEE</t>
  </si>
  <si>
    <t>Downtime (hr)</t>
  </si>
  <si>
    <t>Management Questions</t>
  </si>
  <si>
    <t>1. Which line has the weakest OEE and what operational/maintenance factors explain it?</t>
  </si>
  <si>
    <t>2. Which downtime reason contributes most to lost production time?</t>
  </si>
  <si>
    <t>3. How does preventive maintenance compare with corrective/emergency work?</t>
  </si>
  <si>
    <t>4. Which shift needs the most attention?</t>
  </si>
  <si>
    <t>5. Which product has the highest reject or energy burden?</t>
  </si>
  <si>
    <t>6. What 3 actions would you prioritize based on the evidence?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</si>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</sst>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"/>
    <numFmt numFmtId="165" formatCode="0.0%"/>
    <numFmt numFmtId="166" formatCode="0.000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20"/>
      <name val="Calibri"/>
    </font>
    <font>
      <b/>
      <sz val="11"/>
      <name val="Calibri"/>
    </font>
    <font>
      <b/>
      <sz val="16"/>
      <name val="Calibri"/>
    </font>
    <font>
      <b/>
      <sz val="13"/>
      <name val="Calibri"/>
    </font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5" fontId="2" fillId="0" borderId="0" xfId="0" applyNumberFormat="1" applyFont="1" applyAlignment="1">
      <alignment vertical="center"/>
    </xf>
    <xf numFmtId="43" fontId="0" fillId="0" borderId="0" xfId="1" applyFont="1" applyAlignment="1">
      <alignment vertical="center"/>
    </xf>
    <xf numFmtId="167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2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67" fontId="5" fillId="0" borderId="1" xfId="1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78">
    <dxf>
      <numFmt numFmtId="0" formatCode="General"/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numFmt numFmtId="168" formatCode="0.0"/>
      <alignment horizontal="general" vertical="center" textRotation="0" wrapText="0" indent="0" justifyLastLine="0" shrinkToFit="0" readingOrder="0"/>
    </dxf>
    <dxf>
      <numFmt numFmtId="168" formatCode="0.0"/>
      <alignment horizontal="general" vertical="center" textRotation="0" wrapText="0" indent="0" justifyLastLine="0" shrinkToFit="0" readingOrder="0"/>
    </dxf>
    <dxf>
      <numFmt numFmtId="168" formatCode="0.0"/>
      <alignment horizontal="general" vertical="center" textRotation="0" wrapText="0" indent="0" justifyLastLine="0" shrinkToFit="0" readingOrder="0"/>
    </dxf>
    <dxf>
      <numFmt numFmtId="168" formatCode="0.0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67" formatCode="_(* #,##0.0_);_(* \(#,##0.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67" formatCode="_(* #,##0.0_);_(* \(#,##0.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67" formatCode="_(* #,##0.0_);_(* \(#,##0.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67" formatCode="_(* #,##0.0_);_(* \(#,##0.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OEE by Production Line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160022965879266"/>
          <c:y val="0.14711844849775885"/>
          <c:w val="0.65727252843394579"/>
          <c:h val="0.739866861935827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Line_Analysis!$D$1</c:f>
              <c:strCache>
                <c:ptCount val="1"/>
                <c:pt idx="0">
                  <c:v>OEE %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Line_Analysis!$A$2:$A$3</c:f>
              <c:strCache>
                <c:ptCount val="2"/>
                <c:pt idx="0">
                  <c:v>Line 1</c:v>
                </c:pt>
                <c:pt idx="1">
                  <c:v>Line 2</c:v>
                </c:pt>
              </c:strCache>
            </c:strRef>
          </c:cat>
          <c:val>
            <c:numRef>
              <c:f>Line_Analysis!$D$2:$D$3</c:f>
              <c:numCache>
                <c:formatCode>0.0%</c:formatCode>
                <c:ptCount val="2"/>
                <c:pt idx="0">
                  <c:v>0.76318415580931565</c:v>
                </c:pt>
                <c:pt idx="1">
                  <c:v>0.72311928312776053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3-4E10-AA04-B3DAF32017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OEE by Shift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292846808776469E-2"/>
          <c:y val="0.12146904761904762"/>
          <c:w val="0.78272912551837015"/>
          <c:h val="0.7522785714285714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Shift_Analysis!$D$1</c:f>
              <c:strCache>
                <c:ptCount val="1"/>
                <c:pt idx="0">
                  <c:v>OEE %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Shift_Analysis!$A$2:$A$4</c:f>
              <c:strCache>
                <c:ptCount val="3"/>
                <c:pt idx="0">
                  <c:v>Day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Shift_Analysis!$D$2:$D$4</c:f>
              <c:numCache>
                <c:formatCode>0.0%</c:formatCode>
                <c:ptCount val="3"/>
                <c:pt idx="0">
                  <c:v>0.78077886749557734</c:v>
                </c:pt>
                <c:pt idx="1">
                  <c:v>0.7405835372188817</c:v>
                </c:pt>
                <c:pt idx="2">
                  <c:v>0.70842662763016773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5-4DB3-AEC4-41A01B0FB8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Maintenance Downtime by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333327174104529E-2"/>
          <c:y val="0.13103174603174603"/>
          <c:w val="0.75997401365375039"/>
          <c:h val="0.8135317460317460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Maintenance_Analysis!$C$1</c:f>
              <c:strCache>
                <c:ptCount val="1"/>
                <c:pt idx="0">
                  <c:v>Downtime hr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Maintenance_Analysis!$A$2:$A$4</c:f>
              <c:strCache>
                <c:ptCount val="3"/>
                <c:pt idx="0">
                  <c:v>Preventive</c:v>
                </c:pt>
                <c:pt idx="1">
                  <c:v>Corrective</c:v>
                </c:pt>
                <c:pt idx="2">
                  <c:v>Emergency</c:v>
                </c:pt>
              </c:strCache>
            </c:strRef>
          </c:cat>
          <c:val>
            <c:numRef>
              <c:f>Maintenance_Analysis!$C$2:$C$4</c:f>
              <c:numCache>
                <c:formatCode>General</c:formatCode>
                <c:ptCount val="3"/>
                <c:pt idx="0">
                  <c:v>147.72</c:v>
                </c:pt>
                <c:pt idx="1">
                  <c:v>300.77999999999992</c:v>
                </c:pt>
                <c:pt idx="2">
                  <c:v>75.789999999999992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E-4E2C-AFFE-B5E8F3CB2E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Downtime by Reason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0075933328964326E-2"/>
          <c:y val="0.1007936507936508"/>
          <c:w val="0.3915678178998187"/>
          <c:h val="0.8891269841269841"/>
        </c:manualLayout>
      </c:layout>
      <c:pieChart>
        <c:varyColors val="1"/>
        <c:ser>
          <c:idx val="0"/>
          <c:order val="0"/>
          <c:tx>
            <c:strRef>
              <c:f>Downtime_Analysis!$C$1</c:f>
              <c:strCache>
                <c:ptCount val="1"/>
                <c:pt idx="0">
                  <c:v>Downtime hr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Downtime_Analysis!$A$2:$A$8</c:f>
              <c:strCache>
                <c:ptCount val="7"/>
                <c:pt idx="0">
                  <c:v>Fryer Temperature</c:v>
                </c:pt>
                <c:pt idx="1">
                  <c:v>Conveyor Jam</c:v>
                </c:pt>
                <c:pt idx="2">
                  <c:v>Packaging Machine</c:v>
                </c:pt>
                <c:pt idx="3">
                  <c:v>Electrical Fault</c:v>
                </c:pt>
                <c:pt idx="4">
                  <c:v>Planned Maintenance</c:v>
                </c:pt>
                <c:pt idx="5">
                  <c:v>Raw Material Shortage</c:v>
                </c:pt>
                <c:pt idx="6">
                  <c:v>Quality Hold</c:v>
                </c:pt>
              </c:strCache>
            </c:strRef>
          </c:cat>
          <c:val>
            <c:numRef>
              <c:f>Downtime_Analysis!$C$2:$C$8</c:f>
              <c:numCache>
                <c:formatCode>General</c:formatCode>
                <c:ptCount val="7"/>
                <c:pt idx="0">
                  <c:v>38.85</c:v>
                </c:pt>
                <c:pt idx="1">
                  <c:v>103.83999999999996</c:v>
                </c:pt>
                <c:pt idx="2">
                  <c:v>79.410000000000011</c:v>
                </c:pt>
                <c:pt idx="3">
                  <c:v>50.57</c:v>
                </c:pt>
                <c:pt idx="4">
                  <c:v>147.72</c:v>
                </c:pt>
                <c:pt idx="5">
                  <c:v>56.780000000000015</c:v>
                </c:pt>
                <c:pt idx="6">
                  <c:v>47.120000000000005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5-4F2F-A038-1CE59CC17E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6091434563208586"/>
          <c:y val="0.18103730158730155"/>
          <c:w val="0.33921017104659545"/>
          <c:h val="0.74879801587301587"/>
        </c:manualLayout>
      </c:layout>
      <c:overlay val="1"/>
    </c:legend>
    <c:plotVisOnly val="1"/>
    <c:dispBlanksAs val="gap"/>
    <c:showDLblsOverMax val="1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64293</xdr:colOff>
      <xdr:row>4</xdr:row>
      <xdr:rowOff>83343</xdr:rowOff>
    </xdr:from>
    <xdr:ext cx="4543426" cy="284559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988218</xdr:colOff>
      <xdr:row>19</xdr:row>
      <xdr:rowOff>178593</xdr:rowOff>
    </xdr:from>
    <xdr:ext cx="6226969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250031</xdr:colOff>
      <xdr:row>13</xdr:row>
      <xdr:rowOff>71436</xdr:rowOff>
    </xdr:from>
    <xdr:ext cx="5250656" cy="31432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1095375</xdr:colOff>
      <xdr:row>4</xdr:row>
      <xdr:rowOff>59531</xdr:rowOff>
    </xdr:from>
    <xdr:ext cx="5476875" cy="286940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odProduction" displayName="FoodProduction" ref="A4:AA364">
  <autoFilter ref="A4:AA364" xr:uid="{00000000-0009-0000-0100-000001000000}"/>
  <tableColumns count="27">
    <tableColumn id="1" xr3:uid="{00000000-0010-0000-0000-000001000000}" name="Record_ID"/>
    <tableColumn id="2" xr3:uid="{00000000-0010-0000-0000-000002000000}" name="Date"/>
    <tableColumn id="3" xr3:uid="{00000000-0010-0000-0000-000003000000}" name="Shift"/>
    <tableColumn id="4" xr3:uid="{00000000-0010-0000-0000-000004000000}" name="Line"/>
    <tableColumn id="5" xr3:uid="{00000000-0010-0000-0000-000005000000}" name="Product"/>
    <tableColumn id="6" xr3:uid="{00000000-0010-0000-0000-000006000000}" name="Target_kg"/>
    <tableColumn id="7" xr3:uid="{00000000-0010-0000-0000-000007000000}" name="Actual_kg"/>
    <tableColumn id="8" xr3:uid="{00000000-0010-0000-0000-000008000000}" name="Good_Product_kg"/>
    <tableColumn id="9" xr3:uid="{00000000-0010-0000-0000-000009000000}" name="Reject_kg"/>
    <tableColumn id="10" xr3:uid="{00000000-0010-0000-0000-00000A000000}" name="Downtime_hr"/>
    <tableColumn id="11" xr3:uid="{00000000-0010-0000-0000-00000B000000}" name="Downtime_Reason"/>
    <tableColumn id="12" xr3:uid="{00000000-0010-0000-0000-00000C000000}" name="Maintenance_Type"/>
    <tableColumn id="13" xr3:uid="{00000000-0010-0000-0000-00000D000000}" name="Raw_Potato_kg"/>
    <tableColumn id="14" xr3:uid="{00000000-0010-0000-0000-00000E000000}" name="Oil_kg"/>
    <tableColumn id="15" xr3:uid="{00000000-0010-0000-0000-00000F000000}" name="Energy_kWh"/>
    <tableColumn id="16" xr3:uid="{00000000-0010-0000-0000-000010000000}" name="Fryer_Temp_C"/>
    <tableColumn id="17" xr3:uid="{00000000-0010-0000-0000-000011000000}" name="Moisture_%"/>
    <tableColumn id="18" xr3:uid="{00000000-0010-0000-0000-000012000000}" name="Maintenance_Cost_USD"/>
    <tableColumn id="19" xr3:uid="{00000000-0010-0000-0000-000013000000}" name="Achievement_%"/>
    <tableColumn id="20" xr3:uid="{00000000-0010-0000-0000-000014000000}" name="Availability_%"/>
    <tableColumn id="21" xr3:uid="{00000000-0010-0000-0000-000015000000}" name="Performance_%"/>
    <tableColumn id="22" xr3:uid="{00000000-0010-0000-0000-000016000000}" name="Quality_%"/>
    <tableColumn id="23" xr3:uid="{00000000-0010-0000-0000-000017000000}" name="OEE_%"/>
    <tableColumn id="24" xr3:uid="{00000000-0010-0000-0000-000018000000}" name="Reject_Rate_%"/>
    <tableColumn id="25" xr3:uid="{00000000-0010-0000-0000-000019000000}" name="Material_Yield_%"/>
    <tableColumn id="26" xr3:uid="{00000000-0010-0000-0000-00001A000000}" name="Energy_per_kg"/>
    <tableColumn id="27" xr3:uid="{00000000-0010-0000-0000-00001B000000}" name="Maintenanc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intenanceLog" displayName="MaintenanceLog" ref="A3:K219">
  <autoFilter ref="A3:K219" xr:uid="{00000000-0009-0000-0100-000002000000}"/>
  <tableColumns count="11">
    <tableColumn id="1" xr3:uid="{00000000-0010-0000-0100-000001000000}" name="Event_ID"/>
    <tableColumn id="2" xr3:uid="{00000000-0010-0000-0100-000002000000}" name="Date"/>
    <tableColumn id="3" xr3:uid="{00000000-0010-0000-0100-000003000000}" name="Shift"/>
    <tableColumn id="4" xr3:uid="{00000000-0010-0000-0100-000004000000}" name="Line"/>
    <tableColumn id="5" xr3:uid="{00000000-0010-0000-0100-000005000000}" name="Product"/>
    <tableColumn id="6" xr3:uid="{00000000-0010-0000-0100-000006000000}" name="Maintenance_Type"/>
    <tableColumn id="7" xr3:uid="{00000000-0010-0000-0100-000007000000}" name="Failure_or_Task"/>
    <tableColumn id="8" xr3:uid="{00000000-0010-0000-0100-000008000000}" name="Downtime_hr"/>
    <tableColumn id="9" xr3:uid="{00000000-0010-0000-0100-000009000000}" name="Technician_Hours"/>
    <tableColumn id="10" xr3:uid="{00000000-0010-0000-0100-00000A000000}" name="Maintenance_Cost_USD"/>
    <tableColumn id="11" xr3:uid="{00000000-0010-0000-0100-00000B000000}" name="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A587C7-41B8-4B82-A699-8303AF3D4104}" name="Table8" displayName="Table8" ref="A4:B16" headerRowCount="0" totalsRowShown="0" headerRowDxfId="77" dataDxfId="76">
  <tableColumns count="2">
    <tableColumn id="1" xr3:uid="{09E8D618-B2E6-434F-A111-10AB084CEEBF}" name="Column1" headerRowDxfId="75" dataDxfId="74"/>
    <tableColumn id="2" xr3:uid="{39309C54-722B-4B67-B773-987E520B9C22}" name="Column2" headerRowDxfId="73" dataDxfId="7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BE8DFC-9CD0-44E6-9937-F8C46EE1D605}" name="Table7" displayName="Table7" ref="A1:G5" totalsRowCount="1" headerRowDxfId="71" dataDxfId="70">
  <autoFilter ref="A1:G4" xr:uid="{41BE8DFC-9CD0-44E6-9937-F8C46EE1D605}"/>
  <tableColumns count="7">
    <tableColumn id="1" xr3:uid="{BF29DBCB-3655-4FF3-A8E5-74AB8754AAFB}" name="Shift" totalsRowLabel="Total" dataDxfId="69" totalsRowDxfId="68"/>
    <tableColumn id="2" xr3:uid="{86246CE5-67F2-46FD-9D44-ADFDE6E20328}" name="Actual kg" totalsRowFunction="sum" dataDxfId="67" totalsRowDxfId="66" dataCellStyle="Comma">
      <calculatedColumnFormula>SUMIF(Production_Data!C:C,A2,Production_Data!G:G)</calculatedColumnFormula>
    </tableColumn>
    <tableColumn id="3" xr3:uid="{9A732294-699E-4A8F-BC40-C3AF1D316665}" name="Achievement %" totalsRowFunction="average" dataDxfId="65" totalsRowDxfId="64">
      <calculatedColumnFormula>SUMIF(Production_Data!C:C,A2,Production_Data!G:G)/SUMIF(Production_Data!C:C,A2,Production_Data!F:F)</calculatedColumnFormula>
    </tableColumn>
    <tableColumn id="4" xr3:uid="{FA2F1ED8-E0A5-4A86-8C5D-0C82BE5FA224}" name="OEE %" totalsRowFunction="average" dataDxfId="63" totalsRowDxfId="62">
      <calculatedColumnFormula>AVERAGEIF(Production_Data!C:C,A2,Production_Data!W:W)</calculatedColumnFormula>
    </tableColumn>
    <tableColumn id="5" xr3:uid="{225CE201-26EA-43C8-8CB6-F65454472CEC}" name="Downtime hr" totalsRowFunction="sum" dataDxfId="61" totalsRowDxfId="60">
      <calculatedColumnFormula>SUMIF(Production_Data!C:C,A2,Production_Data!J:J)</calculatedColumnFormula>
    </tableColumn>
    <tableColumn id="6" xr3:uid="{2336B7DA-F207-44A3-B57D-27E2824C882E}" name="Reject Rate %" totalsRowFunction="average" dataDxfId="59" totalsRowDxfId="58">
      <calculatedColumnFormula>SUMIF(Production_Data!C:C,A2,Production_Data!I:I)/SUMIF(Production_Data!C:C,A2,Production_Data!G:G)</calculatedColumnFormula>
    </tableColumn>
    <tableColumn id="7" xr3:uid="{F55FC3B9-86B9-47B3-AFC6-F2D7B06D0D17}" name="Energy/kg" totalsRowFunction="average" dataDxfId="57" totalsRowDxfId="56">
      <calculatedColumnFormula>SUMIF(Production_Data!C:C,A2,Production_Data!O:O)/SUMIF(Production_Data!C:C,A2,Production_Data!G:G)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E711E1-75A6-4EED-8EBD-0B472EC005E2}" name="Table6" displayName="Table6" ref="A1:G4" totalsRowCount="1" headerRowDxfId="55" dataDxfId="54">
  <autoFilter ref="A1:G3" xr:uid="{77E711E1-75A6-4EED-8EBD-0B472EC005E2}"/>
  <tableColumns count="7">
    <tableColumn id="1" xr3:uid="{B6EA572A-379C-485C-8BA1-B548322CDC2C}" name="Line" totalsRowLabel="Total" dataDxfId="53" totalsRowDxfId="52"/>
    <tableColumn id="2" xr3:uid="{DDFC955B-1F82-4EF6-B398-EE82BBB3E60F}" name="Actual kg" totalsRowFunction="sum" dataDxfId="51" totalsRowDxfId="50" dataCellStyle="Comma">
      <calculatedColumnFormula>SUMIF(Production_Data!D:D,A2,Production_Data!G:G)</calculatedColumnFormula>
    </tableColumn>
    <tableColumn id="3" xr3:uid="{23A0FC14-11CB-4D5E-8DDD-C5B2812ED0A9}" name="Achievement %" totalsRowFunction="average" dataDxfId="49" totalsRowDxfId="48">
      <calculatedColumnFormula>SUMIF(Production_Data!D:D,A2,Production_Data!G:G)/SUMIF(Production_Data!D:D,A2,Production_Data!F:F)</calculatedColumnFormula>
    </tableColumn>
    <tableColumn id="4" xr3:uid="{314C2382-9891-4031-B4A7-517C2E0BB441}" name="OEE %" totalsRowFunction="average" dataDxfId="47" totalsRowDxfId="46">
      <calculatedColumnFormula>AVERAGEIF(Production_Data!D:D,A2,Production_Data!W:W)</calculatedColumnFormula>
    </tableColumn>
    <tableColumn id="5" xr3:uid="{55874DF0-C10C-40E3-9F2B-4618DF2B0D68}" name="Downtime hr" totalsRowFunction="sum" dataDxfId="45" totalsRowDxfId="44">
      <calculatedColumnFormula>SUMIF(Production_Data!D:D,A2,Production_Data!J:J)</calculatedColumnFormula>
    </tableColumn>
    <tableColumn id="6" xr3:uid="{B22C31D6-1AFA-4898-AE67-59640B94DAD1}" name="Maintenance Cost" totalsRowFunction="sum" dataDxfId="43" totalsRowDxfId="42" dataCellStyle="Comma">
      <calculatedColumnFormula>SUMIF(Production_Data!D:D,A2,Production_Data!R:R)</calculatedColumnFormula>
    </tableColumn>
    <tableColumn id="7" xr3:uid="{23D284CD-7947-457A-B3EA-9D11BE3B4450}" name="Reject Rate %" totalsRowFunction="average" dataDxfId="41" totalsRowDxfId="40">
      <calculatedColumnFormula>SUMIF(Production_Data!D:D,A2,Production_Data!I:I)/SUMIF(Production_Data!D:D,A2,Production_Data!G:G)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B8FA08-2822-43FF-87D2-900E91F14D73}" name="Table5" displayName="Table5" ref="A1:G5" totalsRowCount="1" headerRowDxfId="39" dataDxfId="38">
  <autoFilter ref="A1:G4" xr:uid="{27B8FA08-2822-43FF-87D2-900E91F14D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E60B7AF-CB2F-451A-A610-599AD04F5594}" name="Product" totalsRowLabel="Total" dataDxfId="37" totalsRowDxfId="36"/>
    <tableColumn id="2" xr3:uid="{9682771B-B278-4CDA-A53D-D6CB84D13475}" name="Actual kg" totalsRowFunction="sum" dataDxfId="35" totalsRowDxfId="34" dataCellStyle="Comma">
      <calculatedColumnFormula>SUMIF(Production_Data!E:E,A2,Production_Data!G:G)</calculatedColumnFormula>
    </tableColumn>
    <tableColumn id="3" xr3:uid="{689C6795-7C90-4BDC-BBC3-6CC4F2F6692F}" name="Achievement %" totalsRowFunction="average" dataDxfId="33" totalsRowDxfId="32">
      <calculatedColumnFormula>SUMIF(Production_Data!E:E,A2,Production_Data!G:G)/SUMIF(Production_Data!E:E,A2,Production_Data!F:F)</calculatedColumnFormula>
    </tableColumn>
    <tableColumn id="4" xr3:uid="{4BBFCB9B-5D37-4BBD-8804-499A60CBA155}" name="OEE %" totalsRowFunction="average" dataDxfId="31" totalsRowDxfId="30">
      <calculatedColumnFormula>AVERAGEIF(Production_Data!E:E,A2,Production_Data!W:W)</calculatedColumnFormula>
    </tableColumn>
    <tableColumn id="5" xr3:uid="{35298754-FFBC-4B38-91DB-A7896571DFE4}" name="Reject Rate %" totalsRowFunction="average" dataDxfId="29" totalsRowDxfId="28">
      <calculatedColumnFormula>SUMIF(Production_Data!E:E,A2,Production_Data!I:I)/SUMIF(Production_Data!E:E,A2,Production_Data!G:G)</calculatedColumnFormula>
    </tableColumn>
    <tableColumn id="6" xr3:uid="{3383AED6-C22D-43D7-8B3C-482DC6771DCC}" name="Material Yield %" totalsRowFunction="average" dataDxfId="27" totalsRowDxfId="26">
      <calculatedColumnFormula>SUMIF(Production_Data!E:E,A2,Production_Data!G:G)/SUMIF(Production_Data!E:E,A2,Production_Data!M:M)</calculatedColumnFormula>
    </tableColumn>
    <tableColumn id="7" xr3:uid="{09AFA214-2667-478B-8266-F3F0C42EB581}" name="Energy/kg" totalsRowFunction="sum" dataDxfId="25" totalsRowDxfId="24">
      <calculatedColumnFormula>SUMIF(Production_Data!E:E,A2,Production_Data!O:O)/SUMIF(Production_Data!E:E,A2,Production_Data!G:G)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D8B8FD-AC3C-442D-B7B8-576FA4A81F69}" name="Table4" displayName="Table4" ref="A1:F5" totalsRowCount="1" headerRowDxfId="23" dataDxfId="22">
  <autoFilter ref="A1:F4" xr:uid="{BFD8B8FD-AC3C-442D-B7B8-576FA4A81F69}"/>
  <tableColumns count="6">
    <tableColumn id="1" xr3:uid="{1CF29214-478B-4B50-B236-545EFDACC38E}" name="Type" totalsRowLabel="Total" dataDxfId="21" totalsRowDxfId="20"/>
    <tableColumn id="2" xr3:uid="{0E10F4EA-6937-4EFF-AE34-CBA1F4FB36A8}" name="Events" totalsRowFunction="sum" dataDxfId="19" totalsRowDxfId="18">
      <calculatedColumnFormula>COUNTIF(Maintenance_Log!F:F,A2)</calculatedColumnFormula>
    </tableColumn>
    <tableColumn id="3" xr3:uid="{BBF7E81F-389A-4790-9B7B-70B6C98CC829}" name="Downtime hr" totalsRowFunction="sum" dataDxfId="17" totalsRowDxfId="16">
      <calculatedColumnFormula>SUMIF(Maintenance_Log!F:F,A2,Maintenance_Log!H:H)</calculatedColumnFormula>
    </tableColumn>
    <tableColumn id="4" xr3:uid="{19B7650A-3470-46FD-BA7C-AE7FDBC1A442}" name="Cost" totalsRowFunction="sum" dataDxfId="15" totalsRowDxfId="14" dataCellStyle="Comma">
      <calculatedColumnFormula>SUMIF(Maintenance_Log!F:F,A2,Maintenance_Log!J:J)</calculatedColumnFormula>
    </tableColumn>
    <tableColumn id="5" xr3:uid="{2B725E7D-634F-4991-8C49-28139CC990B6}" name="Avg Technician Hours" totalsRowFunction="average" dataDxfId="13" totalsRowDxfId="12">
      <calculatedColumnFormula>AVERAGEIF(Maintenance_Log!F:F,A2,Maintenance_Log!I:I)</calculatedColumnFormula>
    </tableColumn>
    <tableColumn id="6" xr3:uid="{C0429DB3-50C5-46EA-AC10-036FC1E6BEBF}" name="Avg Downtime/Event" totalsRowFunction="average" dataDxfId="11" totalsRowDxfId="10">
      <calculatedColumnFormula>C2/B2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582D7B-36B1-4360-B995-B6051D0A2206}" name="Table3" displayName="Table3" ref="A1:D9" totalsRowCount="1" headerRowDxfId="9" dataDxfId="8">
  <autoFilter ref="A1:D8" xr:uid="{2D582D7B-36B1-4360-B995-B6051D0A2206}"/>
  <tableColumns count="4">
    <tableColumn id="1" xr3:uid="{796BDFF3-6E24-455C-A477-D27581BD6FAD}" name="Reason" totalsRowLabel="Total" dataDxfId="7" totalsRowDxfId="6"/>
    <tableColumn id="2" xr3:uid="{AC453CCB-4864-45E0-899D-6AEC1BF61E12}" name="Events" totalsRowFunction="sum" dataDxfId="5" totalsRowDxfId="4">
      <calculatedColumnFormula>COUNTIF(Production_Data!K:K,A2)</calculatedColumnFormula>
    </tableColumn>
    <tableColumn id="3" xr3:uid="{F3F815B3-A428-4A01-AC6F-DE0F5E9E880B}" name="Downtime hr" totalsRowFunction="sum" dataDxfId="3" totalsRowDxfId="2">
      <calculatedColumnFormula>SUMIF(Production_Data!K:K,A2,Production_Data!J:J)</calculatedColumnFormula>
    </tableColumn>
    <tableColumn id="4" xr3:uid="{5FFEE914-E04F-4EFF-838C-938C0835DB2C}" name="% of Downtime" totalsRowFunction="average" dataDxfId="1" totalsRowDxfId="0">
      <calculatedColumnFormula>C2/SUM(Production_Data!J:J)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27" width="18" customWidth="1"/>
  </cols>
  <sheetData>
    <row r="1" spans="1:27" ht="23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</row>
    <row r="5" spans="1:27" x14ac:dyDescent="0.25">
      <c r="A5" s="2">
        <v>1</v>
      </c>
      <c r="B5" s="4">
        <v>46023</v>
      </c>
      <c r="C5" s="2" t="s">
        <v>29</v>
      </c>
      <c r="D5" s="2" t="s">
        <v>30</v>
      </c>
      <c r="E5" s="2" t="s">
        <v>31</v>
      </c>
      <c r="F5" s="2">
        <v>1034</v>
      </c>
      <c r="G5" s="2">
        <v>965.8</v>
      </c>
      <c r="H5" s="2">
        <v>958</v>
      </c>
      <c r="I5" s="2">
        <v>7.9</v>
      </c>
      <c r="J5" s="2">
        <v>0.03</v>
      </c>
      <c r="K5" s="2" t="s">
        <v>32</v>
      </c>
      <c r="L5" s="2" t="s">
        <v>33</v>
      </c>
      <c r="M5" s="2">
        <v>2025</v>
      </c>
      <c r="N5" s="2">
        <v>341.9</v>
      </c>
      <c r="O5" s="2">
        <v>113318</v>
      </c>
      <c r="P5" s="2">
        <v>176.6</v>
      </c>
      <c r="Q5" s="2">
        <v>1.73</v>
      </c>
      <c r="R5" s="2">
        <v>0</v>
      </c>
      <c r="S5" s="5">
        <f t="shared" ref="S5:S68" si="0">G5/F5</f>
        <v>0.93404255319148932</v>
      </c>
      <c r="T5" s="5">
        <f t="shared" ref="T5:T68" si="1">MAX(0,1-J5/8)</f>
        <v>0.99624999999999997</v>
      </c>
      <c r="U5" s="5">
        <f t="shared" ref="U5:U68" si="2">IFERROR(G5/(F5*T5),0)</f>
        <v>0.93755839718091782</v>
      </c>
      <c r="V5" s="5">
        <f t="shared" ref="V5:V68" si="3">IFERROR(H5/G5,0)</f>
        <v>0.99192379374611728</v>
      </c>
      <c r="W5" s="5">
        <f t="shared" ref="W5:W68" si="4">T5*U5*V5</f>
        <v>0.92649903288201163</v>
      </c>
      <c r="X5" s="5">
        <f t="shared" ref="X5:X68" si="5">IFERROR(I5/G5,0)</f>
        <v>8.1797473597018024E-3</v>
      </c>
      <c r="Y5" s="6">
        <f t="shared" ref="Y5:Y68" si="6">IFERROR(G5/M5,0)</f>
        <v>0.47693827160493824</v>
      </c>
      <c r="Z5" s="6">
        <f t="shared" ref="Z5:Z68" si="7">IFERROR(O5/G5,0)</f>
        <v>117.33071029198592</v>
      </c>
      <c r="AA5" s="2" t="str">
        <f t="shared" ref="AA5:AA68" si="8">IF(L5="None","No Maintenance",IF(L5="Preventive","Planned","Breakdown"))</f>
        <v>No Maintenance</v>
      </c>
    </row>
    <row r="6" spans="1:27" x14ac:dyDescent="0.25">
      <c r="A6" s="2">
        <v>2</v>
      </c>
      <c r="B6" s="4">
        <v>46023</v>
      </c>
      <c r="C6" s="2" t="s">
        <v>34</v>
      </c>
      <c r="D6" s="2" t="s">
        <v>35</v>
      </c>
      <c r="E6" s="2" t="s">
        <v>31</v>
      </c>
      <c r="F6" s="2">
        <v>932</v>
      </c>
      <c r="G6" s="2">
        <v>837.8</v>
      </c>
      <c r="H6" s="2">
        <v>836.2</v>
      </c>
      <c r="I6" s="2">
        <v>1.7</v>
      </c>
      <c r="J6" s="2">
        <v>0</v>
      </c>
      <c r="K6" s="2" t="s">
        <v>32</v>
      </c>
      <c r="L6" s="2" t="s">
        <v>33</v>
      </c>
      <c r="M6" s="2">
        <v>1634.2</v>
      </c>
      <c r="N6" s="2">
        <v>266.3</v>
      </c>
      <c r="O6" s="2">
        <v>97290.6</v>
      </c>
      <c r="P6" s="2">
        <v>171.5</v>
      </c>
      <c r="Q6" s="2">
        <v>1.56</v>
      </c>
      <c r="R6" s="2">
        <v>0</v>
      </c>
      <c r="S6" s="5">
        <f t="shared" si="0"/>
        <v>0.89892703862660939</v>
      </c>
      <c r="T6" s="5">
        <f t="shared" si="1"/>
        <v>1</v>
      </c>
      <c r="U6" s="5">
        <f t="shared" si="2"/>
        <v>0.89892703862660939</v>
      </c>
      <c r="V6" s="5">
        <f t="shared" si="3"/>
        <v>0.99809023633325389</v>
      </c>
      <c r="W6" s="5">
        <f t="shared" si="4"/>
        <v>0.89721030042918459</v>
      </c>
      <c r="X6" s="5">
        <f t="shared" si="5"/>
        <v>2.0291238959178801E-3</v>
      </c>
      <c r="Y6" s="6">
        <f t="shared" si="6"/>
        <v>0.51266674825602743</v>
      </c>
      <c r="Z6" s="6">
        <f t="shared" si="7"/>
        <v>116.1262831224636</v>
      </c>
      <c r="AA6" s="2" t="str">
        <f t="shared" si="8"/>
        <v>No Maintenance</v>
      </c>
    </row>
    <row r="7" spans="1:27" x14ac:dyDescent="0.25">
      <c r="A7" s="2">
        <v>3</v>
      </c>
      <c r="B7" s="4">
        <v>46023</v>
      </c>
      <c r="C7" s="2" t="s">
        <v>36</v>
      </c>
      <c r="D7" s="2" t="s">
        <v>30</v>
      </c>
      <c r="E7" s="2" t="s">
        <v>31</v>
      </c>
      <c r="F7" s="2">
        <v>927</v>
      </c>
      <c r="G7" s="2">
        <v>681.2</v>
      </c>
      <c r="H7" s="2">
        <v>676.2</v>
      </c>
      <c r="I7" s="2">
        <v>5</v>
      </c>
      <c r="J7" s="2">
        <v>1.08</v>
      </c>
      <c r="K7" s="2" t="s">
        <v>37</v>
      </c>
      <c r="L7" s="2" t="s">
        <v>38</v>
      </c>
      <c r="M7" s="2">
        <v>1391</v>
      </c>
      <c r="N7" s="2">
        <v>211.2</v>
      </c>
      <c r="O7" s="2">
        <v>86027.9</v>
      </c>
      <c r="P7" s="2">
        <v>178.8</v>
      </c>
      <c r="Q7" s="2">
        <v>1.6</v>
      </c>
      <c r="R7" s="2">
        <v>575.91999999999996</v>
      </c>
      <c r="S7" s="5">
        <f t="shared" si="0"/>
        <v>0.7348435814455232</v>
      </c>
      <c r="T7" s="5">
        <f t="shared" si="1"/>
        <v>0.86499999999999999</v>
      </c>
      <c r="U7" s="5">
        <f t="shared" si="2"/>
        <v>0.84953015196014248</v>
      </c>
      <c r="V7" s="5">
        <f t="shared" si="3"/>
        <v>0.99266001174398122</v>
      </c>
      <c r="W7" s="5">
        <f t="shared" si="4"/>
        <v>0.72944983818770226</v>
      </c>
      <c r="X7" s="5">
        <f t="shared" si="5"/>
        <v>7.3399882560187899E-3</v>
      </c>
      <c r="Y7" s="6">
        <f t="shared" si="6"/>
        <v>0.48971962616822434</v>
      </c>
      <c r="Z7" s="6">
        <f t="shared" si="7"/>
        <v>126.28875513799176</v>
      </c>
      <c r="AA7" s="2" t="str">
        <f t="shared" si="8"/>
        <v>Breakdown</v>
      </c>
    </row>
    <row r="8" spans="1:27" x14ac:dyDescent="0.25">
      <c r="A8" s="2">
        <v>4</v>
      </c>
      <c r="B8" s="4">
        <v>46024</v>
      </c>
      <c r="C8" s="2" t="s">
        <v>29</v>
      </c>
      <c r="D8" s="2" t="s">
        <v>30</v>
      </c>
      <c r="E8" s="2" t="s">
        <v>39</v>
      </c>
      <c r="F8" s="2">
        <v>1035</v>
      </c>
      <c r="G8" s="2">
        <v>737.2</v>
      </c>
      <c r="H8" s="2">
        <v>723.6</v>
      </c>
      <c r="I8" s="2">
        <v>13.6</v>
      </c>
      <c r="J8" s="2">
        <v>2.0299999999999998</v>
      </c>
      <c r="K8" s="2" t="s">
        <v>40</v>
      </c>
      <c r="L8" s="2" t="s">
        <v>41</v>
      </c>
      <c r="M8" s="2">
        <v>1494.3</v>
      </c>
      <c r="N8" s="2">
        <v>244.2</v>
      </c>
      <c r="O8" s="2">
        <v>84713.1</v>
      </c>
      <c r="P8" s="2">
        <v>178.3</v>
      </c>
      <c r="Q8" s="2">
        <v>1.69</v>
      </c>
      <c r="R8" s="2">
        <v>168.33</v>
      </c>
      <c r="S8" s="5">
        <f t="shared" si="0"/>
        <v>0.71227053140096619</v>
      </c>
      <c r="T8" s="5">
        <f t="shared" si="1"/>
        <v>0.74625000000000008</v>
      </c>
      <c r="U8" s="5">
        <f t="shared" si="2"/>
        <v>0.95446637373663801</v>
      </c>
      <c r="V8" s="5">
        <f t="shared" si="3"/>
        <v>0.98155181768855126</v>
      </c>
      <c r="W8" s="5">
        <f t="shared" si="4"/>
        <v>0.69913043478260872</v>
      </c>
      <c r="X8" s="5">
        <f t="shared" si="5"/>
        <v>1.8448182311448725E-2</v>
      </c>
      <c r="Y8" s="6">
        <f t="shared" si="6"/>
        <v>0.49334136384929406</v>
      </c>
      <c r="Z8" s="6">
        <f t="shared" si="7"/>
        <v>114.91196418882257</v>
      </c>
      <c r="AA8" s="2" t="str">
        <f t="shared" si="8"/>
        <v>Planned</v>
      </c>
    </row>
    <row r="9" spans="1:27" x14ac:dyDescent="0.25">
      <c r="A9" s="2">
        <v>5</v>
      </c>
      <c r="B9" s="4">
        <v>46024</v>
      </c>
      <c r="C9" s="2" t="s">
        <v>34</v>
      </c>
      <c r="D9" s="2" t="s">
        <v>35</v>
      </c>
      <c r="E9" s="2" t="s">
        <v>31</v>
      </c>
      <c r="F9" s="2">
        <v>962</v>
      </c>
      <c r="G9" s="2">
        <v>868.2</v>
      </c>
      <c r="H9" s="2">
        <v>863.1</v>
      </c>
      <c r="I9" s="2">
        <v>5.0999999999999996</v>
      </c>
      <c r="J9" s="2">
        <v>0.15</v>
      </c>
      <c r="K9" s="2" t="s">
        <v>32</v>
      </c>
      <c r="L9" s="2" t="s">
        <v>33</v>
      </c>
      <c r="M9" s="2">
        <v>1784.5</v>
      </c>
      <c r="N9" s="2">
        <v>277.2</v>
      </c>
      <c r="O9" s="2">
        <v>112721.2</v>
      </c>
      <c r="P9" s="2">
        <v>175.7</v>
      </c>
      <c r="Q9" s="2">
        <v>1.99</v>
      </c>
      <c r="R9" s="2">
        <v>0</v>
      </c>
      <c r="S9" s="5">
        <f t="shared" si="0"/>
        <v>0.90249480249480252</v>
      </c>
      <c r="T9" s="5">
        <f t="shared" si="1"/>
        <v>0.98124999999999996</v>
      </c>
      <c r="U9" s="5">
        <f t="shared" si="2"/>
        <v>0.91973992610935296</v>
      </c>
      <c r="V9" s="5">
        <f t="shared" si="3"/>
        <v>0.99412577747062891</v>
      </c>
      <c r="W9" s="5">
        <f t="shared" si="4"/>
        <v>0.8971933471933472</v>
      </c>
      <c r="X9" s="5">
        <f t="shared" si="5"/>
        <v>5.8742225293711122E-3</v>
      </c>
      <c r="Y9" s="6">
        <f t="shared" si="6"/>
        <v>0.48652283552815917</v>
      </c>
      <c r="Z9" s="6">
        <f t="shared" si="7"/>
        <v>129.83321815249943</v>
      </c>
      <c r="AA9" s="2" t="str">
        <f t="shared" si="8"/>
        <v>No Maintenance</v>
      </c>
    </row>
    <row r="10" spans="1:27" x14ac:dyDescent="0.25">
      <c r="A10" s="2">
        <v>6</v>
      </c>
      <c r="B10" s="4">
        <v>46024</v>
      </c>
      <c r="C10" s="2" t="s">
        <v>36</v>
      </c>
      <c r="D10" s="2" t="s">
        <v>30</v>
      </c>
      <c r="E10" s="2" t="s">
        <v>31</v>
      </c>
      <c r="F10" s="2">
        <v>1042</v>
      </c>
      <c r="G10" s="2">
        <v>798.9</v>
      </c>
      <c r="H10" s="2">
        <v>786.3</v>
      </c>
      <c r="I10" s="2">
        <v>12.6</v>
      </c>
      <c r="J10" s="2">
        <v>0.16</v>
      </c>
      <c r="K10" s="2" t="s">
        <v>32</v>
      </c>
      <c r="L10" s="2" t="s">
        <v>33</v>
      </c>
      <c r="M10" s="2">
        <v>1711.3</v>
      </c>
      <c r="N10" s="2">
        <v>226.1</v>
      </c>
      <c r="O10" s="2">
        <v>95699.3</v>
      </c>
      <c r="P10" s="2">
        <v>175.5</v>
      </c>
      <c r="Q10" s="2">
        <v>1.79</v>
      </c>
      <c r="R10" s="2">
        <v>0</v>
      </c>
      <c r="S10" s="5">
        <f t="shared" si="0"/>
        <v>0.76669865642994239</v>
      </c>
      <c r="T10" s="5">
        <f t="shared" si="1"/>
        <v>0.98</v>
      </c>
      <c r="U10" s="5">
        <f t="shared" si="2"/>
        <v>0.78234556778565556</v>
      </c>
      <c r="V10" s="5">
        <f t="shared" si="3"/>
        <v>0.984228313931656</v>
      </c>
      <c r="W10" s="5">
        <f t="shared" si="4"/>
        <v>0.75460652591170818</v>
      </c>
      <c r="X10" s="5">
        <f t="shared" si="5"/>
        <v>1.5771686068343973E-2</v>
      </c>
      <c r="Y10" s="6">
        <f t="shared" si="6"/>
        <v>0.46683807631625079</v>
      </c>
      <c r="Z10" s="6">
        <f t="shared" si="7"/>
        <v>119.78883464764051</v>
      </c>
      <c r="AA10" s="2" t="str">
        <f t="shared" si="8"/>
        <v>No Maintenance</v>
      </c>
    </row>
    <row r="11" spans="1:27" x14ac:dyDescent="0.25">
      <c r="A11" s="2">
        <v>7</v>
      </c>
      <c r="B11" s="4">
        <v>46025</v>
      </c>
      <c r="C11" s="2" t="s">
        <v>29</v>
      </c>
      <c r="D11" s="2" t="s">
        <v>30</v>
      </c>
      <c r="E11" s="2" t="s">
        <v>39</v>
      </c>
      <c r="F11" s="2">
        <v>1023</v>
      </c>
      <c r="G11" s="2">
        <v>861.3</v>
      </c>
      <c r="H11" s="2">
        <v>849.6</v>
      </c>
      <c r="I11" s="2">
        <v>11.8</v>
      </c>
      <c r="J11" s="2">
        <v>0.99</v>
      </c>
      <c r="K11" s="2" t="s">
        <v>42</v>
      </c>
      <c r="L11" s="2" t="s">
        <v>38</v>
      </c>
      <c r="M11" s="2">
        <v>1714.7</v>
      </c>
      <c r="N11" s="2">
        <v>284.89999999999998</v>
      </c>
      <c r="O11" s="2">
        <v>110810.1</v>
      </c>
      <c r="P11" s="2">
        <v>167.7</v>
      </c>
      <c r="Q11" s="2">
        <v>1.56</v>
      </c>
      <c r="R11" s="2">
        <v>535.92999999999995</v>
      </c>
      <c r="S11" s="5">
        <f t="shared" si="0"/>
        <v>0.84193548387096773</v>
      </c>
      <c r="T11" s="5">
        <f t="shared" si="1"/>
        <v>0.87624999999999997</v>
      </c>
      <c r="U11" s="5">
        <f t="shared" si="2"/>
        <v>0.9608393539183655</v>
      </c>
      <c r="V11" s="5">
        <f t="shared" si="3"/>
        <v>0.98641588296760718</v>
      </c>
      <c r="W11" s="5">
        <f t="shared" si="4"/>
        <v>0.83049853372434024</v>
      </c>
      <c r="X11" s="5">
        <f t="shared" si="5"/>
        <v>1.3700220596772322E-2</v>
      </c>
      <c r="Y11" s="6">
        <f t="shared" si="6"/>
        <v>0.50230360996092605</v>
      </c>
      <c r="Z11" s="6">
        <f t="shared" si="7"/>
        <v>128.65447579240683</v>
      </c>
      <c r="AA11" s="2" t="str">
        <f t="shared" si="8"/>
        <v>Breakdown</v>
      </c>
    </row>
    <row r="12" spans="1:27" x14ac:dyDescent="0.25">
      <c r="A12" s="2">
        <v>8</v>
      </c>
      <c r="B12" s="4">
        <v>46025</v>
      </c>
      <c r="C12" s="2" t="s">
        <v>34</v>
      </c>
      <c r="D12" s="2" t="s">
        <v>30</v>
      </c>
      <c r="E12" s="2" t="s">
        <v>31</v>
      </c>
      <c r="F12" s="2">
        <v>1046</v>
      </c>
      <c r="G12" s="2">
        <v>821.9</v>
      </c>
      <c r="H12" s="2">
        <v>815.3</v>
      </c>
      <c r="I12" s="2">
        <v>6.6</v>
      </c>
      <c r="J12" s="2">
        <v>0.94</v>
      </c>
      <c r="K12" s="2" t="s">
        <v>42</v>
      </c>
      <c r="L12" s="2" t="s">
        <v>43</v>
      </c>
      <c r="M12" s="2">
        <v>1764.1</v>
      </c>
      <c r="N12" s="2">
        <v>281.5</v>
      </c>
      <c r="O12" s="2">
        <v>86570.5</v>
      </c>
      <c r="P12" s="2">
        <v>181.9</v>
      </c>
      <c r="Q12" s="2">
        <v>1.47</v>
      </c>
      <c r="R12" s="2">
        <v>1224.77</v>
      </c>
      <c r="S12" s="5">
        <f t="shared" si="0"/>
        <v>0.78575525812619496</v>
      </c>
      <c r="T12" s="5">
        <f t="shared" si="1"/>
        <v>0.88250000000000006</v>
      </c>
      <c r="U12" s="5">
        <f t="shared" si="2"/>
        <v>0.89037423017132578</v>
      </c>
      <c r="V12" s="5">
        <f t="shared" si="3"/>
        <v>0.99196982601289696</v>
      </c>
      <c r="W12" s="5">
        <f t="shared" si="4"/>
        <v>0.77944550669216062</v>
      </c>
      <c r="X12" s="5">
        <f t="shared" si="5"/>
        <v>8.0301739871030536E-3</v>
      </c>
      <c r="Y12" s="6">
        <f t="shared" si="6"/>
        <v>0.46590329346408937</v>
      </c>
      <c r="Z12" s="6">
        <f t="shared" si="7"/>
        <v>105.32972381068257</v>
      </c>
      <c r="AA12" s="2" t="str">
        <f t="shared" si="8"/>
        <v>Breakdown</v>
      </c>
    </row>
    <row r="13" spans="1:27" x14ac:dyDescent="0.25">
      <c r="A13" s="2">
        <v>9</v>
      </c>
      <c r="B13" s="4">
        <v>46025</v>
      </c>
      <c r="C13" s="2" t="s">
        <v>36</v>
      </c>
      <c r="D13" s="2" t="s">
        <v>30</v>
      </c>
      <c r="E13" s="2" t="s">
        <v>31</v>
      </c>
      <c r="F13" s="2">
        <v>902</v>
      </c>
      <c r="G13" s="2">
        <v>556.29999999999995</v>
      </c>
      <c r="H13" s="2">
        <v>544.79999999999995</v>
      </c>
      <c r="I13" s="2">
        <v>11.5</v>
      </c>
      <c r="J13" s="2">
        <v>1.97</v>
      </c>
      <c r="K13" s="2" t="s">
        <v>44</v>
      </c>
      <c r="L13" s="2" t="s">
        <v>38</v>
      </c>
      <c r="M13" s="2">
        <v>1077.2</v>
      </c>
      <c r="N13" s="2">
        <v>182.1</v>
      </c>
      <c r="O13" s="2">
        <v>67936.100000000006</v>
      </c>
      <c r="P13" s="2">
        <v>177.6</v>
      </c>
      <c r="Q13" s="2">
        <v>1.74</v>
      </c>
      <c r="R13" s="2">
        <v>324.83</v>
      </c>
      <c r="S13" s="5">
        <f t="shared" si="0"/>
        <v>0.61674057649667402</v>
      </c>
      <c r="T13" s="5">
        <f t="shared" si="1"/>
        <v>0.75375000000000003</v>
      </c>
      <c r="U13" s="5">
        <f t="shared" si="2"/>
        <v>0.81822962055943482</v>
      </c>
      <c r="V13" s="5">
        <f t="shared" si="3"/>
        <v>0.97932770088081966</v>
      </c>
      <c r="W13" s="5">
        <f t="shared" si="4"/>
        <v>0.60399113082039901</v>
      </c>
      <c r="X13" s="5">
        <f t="shared" si="5"/>
        <v>2.0672299119180299E-2</v>
      </c>
      <c r="Y13" s="6">
        <f t="shared" si="6"/>
        <v>0.51643148904567393</v>
      </c>
      <c r="Z13" s="6">
        <f t="shared" si="7"/>
        <v>122.12133740787347</v>
      </c>
      <c r="AA13" s="2" t="str">
        <f t="shared" si="8"/>
        <v>Breakdown</v>
      </c>
    </row>
    <row r="14" spans="1:27" x14ac:dyDescent="0.25">
      <c r="A14" s="2">
        <v>10</v>
      </c>
      <c r="B14" s="4">
        <v>46026</v>
      </c>
      <c r="C14" s="2" t="s">
        <v>29</v>
      </c>
      <c r="D14" s="2" t="s">
        <v>35</v>
      </c>
      <c r="E14" s="2" t="s">
        <v>39</v>
      </c>
      <c r="F14" s="2">
        <v>924</v>
      </c>
      <c r="G14" s="2">
        <v>607</v>
      </c>
      <c r="H14" s="2">
        <v>597</v>
      </c>
      <c r="I14" s="2">
        <v>10</v>
      </c>
      <c r="J14" s="2">
        <v>2.4300000000000002</v>
      </c>
      <c r="K14" s="2" t="s">
        <v>44</v>
      </c>
      <c r="L14" s="2" t="s">
        <v>38</v>
      </c>
      <c r="M14" s="2">
        <v>1212.5999999999999</v>
      </c>
      <c r="N14" s="2">
        <v>200.1</v>
      </c>
      <c r="O14" s="2">
        <v>66492.899999999994</v>
      </c>
      <c r="P14" s="2">
        <v>173.8</v>
      </c>
      <c r="Q14" s="2">
        <v>1.62</v>
      </c>
      <c r="R14" s="2">
        <v>508.35</v>
      </c>
      <c r="S14" s="5">
        <f t="shared" si="0"/>
        <v>0.65692640692640691</v>
      </c>
      <c r="T14" s="5">
        <f t="shared" si="1"/>
        <v>0.69625000000000004</v>
      </c>
      <c r="U14" s="5">
        <f t="shared" si="2"/>
        <v>0.94352087170758625</v>
      </c>
      <c r="V14" s="5">
        <f t="shared" si="3"/>
        <v>0.9835255354200988</v>
      </c>
      <c r="W14" s="5">
        <f t="shared" si="4"/>
        <v>0.64610389610389607</v>
      </c>
      <c r="X14" s="5">
        <f t="shared" si="5"/>
        <v>1.6474464579901153E-2</v>
      </c>
      <c r="Y14" s="6">
        <f t="shared" si="6"/>
        <v>0.50057727197756885</v>
      </c>
      <c r="Z14" s="6">
        <f t="shared" si="7"/>
        <v>109.54349258649093</v>
      </c>
      <c r="AA14" s="2" t="str">
        <f t="shared" si="8"/>
        <v>Breakdown</v>
      </c>
    </row>
    <row r="15" spans="1:27" x14ac:dyDescent="0.25">
      <c r="A15" s="2">
        <v>11</v>
      </c>
      <c r="B15" s="4">
        <v>46026</v>
      </c>
      <c r="C15" s="2" t="s">
        <v>34</v>
      </c>
      <c r="D15" s="2" t="s">
        <v>30</v>
      </c>
      <c r="E15" s="2" t="s">
        <v>45</v>
      </c>
      <c r="F15" s="2">
        <v>909</v>
      </c>
      <c r="G15" s="2">
        <v>574.9</v>
      </c>
      <c r="H15" s="2">
        <v>562</v>
      </c>
      <c r="I15" s="2">
        <v>12.8</v>
      </c>
      <c r="J15" s="2">
        <v>2.4900000000000002</v>
      </c>
      <c r="K15" s="2" t="s">
        <v>40</v>
      </c>
      <c r="L15" s="2" t="s">
        <v>41</v>
      </c>
      <c r="M15" s="2">
        <v>1174.2</v>
      </c>
      <c r="N15" s="2">
        <v>202.7</v>
      </c>
      <c r="O15" s="2">
        <v>64085</v>
      </c>
      <c r="P15" s="2">
        <v>171.6</v>
      </c>
      <c r="Q15" s="2">
        <v>1.71</v>
      </c>
      <c r="R15" s="2">
        <v>274.94</v>
      </c>
      <c r="S15" s="5">
        <f t="shared" si="0"/>
        <v>0.6324532453245324</v>
      </c>
      <c r="T15" s="5">
        <f t="shared" si="1"/>
        <v>0.68874999999999997</v>
      </c>
      <c r="U15" s="5">
        <f t="shared" si="2"/>
        <v>0.91826242515358603</v>
      </c>
      <c r="V15" s="5">
        <f t="shared" si="3"/>
        <v>0.97756131501130639</v>
      </c>
      <c r="W15" s="5">
        <f t="shared" si="4"/>
        <v>0.61826182618261827</v>
      </c>
      <c r="X15" s="5">
        <f t="shared" si="5"/>
        <v>2.2264741694207689E-2</v>
      </c>
      <c r="Y15" s="6">
        <f t="shared" si="6"/>
        <v>0.48960994719809225</v>
      </c>
      <c r="Z15" s="6">
        <f t="shared" si="7"/>
        <v>111.47156027135155</v>
      </c>
      <c r="AA15" s="2" t="str">
        <f t="shared" si="8"/>
        <v>Planned</v>
      </c>
    </row>
    <row r="16" spans="1:27" x14ac:dyDescent="0.25">
      <c r="A16" s="2">
        <v>12</v>
      </c>
      <c r="B16" s="4">
        <v>46026</v>
      </c>
      <c r="C16" s="2" t="s">
        <v>36</v>
      </c>
      <c r="D16" s="2" t="s">
        <v>35</v>
      </c>
      <c r="E16" s="2" t="s">
        <v>31</v>
      </c>
      <c r="F16" s="2">
        <v>1028</v>
      </c>
      <c r="G16" s="2">
        <v>807.7</v>
      </c>
      <c r="H16" s="2">
        <v>791.5</v>
      </c>
      <c r="I16" s="2">
        <v>16.2</v>
      </c>
      <c r="J16" s="2">
        <v>1.18</v>
      </c>
      <c r="K16" s="2" t="s">
        <v>46</v>
      </c>
      <c r="L16" s="2" t="s">
        <v>43</v>
      </c>
      <c r="M16" s="2">
        <v>1658.6</v>
      </c>
      <c r="N16" s="2">
        <v>248.7</v>
      </c>
      <c r="O16" s="2">
        <v>93773.3</v>
      </c>
      <c r="P16" s="2">
        <v>175.5</v>
      </c>
      <c r="Q16" s="2">
        <v>1.51</v>
      </c>
      <c r="R16" s="2">
        <v>1151.45</v>
      </c>
      <c r="S16" s="5">
        <f t="shared" si="0"/>
        <v>0.78570038910505846</v>
      </c>
      <c r="T16" s="5">
        <f t="shared" si="1"/>
        <v>0.85250000000000004</v>
      </c>
      <c r="U16" s="5">
        <f t="shared" si="2"/>
        <v>0.92164268516722392</v>
      </c>
      <c r="V16" s="5">
        <f t="shared" si="3"/>
        <v>0.97994304816144606</v>
      </c>
      <c r="W16" s="5">
        <f t="shared" si="4"/>
        <v>0.76994163424124518</v>
      </c>
      <c r="X16" s="5">
        <f t="shared" si="5"/>
        <v>2.0056951838553917E-2</v>
      </c>
      <c r="Y16" s="6">
        <f t="shared" si="6"/>
        <v>0.48697696852767397</v>
      </c>
      <c r="Z16" s="6">
        <f t="shared" si="7"/>
        <v>116.09917048409062</v>
      </c>
      <c r="AA16" s="2" t="str">
        <f t="shared" si="8"/>
        <v>Breakdown</v>
      </c>
    </row>
    <row r="17" spans="1:27" x14ac:dyDescent="0.25">
      <c r="A17" s="2">
        <v>13</v>
      </c>
      <c r="B17" s="4">
        <v>46027</v>
      </c>
      <c r="C17" s="2" t="s">
        <v>29</v>
      </c>
      <c r="D17" s="2" t="s">
        <v>35</v>
      </c>
      <c r="E17" s="2" t="s">
        <v>39</v>
      </c>
      <c r="F17" s="2">
        <v>938</v>
      </c>
      <c r="G17" s="2">
        <v>860.3</v>
      </c>
      <c r="H17" s="2">
        <v>843.8</v>
      </c>
      <c r="I17" s="2">
        <v>16.5</v>
      </c>
      <c r="J17" s="2">
        <v>0.23</v>
      </c>
      <c r="K17" s="2" t="s">
        <v>32</v>
      </c>
      <c r="L17" s="2" t="s">
        <v>33</v>
      </c>
      <c r="M17" s="2">
        <v>1805.7</v>
      </c>
      <c r="N17" s="2">
        <v>278.2</v>
      </c>
      <c r="O17" s="2">
        <v>93980.2</v>
      </c>
      <c r="P17" s="2">
        <v>175.8</v>
      </c>
      <c r="Q17" s="2">
        <v>1.56</v>
      </c>
      <c r="R17" s="2">
        <v>0</v>
      </c>
      <c r="S17" s="5">
        <f t="shared" si="0"/>
        <v>0.91716417910447756</v>
      </c>
      <c r="T17" s="5">
        <f t="shared" si="1"/>
        <v>0.97124999999999995</v>
      </c>
      <c r="U17" s="5">
        <f t="shared" si="2"/>
        <v>0.94431318311915335</v>
      </c>
      <c r="V17" s="5">
        <f t="shared" si="3"/>
        <v>0.98082064396140878</v>
      </c>
      <c r="W17" s="5">
        <f t="shared" si="4"/>
        <v>0.89957356076759065</v>
      </c>
      <c r="X17" s="5">
        <f t="shared" si="5"/>
        <v>1.9179356038591191E-2</v>
      </c>
      <c r="Y17" s="6">
        <f t="shared" si="6"/>
        <v>0.4764357312953425</v>
      </c>
      <c r="Z17" s="6">
        <f t="shared" si="7"/>
        <v>109.24119493200047</v>
      </c>
      <c r="AA17" s="2" t="str">
        <f t="shared" si="8"/>
        <v>No Maintenance</v>
      </c>
    </row>
    <row r="18" spans="1:27" x14ac:dyDescent="0.25">
      <c r="A18" s="2">
        <v>14</v>
      </c>
      <c r="B18" s="4">
        <v>46027</v>
      </c>
      <c r="C18" s="2" t="s">
        <v>34</v>
      </c>
      <c r="D18" s="2" t="s">
        <v>30</v>
      </c>
      <c r="E18" s="2" t="s">
        <v>31</v>
      </c>
      <c r="F18" s="2">
        <v>1016</v>
      </c>
      <c r="G18" s="2">
        <v>641.1</v>
      </c>
      <c r="H18" s="2">
        <v>628.5</v>
      </c>
      <c r="I18" s="2">
        <v>12.7</v>
      </c>
      <c r="J18" s="2">
        <v>3.45</v>
      </c>
      <c r="K18" s="2" t="s">
        <v>47</v>
      </c>
      <c r="L18" s="2" t="s">
        <v>38</v>
      </c>
      <c r="M18" s="2">
        <v>1304.8</v>
      </c>
      <c r="N18" s="2">
        <v>190.6</v>
      </c>
      <c r="O18" s="2">
        <v>79272.3</v>
      </c>
      <c r="P18" s="2">
        <v>184.1</v>
      </c>
      <c r="Q18" s="2">
        <v>1.46</v>
      </c>
      <c r="R18" s="2">
        <v>354.82</v>
      </c>
      <c r="S18" s="5">
        <f t="shared" si="0"/>
        <v>0.63100393700787405</v>
      </c>
      <c r="T18" s="5">
        <f t="shared" si="1"/>
        <v>0.56874999999999998</v>
      </c>
      <c r="U18" s="5">
        <f t="shared" si="2"/>
        <v>1.1094574716621961</v>
      </c>
      <c r="V18" s="5">
        <f t="shared" si="3"/>
        <v>0.98034627983153955</v>
      </c>
      <c r="W18" s="5">
        <f t="shared" si="4"/>
        <v>0.61860236220472442</v>
      </c>
      <c r="X18" s="5">
        <f t="shared" si="5"/>
        <v>1.980970207455935E-2</v>
      </c>
      <c r="Y18" s="6">
        <f t="shared" si="6"/>
        <v>0.49133966891477626</v>
      </c>
      <c r="Z18" s="6">
        <f t="shared" si="7"/>
        <v>123.65044454843238</v>
      </c>
      <c r="AA18" s="2" t="str">
        <f t="shared" si="8"/>
        <v>Breakdown</v>
      </c>
    </row>
    <row r="19" spans="1:27" x14ac:dyDescent="0.25">
      <c r="A19" s="2">
        <v>15</v>
      </c>
      <c r="B19" s="4">
        <v>46027</v>
      </c>
      <c r="C19" s="2" t="s">
        <v>36</v>
      </c>
      <c r="D19" s="2" t="s">
        <v>35</v>
      </c>
      <c r="E19" s="2" t="s">
        <v>45</v>
      </c>
      <c r="F19" s="2">
        <v>1014</v>
      </c>
      <c r="G19" s="2">
        <v>655.9</v>
      </c>
      <c r="H19" s="2">
        <v>646.29999999999995</v>
      </c>
      <c r="I19" s="2">
        <v>9.6</v>
      </c>
      <c r="J19" s="2">
        <v>3.01</v>
      </c>
      <c r="K19" s="2" t="s">
        <v>44</v>
      </c>
      <c r="L19" s="2" t="s">
        <v>38</v>
      </c>
      <c r="M19" s="2">
        <v>1341.6</v>
      </c>
      <c r="N19" s="2">
        <v>202.3</v>
      </c>
      <c r="O19" s="2">
        <v>78836.5</v>
      </c>
      <c r="P19" s="2">
        <v>176.8</v>
      </c>
      <c r="Q19" s="2">
        <v>1.63</v>
      </c>
      <c r="R19" s="2">
        <v>668.86</v>
      </c>
      <c r="S19" s="5">
        <f t="shared" si="0"/>
        <v>0.64684418145956601</v>
      </c>
      <c r="T19" s="5">
        <f t="shared" si="1"/>
        <v>0.62375000000000003</v>
      </c>
      <c r="U19" s="5">
        <f t="shared" si="2"/>
        <v>1.0370247398149355</v>
      </c>
      <c r="V19" s="5">
        <f t="shared" si="3"/>
        <v>0.98536362250343035</v>
      </c>
      <c r="W19" s="5">
        <f t="shared" si="4"/>
        <v>0.63737672583826421</v>
      </c>
      <c r="X19" s="5">
        <f t="shared" si="5"/>
        <v>1.4636377496569599E-2</v>
      </c>
      <c r="Y19" s="6">
        <f t="shared" si="6"/>
        <v>0.4888938580799046</v>
      </c>
      <c r="Z19" s="6">
        <f t="shared" si="7"/>
        <v>120.19591401128221</v>
      </c>
      <c r="AA19" s="2" t="str">
        <f t="shared" si="8"/>
        <v>Breakdown</v>
      </c>
    </row>
    <row r="20" spans="1:27" x14ac:dyDescent="0.25">
      <c r="A20" s="2">
        <v>16</v>
      </c>
      <c r="B20" s="4">
        <v>46028</v>
      </c>
      <c r="C20" s="2" t="s">
        <v>29</v>
      </c>
      <c r="D20" s="2" t="s">
        <v>35</v>
      </c>
      <c r="E20" s="2" t="s">
        <v>39</v>
      </c>
      <c r="F20" s="2">
        <v>911</v>
      </c>
      <c r="G20" s="2">
        <v>614.79999999999995</v>
      </c>
      <c r="H20" s="2">
        <v>602.9</v>
      </c>
      <c r="I20" s="2">
        <v>11.9</v>
      </c>
      <c r="J20" s="2">
        <v>3.56</v>
      </c>
      <c r="K20" s="2" t="s">
        <v>46</v>
      </c>
      <c r="L20" s="2" t="s">
        <v>38</v>
      </c>
      <c r="M20" s="2">
        <v>1273.2</v>
      </c>
      <c r="N20" s="2">
        <v>192.7</v>
      </c>
      <c r="O20" s="2">
        <v>73994.399999999994</v>
      </c>
      <c r="P20" s="2">
        <v>171.6</v>
      </c>
      <c r="Q20" s="2">
        <v>1.47</v>
      </c>
      <c r="R20" s="2">
        <v>538.77</v>
      </c>
      <c r="S20" s="5">
        <f t="shared" si="0"/>
        <v>0.67486278814489564</v>
      </c>
      <c r="T20" s="5">
        <f t="shared" si="1"/>
        <v>0.55499999999999994</v>
      </c>
      <c r="U20" s="5">
        <f t="shared" si="2"/>
        <v>1.2159689876484607</v>
      </c>
      <c r="V20" s="5">
        <f t="shared" si="3"/>
        <v>0.98064411190631107</v>
      </c>
      <c r="W20" s="5">
        <f t="shared" si="4"/>
        <v>0.66180021953896817</v>
      </c>
      <c r="X20" s="5">
        <f t="shared" si="5"/>
        <v>1.9355888093689006E-2</v>
      </c>
      <c r="Y20" s="6">
        <f t="shared" si="6"/>
        <v>0.48287778825007849</v>
      </c>
      <c r="Z20" s="6">
        <f t="shared" si="7"/>
        <v>120.35523747560183</v>
      </c>
      <c r="AA20" s="2" t="str">
        <f t="shared" si="8"/>
        <v>Breakdown</v>
      </c>
    </row>
    <row r="21" spans="1:27" x14ac:dyDescent="0.25">
      <c r="A21" s="2">
        <v>17</v>
      </c>
      <c r="B21" s="4">
        <v>46028</v>
      </c>
      <c r="C21" s="2" t="s">
        <v>34</v>
      </c>
      <c r="D21" s="2" t="s">
        <v>35</v>
      </c>
      <c r="E21" s="2" t="s">
        <v>39</v>
      </c>
      <c r="F21" s="2">
        <v>1041</v>
      </c>
      <c r="G21" s="2">
        <v>895.7</v>
      </c>
      <c r="H21" s="2">
        <v>883.3</v>
      </c>
      <c r="I21" s="2">
        <v>12.4</v>
      </c>
      <c r="J21" s="2">
        <v>0.31</v>
      </c>
      <c r="K21" s="2" t="s">
        <v>32</v>
      </c>
      <c r="L21" s="2" t="s">
        <v>33</v>
      </c>
      <c r="M21" s="2">
        <v>1814.3</v>
      </c>
      <c r="N21" s="2">
        <v>297.7</v>
      </c>
      <c r="O21" s="2">
        <v>105165.4</v>
      </c>
      <c r="P21" s="2">
        <v>173.4</v>
      </c>
      <c r="Q21" s="2">
        <v>1.66</v>
      </c>
      <c r="R21" s="2">
        <v>0</v>
      </c>
      <c r="S21" s="5">
        <f t="shared" si="0"/>
        <v>0.86042267050912591</v>
      </c>
      <c r="T21" s="5">
        <f t="shared" si="1"/>
        <v>0.96125000000000005</v>
      </c>
      <c r="U21" s="5">
        <f t="shared" si="2"/>
        <v>0.89510810976241961</v>
      </c>
      <c r="V21" s="5">
        <f t="shared" si="3"/>
        <v>0.98615607904432279</v>
      </c>
      <c r="W21" s="5">
        <f t="shared" si="4"/>
        <v>0.84851104707012492</v>
      </c>
      <c r="X21" s="5">
        <f t="shared" si="5"/>
        <v>1.3843920955677123E-2</v>
      </c>
      <c r="Y21" s="6">
        <f t="shared" si="6"/>
        <v>0.4936890260706609</v>
      </c>
      <c r="Z21" s="6">
        <f t="shared" si="7"/>
        <v>117.41141007033603</v>
      </c>
      <c r="AA21" s="2" t="str">
        <f t="shared" si="8"/>
        <v>No Maintenance</v>
      </c>
    </row>
    <row r="22" spans="1:27" x14ac:dyDescent="0.25">
      <c r="A22" s="2">
        <v>18</v>
      </c>
      <c r="B22" s="4">
        <v>46028</v>
      </c>
      <c r="C22" s="2" t="s">
        <v>36</v>
      </c>
      <c r="D22" s="2" t="s">
        <v>30</v>
      </c>
      <c r="E22" s="2" t="s">
        <v>39</v>
      </c>
      <c r="F22" s="2">
        <v>949</v>
      </c>
      <c r="G22" s="2">
        <v>542.9</v>
      </c>
      <c r="H22" s="2">
        <v>538.5</v>
      </c>
      <c r="I22" s="2">
        <v>4.4000000000000004</v>
      </c>
      <c r="J22" s="2">
        <v>2.72</v>
      </c>
      <c r="K22" s="2" t="s">
        <v>42</v>
      </c>
      <c r="L22" s="2" t="s">
        <v>38</v>
      </c>
      <c r="M22" s="2">
        <v>1114.9000000000001</v>
      </c>
      <c r="N22" s="2">
        <v>165.3</v>
      </c>
      <c r="O22" s="2">
        <v>62801.9</v>
      </c>
      <c r="P22" s="2">
        <v>184.4</v>
      </c>
      <c r="Q22" s="2">
        <v>1.9</v>
      </c>
      <c r="R22" s="2">
        <v>886.22</v>
      </c>
      <c r="S22" s="5">
        <f t="shared" si="0"/>
        <v>0.57207586933614329</v>
      </c>
      <c r="T22" s="5">
        <f t="shared" si="1"/>
        <v>0.65999999999999992</v>
      </c>
      <c r="U22" s="5">
        <f t="shared" si="2"/>
        <v>0.8667816202062778</v>
      </c>
      <c r="V22" s="5">
        <f t="shared" si="3"/>
        <v>0.99189537668078842</v>
      </c>
      <c r="W22" s="5">
        <f t="shared" si="4"/>
        <v>0.56743940990516339</v>
      </c>
      <c r="X22" s="5">
        <f t="shared" si="5"/>
        <v>8.1046233192116415E-3</v>
      </c>
      <c r="Y22" s="6">
        <f t="shared" si="6"/>
        <v>0.48694950219750643</v>
      </c>
      <c r="Z22" s="6">
        <f t="shared" si="7"/>
        <v>115.67857800699946</v>
      </c>
      <c r="AA22" s="2" t="str">
        <f t="shared" si="8"/>
        <v>Breakdown</v>
      </c>
    </row>
    <row r="23" spans="1:27" x14ac:dyDescent="0.25">
      <c r="A23" s="2">
        <v>19</v>
      </c>
      <c r="B23" s="4">
        <v>46029</v>
      </c>
      <c r="C23" s="2" t="s">
        <v>29</v>
      </c>
      <c r="D23" s="2" t="s">
        <v>35</v>
      </c>
      <c r="E23" s="2" t="s">
        <v>39</v>
      </c>
      <c r="F23" s="2">
        <v>1038</v>
      </c>
      <c r="G23" s="2">
        <v>788.3</v>
      </c>
      <c r="H23" s="2">
        <v>785.1</v>
      </c>
      <c r="I23" s="2">
        <v>3.2</v>
      </c>
      <c r="J23" s="2">
        <v>1.82</v>
      </c>
      <c r="K23" s="2" t="s">
        <v>44</v>
      </c>
      <c r="L23" s="2" t="s">
        <v>38</v>
      </c>
      <c r="M23" s="2">
        <v>1561.8</v>
      </c>
      <c r="N23" s="2">
        <v>253.5</v>
      </c>
      <c r="O23" s="2">
        <v>99352.3</v>
      </c>
      <c r="P23" s="2">
        <v>182.5</v>
      </c>
      <c r="Q23" s="2">
        <v>1.44</v>
      </c>
      <c r="R23" s="2">
        <v>899.26</v>
      </c>
      <c r="S23" s="5">
        <f t="shared" si="0"/>
        <v>0.75944123314065504</v>
      </c>
      <c r="T23" s="5">
        <f t="shared" si="1"/>
        <v>0.77249999999999996</v>
      </c>
      <c r="U23" s="5">
        <f t="shared" si="2"/>
        <v>0.98309544743126864</v>
      </c>
      <c r="V23" s="5">
        <f t="shared" si="3"/>
        <v>0.99594063173918568</v>
      </c>
      <c r="W23" s="5">
        <f t="shared" si="4"/>
        <v>0.75635838150289014</v>
      </c>
      <c r="X23" s="5">
        <f t="shared" si="5"/>
        <v>4.0593682608144116E-3</v>
      </c>
      <c r="Y23" s="6">
        <f t="shared" si="6"/>
        <v>0.50473812267896012</v>
      </c>
      <c r="Z23" s="6">
        <f t="shared" si="7"/>
        <v>126.03361664340989</v>
      </c>
      <c r="AA23" s="2" t="str">
        <f t="shared" si="8"/>
        <v>Breakdown</v>
      </c>
    </row>
    <row r="24" spans="1:27" x14ac:dyDescent="0.25">
      <c r="A24" s="2">
        <v>20</v>
      </c>
      <c r="B24" s="4">
        <v>46029</v>
      </c>
      <c r="C24" s="2" t="s">
        <v>34</v>
      </c>
      <c r="D24" s="2" t="s">
        <v>35</v>
      </c>
      <c r="E24" s="2" t="s">
        <v>45</v>
      </c>
      <c r="F24" s="2">
        <v>1003</v>
      </c>
      <c r="G24" s="2">
        <v>740.7</v>
      </c>
      <c r="H24" s="2">
        <v>726</v>
      </c>
      <c r="I24" s="2">
        <v>14.6</v>
      </c>
      <c r="J24" s="2">
        <v>1.34</v>
      </c>
      <c r="K24" s="2" t="s">
        <v>46</v>
      </c>
      <c r="L24" s="2" t="s">
        <v>38</v>
      </c>
      <c r="M24" s="2">
        <v>1518.6</v>
      </c>
      <c r="N24" s="2">
        <v>239.9</v>
      </c>
      <c r="O24" s="2">
        <v>87706.6</v>
      </c>
      <c r="P24" s="2">
        <v>181</v>
      </c>
      <c r="Q24" s="2">
        <v>1.83</v>
      </c>
      <c r="R24" s="2">
        <v>876.77</v>
      </c>
      <c r="S24" s="5">
        <f t="shared" si="0"/>
        <v>0.73848454636091732</v>
      </c>
      <c r="T24" s="5">
        <f t="shared" si="1"/>
        <v>0.83250000000000002</v>
      </c>
      <c r="U24" s="5">
        <f t="shared" si="2"/>
        <v>0.8870685241572579</v>
      </c>
      <c r="V24" s="5">
        <f t="shared" si="3"/>
        <v>0.98015390846496553</v>
      </c>
      <c r="W24" s="5">
        <f t="shared" si="4"/>
        <v>0.72382851445662999</v>
      </c>
      <c r="X24" s="5">
        <f t="shared" si="5"/>
        <v>1.9711084109626027E-2</v>
      </c>
      <c r="Y24" s="6">
        <f t="shared" si="6"/>
        <v>0.48775187672856585</v>
      </c>
      <c r="Z24" s="6">
        <f t="shared" si="7"/>
        <v>118.41042257324153</v>
      </c>
      <c r="AA24" s="2" t="str">
        <f t="shared" si="8"/>
        <v>Breakdown</v>
      </c>
    </row>
    <row r="25" spans="1:27" x14ac:dyDescent="0.25">
      <c r="A25" s="2">
        <v>21</v>
      </c>
      <c r="B25" s="4">
        <v>46029</v>
      </c>
      <c r="C25" s="2" t="s">
        <v>36</v>
      </c>
      <c r="D25" s="2" t="s">
        <v>30</v>
      </c>
      <c r="E25" s="2" t="s">
        <v>45</v>
      </c>
      <c r="F25" s="2">
        <v>950</v>
      </c>
      <c r="G25" s="2">
        <v>474.5</v>
      </c>
      <c r="H25" s="2">
        <v>465.7</v>
      </c>
      <c r="I25" s="2">
        <v>8.6999999999999993</v>
      </c>
      <c r="J25" s="2">
        <v>3.02</v>
      </c>
      <c r="K25" s="2" t="s">
        <v>42</v>
      </c>
      <c r="L25" s="2" t="s">
        <v>38</v>
      </c>
      <c r="M25" s="2">
        <v>1009.4</v>
      </c>
      <c r="N25" s="2">
        <v>132.30000000000001</v>
      </c>
      <c r="O25" s="2">
        <v>56313.8</v>
      </c>
      <c r="P25" s="2">
        <v>181.7</v>
      </c>
      <c r="Q25" s="2">
        <v>1.66</v>
      </c>
      <c r="R25" s="2">
        <v>576.95000000000005</v>
      </c>
      <c r="S25" s="5">
        <f t="shared" si="0"/>
        <v>0.49947368421052629</v>
      </c>
      <c r="T25" s="5">
        <f t="shared" si="1"/>
        <v>0.62250000000000005</v>
      </c>
      <c r="U25" s="5">
        <f t="shared" si="2"/>
        <v>0.80236736419361654</v>
      </c>
      <c r="V25" s="5">
        <f t="shared" si="3"/>
        <v>0.98145416227608007</v>
      </c>
      <c r="W25" s="5">
        <f t="shared" si="4"/>
        <v>0.49021052631578949</v>
      </c>
      <c r="X25" s="5">
        <f t="shared" si="5"/>
        <v>1.8335089567966281E-2</v>
      </c>
      <c r="Y25" s="6">
        <f t="shared" si="6"/>
        <v>0.47008123637804639</v>
      </c>
      <c r="Z25" s="6">
        <f t="shared" si="7"/>
        <v>118.68029504741834</v>
      </c>
      <c r="AA25" s="2" t="str">
        <f t="shared" si="8"/>
        <v>Breakdown</v>
      </c>
    </row>
    <row r="26" spans="1:27" x14ac:dyDescent="0.25">
      <c r="A26" s="2">
        <v>22</v>
      </c>
      <c r="B26" s="4">
        <v>46030</v>
      </c>
      <c r="C26" s="2" t="s">
        <v>29</v>
      </c>
      <c r="D26" s="2" t="s">
        <v>30</v>
      </c>
      <c r="E26" s="2" t="s">
        <v>45</v>
      </c>
      <c r="F26" s="2">
        <v>920</v>
      </c>
      <c r="G26" s="2">
        <v>621</v>
      </c>
      <c r="H26" s="2">
        <v>607.70000000000005</v>
      </c>
      <c r="I26" s="2">
        <v>13.3</v>
      </c>
      <c r="J26" s="2">
        <v>1.78</v>
      </c>
      <c r="K26" s="2" t="s">
        <v>44</v>
      </c>
      <c r="L26" s="2" t="s">
        <v>38</v>
      </c>
      <c r="M26" s="2">
        <v>1236.8</v>
      </c>
      <c r="N26" s="2">
        <v>206</v>
      </c>
      <c r="O26" s="2">
        <v>83514.399999999994</v>
      </c>
      <c r="P26" s="2">
        <v>179.8</v>
      </c>
      <c r="Q26" s="2">
        <v>1.76</v>
      </c>
      <c r="R26" s="2">
        <v>547.35</v>
      </c>
      <c r="S26" s="5">
        <f t="shared" si="0"/>
        <v>0.67500000000000004</v>
      </c>
      <c r="T26" s="5">
        <f t="shared" si="1"/>
        <v>0.77749999999999997</v>
      </c>
      <c r="U26" s="5">
        <f t="shared" si="2"/>
        <v>0.86816720257234736</v>
      </c>
      <c r="V26" s="5">
        <f t="shared" si="3"/>
        <v>0.97858293075684388</v>
      </c>
      <c r="W26" s="5">
        <f t="shared" si="4"/>
        <v>0.66054347826086968</v>
      </c>
      <c r="X26" s="5">
        <f t="shared" si="5"/>
        <v>2.14170692431562E-2</v>
      </c>
      <c r="Y26" s="6">
        <f t="shared" si="6"/>
        <v>0.50210219922380339</v>
      </c>
      <c r="Z26" s="6">
        <f t="shared" si="7"/>
        <v>134.48373590982285</v>
      </c>
      <c r="AA26" s="2" t="str">
        <f t="shared" si="8"/>
        <v>Breakdown</v>
      </c>
    </row>
    <row r="27" spans="1:27" x14ac:dyDescent="0.25">
      <c r="A27" s="2">
        <v>23</v>
      </c>
      <c r="B27" s="4">
        <v>46030</v>
      </c>
      <c r="C27" s="2" t="s">
        <v>34</v>
      </c>
      <c r="D27" s="2" t="s">
        <v>35</v>
      </c>
      <c r="E27" s="2" t="s">
        <v>31</v>
      </c>
      <c r="F27" s="2">
        <v>1044</v>
      </c>
      <c r="G27" s="2">
        <v>640.5</v>
      </c>
      <c r="H27" s="2">
        <v>629.1</v>
      </c>
      <c r="I27" s="2">
        <v>11.4</v>
      </c>
      <c r="J27" s="2">
        <v>3.1</v>
      </c>
      <c r="K27" s="2" t="s">
        <v>48</v>
      </c>
      <c r="L27" s="2" t="s">
        <v>38</v>
      </c>
      <c r="M27" s="2">
        <v>1297.3</v>
      </c>
      <c r="N27" s="2">
        <v>190.2</v>
      </c>
      <c r="O27" s="2">
        <v>77211.100000000006</v>
      </c>
      <c r="P27" s="2">
        <v>176.6</v>
      </c>
      <c r="Q27" s="2">
        <v>1.67</v>
      </c>
      <c r="R27" s="2">
        <v>404.43</v>
      </c>
      <c r="S27" s="5">
        <f t="shared" si="0"/>
        <v>0.6135057471264368</v>
      </c>
      <c r="T27" s="5">
        <f t="shared" si="1"/>
        <v>0.61250000000000004</v>
      </c>
      <c r="U27" s="5">
        <f t="shared" si="2"/>
        <v>1.0016420361247946</v>
      </c>
      <c r="V27" s="5">
        <f t="shared" si="3"/>
        <v>0.98220140515222487</v>
      </c>
      <c r="W27" s="5">
        <f t="shared" si="4"/>
        <v>0.60258620689655173</v>
      </c>
      <c r="X27" s="5">
        <f t="shared" si="5"/>
        <v>1.7798594847775177E-2</v>
      </c>
      <c r="Y27" s="6">
        <f t="shared" si="6"/>
        <v>0.49371772142141374</v>
      </c>
      <c r="Z27" s="6">
        <f t="shared" si="7"/>
        <v>120.54816549570648</v>
      </c>
      <c r="AA27" s="2" t="str">
        <f t="shared" si="8"/>
        <v>Breakdown</v>
      </c>
    </row>
    <row r="28" spans="1:27" x14ac:dyDescent="0.25">
      <c r="A28" s="2">
        <v>24</v>
      </c>
      <c r="B28" s="4">
        <v>46030</v>
      </c>
      <c r="C28" s="2" t="s">
        <v>36</v>
      </c>
      <c r="D28" s="2" t="s">
        <v>35</v>
      </c>
      <c r="E28" s="2" t="s">
        <v>31</v>
      </c>
      <c r="F28" s="2">
        <v>1026</v>
      </c>
      <c r="G28" s="2">
        <v>853.8</v>
      </c>
      <c r="H28" s="2">
        <v>842.1</v>
      </c>
      <c r="I28" s="2">
        <v>11.8</v>
      </c>
      <c r="J28" s="2">
        <v>0.2</v>
      </c>
      <c r="K28" s="2" t="s">
        <v>32</v>
      </c>
      <c r="L28" s="2" t="s">
        <v>33</v>
      </c>
      <c r="M28" s="2">
        <v>1765.3</v>
      </c>
      <c r="N28" s="2">
        <v>246.2</v>
      </c>
      <c r="O28" s="2">
        <v>98280.5</v>
      </c>
      <c r="P28" s="2">
        <v>176</v>
      </c>
      <c r="Q28" s="2">
        <v>1.95</v>
      </c>
      <c r="R28" s="2">
        <v>0</v>
      </c>
      <c r="S28" s="5">
        <f t="shared" si="0"/>
        <v>0.83216374269005844</v>
      </c>
      <c r="T28" s="5">
        <f t="shared" si="1"/>
        <v>0.97499999999999998</v>
      </c>
      <c r="U28" s="5">
        <f t="shared" si="2"/>
        <v>0.85350127455390612</v>
      </c>
      <c r="V28" s="5">
        <f t="shared" si="3"/>
        <v>0.98629655657062554</v>
      </c>
      <c r="W28" s="5">
        <f t="shared" si="4"/>
        <v>0.82076023391812869</v>
      </c>
      <c r="X28" s="5">
        <f t="shared" si="5"/>
        <v>1.3820566877488874E-2</v>
      </c>
      <c r="Y28" s="6">
        <f t="shared" si="6"/>
        <v>0.48365716875318643</v>
      </c>
      <c r="Z28" s="6">
        <f t="shared" si="7"/>
        <v>115.10951042398689</v>
      </c>
      <c r="AA28" s="2" t="str">
        <f t="shared" si="8"/>
        <v>No Maintenance</v>
      </c>
    </row>
    <row r="29" spans="1:27" x14ac:dyDescent="0.25">
      <c r="A29" s="2">
        <v>25</v>
      </c>
      <c r="B29" s="4">
        <v>46031</v>
      </c>
      <c r="C29" s="2" t="s">
        <v>29</v>
      </c>
      <c r="D29" s="2" t="s">
        <v>30</v>
      </c>
      <c r="E29" s="2" t="s">
        <v>39</v>
      </c>
      <c r="F29" s="2">
        <v>910</v>
      </c>
      <c r="G29" s="2">
        <v>603</v>
      </c>
      <c r="H29" s="2">
        <v>588.6</v>
      </c>
      <c r="I29" s="2">
        <v>14.4</v>
      </c>
      <c r="J29" s="2">
        <v>3.03</v>
      </c>
      <c r="K29" s="2" t="s">
        <v>40</v>
      </c>
      <c r="L29" s="2" t="s">
        <v>41</v>
      </c>
      <c r="M29" s="2">
        <v>1256.5</v>
      </c>
      <c r="N29" s="2">
        <v>203.8</v>
      </c>
      <c r="O29" s="2">
        <v>71973.100000000006</v>
      </c>
      <c r="P29" s="2">
        <v>181.9</v>
      </c>
      <c r="Q29" s="2">
        <v>1.83</v>
      </c>
      <c r="R29" s="2">
        <v>228.87</v>
      </c>
      <c r="S29" s="5">
        <f t="shared" si="0"/>
        <v>0.66263736263736261</v>
      </c>
      <c r="T29" s="5">
        <f t="shared" si="1"/>
        <v>0.62125000000000008</v>
      </c>
      <c r="U29" s="5">
        <f t="shared" si="2"/>
        <v>1.0666194972029981</v>
      </c>
      <c r="V29" s="5">
        <f t="shared" si="3"/>
        <v>0.97611940298507471</v>
      </c>
      <c r="W29" s="5">
        <f t="shared" si="4"/>
        <v>0.64681318681318689</v>
      </c>
      <c r="X29" s="5">
        <f t="shared" si="5"/>
        <v>2.3880597014925373E-2</v>
      </c>
      <c r="Y29" s="6">
        <f t="shared" si="6"/>
        <v>0.47990449661758855</v>
      </c>
      <c r="Z29" s="6">
        <f t="shared" si="7"/>
        <v>119.35837479270316</v>
      </c>
      <c r="AA29" s="2" t="str">
        <f t="shared" si="8"/>
        <v>Planned</v>
      </c>
    </row>
    <row r="30" spans="1:27" x14ac:dyDescent="0.25">
      <c r="A30" s="2">
        <v>26</v>
      </c>
      <c r="B30" s="4">
        <v>46031</v>
      </c>
      <c r="C30" s="2" t="s">
        <v>34</v>
      </c>
      <c r="D30" s="2" t="s">
        <v>35</v>
      </c>
      <c r="E30" s="2" t="s">
        <v>39</v>
      </c>
      <c r="F30" s="2">
        <v>923</v>
      </c>
      <c r="G30" s="2">
        <v>761.7</v>
      </c>
      <c r="H30" s="2">
        <v>745.7</v>
      </c>
      <c r="I30" s="2">
        <v>16</v>
      </c>
      <c r="J30" s="2">
        <v>0.22</v>
      </c>
      <c r="K30" s="2" t="s">
        <v>32</v>
      </c>
      <c r="L30" s="2" t="s">
        <v>33</v>
      </c>
      <c r="M30" s="2">
        <v>1593.4</v>
      </c>
      <c r="N30" s="2">
        <v>239.7</v>
      </c>
      <c r="O30" s="2">
        <v>88202.4</v>
      </c>
      <c r="P30" s="2">
        <v>175.3</v>
      </c>
      <c r="Q30" s="2">
        <v>1.72</v>
      </c>
      <c r="R30" s="2">
        <v>0</v>
      </c>
      <c r="S30" s="5">
        <f t="shared" si="0"/>
        <v>0.82524377031419294</v>
      </c>
      <c r="T30" s="5">
        <f t="shared" si="1"/>
        <v>0.97250000000000003</v>
      </c>
      <c r="U30" s="5">
        <f t="shared" si="2"/>
        <v>0.84857971240533969</v>
      </c>
      <c r="V30" s="5">
        <f t="shared" si="3"/>
        <v>0.97899435473283447</v>
      </c>
      <c r="W30" s="5">
        <f t="shared" si="4"/>
        <v>0.80790899241603464</v>
      </c>
      <c r="X30" s="5">
        <f t="shared" si="5"/>
        <v>2.100564526716555E-2</v>
      </c>
      <c r="Y30" s="6">
        <f t="shared" si="6"/>
        <v>0.47803439186644908</v>
      </c>
      <c r="Z30" s="6">
        <f t="shared" si="7"/>
        <v>115.79677038204017</v>
      </c>
      <c r="AA30" s="2" t="str">
        <f t="shared" si="8"/>
        <v>No Maintenance</v>
      </c>
    </row>
    <row r="31" spans="1:27" x14ac:dyDescent="0.25">
      <c r="A31" s="2">
        <v>27</v>
      </c>
      <c r="B31" s="4">
        <v>46031</v>
      </c>
      <c r="C31" s="2" t="s">
        <v>36</v>
      </c>
      <c r="D31" s="2" t="s">
        <v>30</v>
      </c>
      <c r="E31" s="2" t="s">
        <v>31</v>
      </c>
      <c r="F31" s="2">
        <v>904</v>
      </c>
      <c r="G31" s="2">
        <v>727.9</v>
      </c>
      <c r="H31" s="2">
        <v>716.9</v>
      </c>
      <c r="I31" s="2">
        <v>11</v>
      </c>
      <c r="J31" s="2">
        <v>0.25</v>
      </c>
      <c r="K31" s="2" t="s">
        <v>32</v>
      </c>
      <c r="L31" s="2" t="s">
        <v>33</v>
      </c>
      <c r="M31" s="2">
        <v>1460.4</v>
      </c>
      <c r="N31" s="2">
        <v>239.8</v>
      </c>
      <c r="O31" s="2">
        <v>73878.2</v>
      </c>
      <c r="P31" s="2">
        <v>180.3</v>
      </c>
      <c r="Q31" s="2">
        <v>2.0299999999999998</v>
      </c>
      <c r="R31" s="2">
        <v>0</v>
      </c>
      <c r="S31" s="5">
        <f t="shared" si="0"/>
        <v>0.80519911504424779</v>
      </c>
      <c r="T31" s="5">
        <f t="shared" si="1"/>
        <v>0.96875</v>
      </c>
      <c r="U31" s="5">
        <f t="shared" si="2"/>
        <v>0.83117328004567514</v>
      </c>
      <c r="V31" s="5">
        <f t="shared" si="3"/>
        <v>0.98488803407061409</v>
      </c>
      <c r="W31" s="5">
        <f t="shared" si="4"/>
        <v>0.79303097345132745</v>
      </c>
      <c r="X31" s="5">
        <f t="shared" si="5"/>
        <v>1.5111965929385905E-2</v>
      </c>
      <c r="Y31" s="6">
        <f t="shared" si="6"/>
        <v>0.49842508901670768</v>
      </c>
      <c r="Z31" s="6">
        <f t="shared" si="7"/>
        <v>101.49498557494161</v>
      </c>
      <c r="AA31" s="2" t="str">
        <f t="shared" si="8"/>
        <v>No Maintenance</v>
      </c>
    </row>
    <row r="32" spans="1:27" x14ac:dyDescent="0.25">
      <c r="A32" s="2">
        <v>28</v>
      </c>
      <c r="B32" s="4">
        <v>46032</v>
      </c>
      <c r="C32" s="2" t="s">
        <v>29</v>
      </c>
      <c r="D32" s="2" t="s">
        <v>35</v>
      </c>
      <c r="E32" s="2" t="s">
        <v>31</v>
      </c>
      <c r="F32" s="2">
        <v>900</v>
      </c>
      <c r="G32" s="2">
        <v>832</v>
      </c>
      <c r="H32" s="2">
        <v>823.5</v>
      </c>
      <c r="I32" s="2">
        <v>8.5</v>
      </c>
      <c r="J32" s="2">
        <v>0.33</v>
      </c>
      <c r="K32" s="2" t="s">
        <v>32</v>
      </c>
      <c r="L32" s="2" t="s">
        <v>33</v>
      </c>
      <c r="M32" s="2">
        <v>1645.4</v>
      </c>
      <c r="N32" s="2">
        <v>259.8</v>
      </c>
      <c r="O32" s="2">
        <v>110760.7</v>
      </c>
      <c r="P32" s="2">
        <v>178.3</v>
      </c>
      <c r="Q32" s="2">
        <v>1.86</v>
      </c>
      <c r="R32" s="2">
        <v>0</v>
      </c>
      <c r="S32" s="5">
        <f t="shared" si="0"/>
        <v>0.9244444444444444</v>
      </c>
      <c r="T32" s="5">
        <f t="shared" si="1"/>
        <v>0.95874999999999999</v>
      </c>
      <c r="U32" s="5">
        <f t="shared" si="2"/>
        <v>0.96421845574387943</v>
      </c>
      <c r="V32" s="5">
        <f t="shared" si="3"/>
        <v>0.98978365384615385</v>
      </c>
      <c r="W32" s="5">
        <f t="shared" si="4"/>
        <v>0.91499999999999992</v>
      </c>
      <c r="X32" s="5">
        <f t="shared" si="5"/>
        <v>1.0216346153846154E-2</v>
      </c>
      <c r="Y32" s="6">
        <f t="shared" si="6"/>
        <v>0.50565212106478663</v>
      </c>
      <c r="Z32" s="6">
        <f t="shared" si="7"/>
        <v>133.12584134615383</v>
      </c>
      <c r="AA32" s="2" t="str">
        <f t="shared" si="8"/>
        <v>No Maintenance</v>
      </c>
    </row>
    <row r="33" spans="1:27" x14ac:dyDescent="0.25">
      <c r="A33" s="2">
        <v>29</v>
      </c>
      <c r="B33" s="4">
        <v>46032</v>
      </c>
      <c r="C33" s="2" t="s">
        <v>34</v>
      </c>
      <c r="D33" s="2" t="s">
        <v>35</v>
      </c>
      <c r="E33" s="2" t="s">
        <v>39</v>
      </c>
      <c r="F33" s="2">
        <v>1028</v>
      </c>
      <c r="G33" s="2">
        <v>777.3</v>
      </c>
      <c r="H33" s="2">
        <v>764.3</v>
      </c>
      <c r="I33" s="2">
        <v>13</v>
      </c>
      <c r="J33" s="2">
        <v>0.93</v>
      </c>
      <c r="K33" s="2" t="s">
        <v>48</v>
      </c>
      <c r="L33" s="2" t="s">
        <v>43</v>
      </c>
      <c r="M33" s="2">
        <v>1630.6</v>
      </c>
      <c r="N33" s="2">
        <v>263.5</v>
      </c>
      <c r="O33" s="2">
        <v>94702.7</v>
      </c>
      <c r="P33" s="2">
        <v>177.9</v>
      </c>
      <c r="Q33" s="2">
        <v>1.75</v>
      </c>
      <c r="R33" s="2">
        <v>772.19</v>
      </c>
      <c r="S33" s="5">
        <f t="shared" si="0"/>
        <v>0.75612840466926068</v>
      </c>
      <c r="T33" s="5">
        <f t="shared" si="1"/>
        <v>0.88375000000000004</v>
      </c>
      <c r="U33" s="5">
        <f t="shared" si="2"/>
        <v>0.85559083979548589</v>
      </c>
      <c r="V33" s="5">
        <f t="shared" si="3"/>
        <v>0.98327544062781425</v>
      </c>
      <c r="W33" s="5">
        <f t="shared" si="4"/>
        <v>0.74348249027237356</v>
      </c>
      <c r="X33" s="5">
        <f t="shared" si="5"/>
        <v>1.6724559372185772E-2</v>
      </c>
      <c r="Y33" s="6">
        <f t="shared" si="6"/>
        <v>0.47669569483625657</v>
      </c>
      <c r="Z33" s="6">
        <f t="shared" si="7"/>
        <v>121.83545606586904</v>
      </c>
      <c r="AA33" s="2" t="str">
        <f t="shared" si="8"/>
        <v>Breakdown</v>
      </c>
    </row>
    <row r="34" spans="1:27" x14ac:dyDescent="0.25">
      <c r="A34" s="2">
        <v>30</v>
      </c>
      <c r="B34" s="4">
        <v>46032</v>
      </c>
      <c r="C34" s="2" t="s">
        <v>36</v>
      </c>
      <c r="D34" s="2" t="s">
        <v>30</v>
      </c>
      <c r="E34" s="2" t="s">
        <v>45</v>
      </c>
      <c r="F34" s="2">
        <v>1046</v>
      </c>
      <c r="G34" s="2">
        <v>695.1</v>
      </c>
      <c r="H34" s="2">
        <v>690.5</v>
      </c>
      <c r="I34" s="2">
        <v>4.5999999999999996</v>
      </c>
      <c r="J34" s="2">
        <v>1.53</v>
      </c>
      <c r="K34" s="2" t="s">
        <v>42</v>
      </c>
      <c r="L34" s="2" t="s">
        <v>38</v>
      </c>
      <c r="M34" s="2">
        <v>1357.9</v>
      </c>
      <c r="N34" s="2">
        <v>215.6</v>
      </c>
      <c r="O34" s="2">
        <v>81770.100000000006</v>
      </c>
      <c r="P34" s="2">
        <v>180.8</v>
      </c>
      <c r="Q34" s="2">
        <v>1.84</v>
      </c>
      <c r="R34" s="2">
        <v>811</v>
      </c>
      <c r="S34" s="5">
        <f t="shared" si="0"/>
        <v>0.66453154875717024</v>
      </c>
      <c r="T34" s="5">
        <f t="shared" si="1"/>
        <v>0.80874999999999997</v>
      </c>
      <c r="U34" s="5">
        <f t="shared" si="2"/>
        <v>0.82167734003977766</v>
      </c>
      <c r="V34" s="5">
        <f t="shared" si="3"/>
        <v>0.99338224715868217</v>
      </c>
      <c r="W34" s="5">
        <f t="shared" si="4"/>
        <v>0.660133843212237</v>
      </c>
      <c r="X34" s="5">
        <f t="shared" si="5"/>
        <v>6.6177528413177951E-3</v>
      </c>
      <c r="Y34" s="6">
        <f t="shared" si="6"/>
        <v>0.51189336475440017</v>
      </c>
      <c r="Z34" s="6">
        <f t="shared" si="7"/>
        <v>117.63789382822615</v>
      </c>
      <c r="AA34" s="2" t="str">
        <f t="shared" si="8"/>
        <v>Breakdown</v>
      </c>
    </row>
    <row r="35" spans="1:27" x14ac:dyDescent="0.25">
      <c r="A35" s="2">
        <v>31</v>
      </c>
      <c r="B35" s="4">
        <v>46033</v>
      </c>
      <c r="C35" s="2" t="s">
        <v>29</v>
      </c>
      <c r="D35" s="2" t="s">
        <v>35</v>
      </c>
      <c r="E35" s="2" t="s">
        <v>31</v>
      </c>
      <c r="F35" s="2">
        <v>1032</v>
      </c>
      <c r="G35" s="2">
        <v>694.6</v>
      </c>
      <c r="H35" s="2">
        <v>692.8</v>
      </c>
      <c r="I35" s="2">
        <v>1.8</v>
      </c>
      <c r="J35" s="2">
        <v>3.69</v>
      </c>
      <c r="K35" s="2" t="s">
        <v>46</v>
      </c>
      <c r="L35" s="2" t="s">
        <v>38</v>
      </c>
      <c r="M35" s="2">
        <v>1417.9</v>
      </c>
      <c r="N35" s="2">
        <v>230</v>
      </c>
      <c r="O35" s="2">
        <v>75564.2</v>
      </c>
      <c r="P35" s="2">
        <v>177.6</v>
      </c>
      <c r="Q35" s="2">
        <v>1.48</v>
      </c>
      <c r="R35" s="2">
        <v>877.85</v>
      </c>
      <c r="S35" s="5">
        <f t="shared" si="0"/>
        <v>0.67306201550387601</v>
      </c>
      <c r="T35" s="5">
        <f t="shared" si="1"/>
        <v>0.53875000000000006</v>
      </c>
      <c r="U35" s="5">
        <f t="shared" si="2"/>
        <v>1.2493030450187954</v>
      </c>
      <c r="V35" s="5">
        <f t="shared" si="3"/>
        <v>0.99740858047797287</v>
      </c>
      <c r="W35" s="5">
        <f t="shared" si="4"/>
        <v>0.6713178294573644</v>
      </c>
      <c r="X35" s="5">
        <f t="shared" si="5"/>
        <v>2.5914195220270659E-3</v>
      </c>
      <c r="Y35" s="6">
        <f t="shared" si="6"/>
        <v>0.48987939911136186</v>
      </c>
      <c r="Z35" s="6">
        <f t="shared" si="7"/>
        <v>108.78807947019867</v>
      </c>
      <c r="AA35" s="2" t="str">
        <f t="shared" si="8"/>
        <v>Breakdown</v>
      </c>
    </row>
    <row r="36" spans="1:27" x14ac:dyDescent="0.25">
      <c r="A36" s="2">
        <v>32</v>
      </c>
      <c r="B36" s="4">
        <v>46033</v>
      </c>
      <c r="C36" s="2" t="s">
        <v>34</v>
      </c>
      <c r="D36" s="2" t="s">
        <v>30</v>
      </c>
      <c r="E36" s="2" t="s">
        <v>39</v>
      </c>
      <c r="F36" s="2">
        <v>966</v>
      </c>
      <c r="G36" s="2">
        <v>736</v>
      </c>
      <c r="H36" s="2">
        <v>730.6</v>
      </c>
      <c r="I36" s="2">
        <v>5.4</v>
      </c>
      <c r="J36" s="2">
        <v>1.78</v>
      </c>
      <c r="K36" s="2" t="s">
        <v>46</v>
      </c>
      <c r="L36" s="2" t="s">
        <v>43</v>
      </c>
      <c r="M36" s="2">
        <v>1502.2</v>
      </c>
      <c r="N36" s="2">
        <v>254</v>
      </c>
      <c r="O36" s="2">
        <v>80160.899999999994</v>
      </c>
      <c r="P36" s="2">
        <v>176.1</v>
      </c>
      <c r="Q36" s="2">
        <v>1.88</v>
      </c>
      <c r="R36" s="2">
        <v>1587.76</v>
      </c>
      <c r="S36" s="5">
        <f t="shared" si="0"/>
        <v>0.76190476190476186</v>
      </c>
      <c r="T36" s="5">
        <f t="shared" si="1"/>
        <v>0.77749999999999997</v>
      </c>
      <c r="U36" s="5">
        <f t="shared" si="2"/>
        <v>0.97994181595467778</v>
      </c>
      <c r="V36" s="5">
        <f t="shared" si="3"/>
        <v>0.99266304347826095</v>
      </c>
      <c r="W36" s="5">
        <f t="shared" si="4"/>
        <v>0.75631469979296084</v>
      </c>
      <c r="X36" s="5">
        <f t="shared" si="5"/>
        <v>7.3369565217391306E-3</v>
      </c>
      <c r="Y36" s="6">
        <f t="shared" si="6"/>
        <v>0.48994807615497271</v>
      </c>
      <c r="Z36" s="6">
        <f t="shared" si="7"/>
        <v>108.91426630434782</v>
      </c>
      <c r="AA36" s="2" t="str">
        <f t="shared" si="8"/>
        <v>Breakdown</v>
      </c>
    </row>
    <row r="37" spans="1:27" x14ac:dyDescent="0.25">
      <c r="A37" s="2">
        <v>33</v>
      </c>
      <c r="B37" s="4">
        <v>46033</v>
      </c>
      <c r="C37" s="2" t="s">
        <v>36</v>
      </c>
      <c r="D37" s="2" t="s">
        <v>30</v>
      </c>
      <c r="E37" s="2" t="s">
        <v>39</v>
      </c>
      <c r="F37" s="2">
        <v>975</v>
      </c>
      <c r="G37" s="2">
        <v>809.2</v>
      </c>
      <c r="H37" s="2">
        <v>798.2</v>
      </c>
      <c r="I37" s="2">
        <v>11</v>
      </c>
      <c r="J37" s="2">
        <v>0.28999999999999998</v>
      </c>
      <c r="K37" s="2" t="s">
        <v>32</v>
      </c>
      <c r="L37" s="2" t="s">
        <v>33</v>
      </c>
      <c r="M37" s="2">
        <v>1628.9</v>
      </c>
      <c r="N37" s="2">
        <v>243.1</v>
      </c>
      <c r="O37" s="2">
        <v>103677.7</v>
      </c>
      <c r="P37" s="2">
        <v>177.6</v>
      </c>
      <c r="Q37" s="2">
        <v>2.0099999999999998</v>
      </c>
      <c r="R37" s="2">
        <v>0</v>
      </c>
      <c r="S37" s="5">
        <f t="shared" si="0"/>
        <v>0.82994871794871794</v>
      </c>
      <c r="T37" s="5">
        <f t="shared" si="1"/>
        <v>0.96375</v>
      </c>
      <c r="U37" s="5">
        <f t="shared" si="2"/>
        <v>0.86116598490139351</v>
      </c>
      <c r="V37" s="5">
        <f t="shared" si="3"/>
        <v>0.98640632723677701</v>
      </c>
      <c r="W37" s="5">
        <f t="shared" si="4"/>
        <v>0.81866666666666665</v>
      </c>
      <c r="X37" s="5">
        <f t="shared" si="5"/>
        <v>1.3593672763222936E-2</v>
      </c>
      <c r="Y37" s="6">
        <f t="shared" si="6"/>
        <v>0.49677696605070909</v>
      </c>
      <c r="Z37" s="6">
        <f t="shared" si="7"/>
        <v>128.12370242214533</v>
      </c>
      <c r="AA37" s="2" t="str">
        <f t="shared" si="8"/>
        <v>No Maintenance</v>
      </c>
    </row>
    <row r="38" spans="1:27" x14ac:dyDescent="0.25">
      <c r="A38" s="2">
        <v>34</v>
      </c>
      <c r="B38" s="4">
        <v>46034</v>
      </c>
      <c r="C38" s="2" t="s">
        <v>29</v>
      </c>
      <c r="D38" s="2" t="s">
        <v>30</v>
      </c>
      <c r="E38" s="2" t="s">
        <v>39</v>
      </c>
      <c r="F38" s="2">
        <v>945</v>
      </c>
      <c r="G38" s="2">
        <v>837.9</v>
      </c>
      <c r="H38" s="2">
        <v>836.2</v>
      </c>
      <c r="I38" s="2">
        <v>1.7</v>
      </c>
      <c r="J38" s="2">
        <v>0.11</v>
      </c>
      <c r="K38" s="2" t="s">
        <v>32</v>
      </c>
      <c r="L38" s="2" t="s">
        <v>33</v>
      </c>
      <c r="M38" s="2">
        <v>1650.6</v>
      </c>
      <c r="N38" s="2">
        <v>277.2</v>
      </c>
      <c r="O38" s="2">
        <v>85569</v>
      </c>
      <c r="P38" s="2">
        <v>179.7</v>
      </c>
      <c r="Q38" s="2">
        <v>1.98</v>
      </c>
      <c r="R38" s="2">
        <v>0</v>
      </c>
      <c r="S38" s="5">
        <f t="shared" si="0"/>
        <v>0.8866666666666666</v>
      </c>
      <c r="T38" s="5">
        <f t="shared" si="1"/>
        <v>0.98624999999999996</v>
      </c>
      <c r="U38" s="5">
        <f t="shared" si="2"/>
        <v>0.89902830587241245</v>
      </c>
      <c r="V38" s="5">
        <f t="shared" si="3"/>
        <v>0.99797111827187024</v>
      </c>
      <c r="W38" s="5">
        <f t="shared" si="4"/>
        <v>0.88486772486772503</v>
      </c>
      <c r="X38" s="5">
        <f t="shared" si="5"/>
        <v>2.0288817281298483E-3</v>
      </c>
      <c r="Y38" s="6">
        <f t="shared" si="6"/>
        <v>0.50763358778625955</v>
      </c>
      <c r="Z38" s="6">
        <f t="shared" si="7"/>
        <v>102.12316505549589</v>
      </c>
      <c r="AA38" s="2" t="str">
        <f t="shared" si="8"/>
        <v>No Maintenance</v>
      </c>
    </row>
    <row r="39" spans="1:27" x14ac:dyDescent="0.25">
      <c r="A39" s="2">
        <v>35</v>
      </c>
      <c r="B39" s="4">
        <v>46034</v>
      </c>
      <c r="C39" s="2" t="s">
        <v>34</v>
      </c>
      <c r="D39" s="2" t="s">
        <v>30</v>
      </c>
      <c r="E39" s="2" t="s">
        <v>31</v>
      </c>
      <c r="F39" s="2">
        <v>1043</v>
      </c>
      <c r="G39" s="2">
        <v>870.8</v>
      </c>
      <c r="H39" s="2">
        <v>854.3</v>
      </c>
      <c r="I39" s="2">
        <v>16.5</v>
      </c>
      <c r="J39" s="2">
        <v>0.39</v>
      </c>
      <c r="K39" s="2" t="s">
        <v>32</v>
      </c>
      <c r="L39" s="2" t="s">
        <v>33</v>
      </c>
      <c r="M39" s="2">
        <v>1802.6</v>
      </c>
      <c r="N39" s="2">
        <v>288</v>
      </c>
      <c r="O39" s="2">
        <v>101513.2</v>
      </c>
      <c r="P39" s="2">
        <v>178.3</v>
      </c>
      <c r="Q39" s="2">
        <v>1.75</v>
      </c>
      <c r="R39" s="2">
        <v>0</v>
      </c>
      <c r="S39" s="5">
        <f t="shared" si="0"/>
        <v>0.83489932885906037</v>
      </c>
      <c r="T39" s="5">
        <f t="shared" si="1"/>
        <v>0.95125000000000004</v>
      </c>
      <c r="U39" s="5">
        <f t="shared" si="2"/>
        <v>0.87768654807785573</v>
      </c>
      <c r="V39" s="5">
        <f t="shared" si="3"/>
        <v>0.98105190629306382</v>
      </c>
      <c r="W39" s="5">
        <f t="shared" si="4"/>
        <v>0.81907957813998067</v>
      </c>
      <c r="X39" s="5">
        <f t="shared" si="5"/>
        <v>1.8948093706936151E-2</v>
      </c>
      <c r="Y39" s="6">
        <f t="shared" si="6"/>
        <v>0.48307999556196607</v>
      </c>
      <c r="Z39" s="6">
        <f t="shared" si="7"/>
        <v>116.57464400551217</v>
      </c>
      <c r="AA39" s="2" t="str">
        <f t="shared" si="8"/>
        <v>No Maintenance</v>
      </c>
    </row>
    <row r="40" spans="1:27" x14ac:dyDescent="0.25">
      <c r="A40" s="2">
        <v>36</v>
      </c>
      <c r="B40" s="4">
        <v>46034</v>
      </c>
      <c r="C40" s="2" t="s">
        <v>36</v>
      </c>
      <c r="D40" s="2" t="s">
        <v>30</v>
      </c>
      <c r="E40" s="2" t="s">
        <v>31</v>
      </c>
      <c r="F40" s="2">
        <v>978</v>
      </c>
      <c r="G40" s="2">
        <v>577.20000000000005</v>
      </c>
      <c r="H40" s="2">
        <v>568.6</v>
      </c>
      <c r="I40" s="2">
        <v>8.6999999999999993</v>
      </c>
      <c r="J40" s="2">
        <v>1.81</v>
      </c>
      <c r="K40" s="2" t="s">
        <v>42</v>
      </c>
      <c r="L40" s="2" t="s">
        <v>38</v>
      </c>
      <c r="M40" s="2">
        <v>1223</v>
      </c>
      <c r="N40" s="2">
        <v>188.5</v>
      </c>
      <c r="O40" s="2">
        <v>65495</v>
      </c>
      <c r="P40" s="2">
        <v>177</v>
      </c>
      <c r="Q40" s="2">
        <v>1.54</v>
      </c>
      <c r="R40" s="2">
        <v>671.16</v>
      </c>
      <c r="S40" s="5">
        <f t="shared" si="0"/>
        <v>0.59018404907975464</v>
      </c>
      <c r="T40" s="5">
        <f t="shared" si="1"/>
        <v>0.77374999999999994</v>
      </c>
      <c r="U40" s="5">
        <f t="shared" si="2"/>
        <v>0.76275806020000603</v>
      </c>
      <c r="V40" s="5">
        <f t="shared" si="3"/>
        <v>0.98510048510048509</v>
      </c>
      <c r="W40" s="5">
        <f t="shared" si="4"/>
        <v>0.58139059304703478</v>
      </c>
      <c r="X40" s="5">
        <f t="shared" si="5"/>
        <v>1.507276507276507E-2</v>
      </c>
      <c r="Y40" s="6">
        <f t="shared" si="6"/>
        <v>0.47195421095666396</v>
      </c>
      <c r="Z40" s="6">
        <f t="shared" si="7"/>
        <v>113.47020097020096</v>
      </c>
      <c r="AA40" s="2" t="str">
        <f t="shared" si="8"/>
        <v>Breakdown</v>
      </c>
    </row>
    <row r="41" spans="1:27" x14ac:dyDescent="0.25">
      <c r="A41" s="2">
        <v>37</v>
      </c>
      <c r="B41" s="4">
        <v>46035</v>
      </c>
      <c r="C41" s="2" t="s">
        <v>29</v>
      </c>
      <c r="D41" s="2" t="s">
        <v>35</v>
      </c>
      <c r="E41" s="2" t="s">
        <v>31</v>
      </c>
      <c r="F41" s="2">
        <v>962</v>
      </c>
      <c r="G41" s="2">
        <v>622.20000000000005</v>
      </c>
      <c r="H41" s="2">
        <v>609.9</v>
      </c>
      <c r="I41" s="2">
        <v>12.4</v>
      </c>
      <c r="J41" s="2">
        <v>2.73</v>
      </c>
      <c r="K41" s="2" t="s">
        <v>42</v>
      </c>
      <c r="L41" s="2" t="s">
        <v>43</v>
      </c>
      <c r="M41" s="2">
        <v>1285.3</v>
      </c>
      <c r="N41" s="2">
        <v>180.6</v>
      </c>
      <c r="O41" s="2">
        <v>71728.3</v>
      </c>
      <c r="P41" s="2">
        <v>179.9</v>
      </c>
      <c r="Q41" s="2">
        <v>1.54</v>
      </c>
      <c r="R41" s="2">
        <v>901.05</v>
      </c>
      <c r="S41" s="5">
        <f t="shared" si="0"/>
        <v>0.64677754677754684</v>
      </c>
      <c r="T41" s="5">
        <f t="shared" si="1"/>
        <v>0.65874999999999995</v>
      </c>
      <c r="U41" s="5">
        <f t="shared" si="2"/>
        <v>0.98182549795453034</v>
      </c>
      <c r="V41" s="5">
        <f t="shared" si="3"/>
        <v>0.98023143683702973</v>
      </c>
      <c r="W41" s="5">
        <f t="shared" si="4"/>
        <v>0.63399168399168393</v>
      </c>
      <c r="X41" s="5">
        <f t="shared" si="5"/>
        <v>1.9929283188685309E-2</v>
      </c>
      <c r="Y41" s="6">
        <f t="shared" si="6"/>
        <v>0.48408931766902674</v>
      </c>
      <c r="Z41" s="6">
        <f t="shared" si="7"/>
        <v>115.28174220507874</v>
      </c>
      <c r="AA41" s="2" t="str">
        <f t="shared" si="8"/>
        <v>Breakdown</v>
      </c>
    </row>
    <row r="42" spans="1:27" x14ac:dyDescent="0.25">
      <c r="A42" s="2">
        <v>38</v>
      </c>
      <c r="B42" s="4">
        <v>46035</v>
      </c>
      <c r="C42" s="2" t="s">
        <v>34</v>
      </c>
      <c r="D42" s="2" t="s">
        <v>30</v>
      </c>
      <c r="E42" s="2" t="s">
        <v>31</v>
      </c>
      <c r="F42" s="2">
        <v>902</v>
      </c>
      <c r="G42" s="2">
        <v>780.1</v>
      </c>
      <c r="H42" s="2">
        <v>773</v>
      </c>
      <c r="I42" s="2">
        <v>7.1</v>
      </c>
      <c r="J42" s="2">
        <v>0.23</v>
      </c>
      <c r="K42" s="2" t="s">
        <v>32</v>
      </c>
      <c r="L42" s="2" t="s">
        <v>33</v>
      </c>
      <c r="M42" s="2">
        <v>1584.3</v>
      </c>
      <c r="N42" s="2">
        <v>231.6</v>
      </c>
      <c r="O42" s="2">
        <v>89407.2</v>
      </c>
      <c r="P42" s="2">
        <v>178.5</v>
      </c>
      <c r="Q42" s="2">
        <v>1.7</v>
      </c>
      <c r="R42" s="2">
        <v>0</v>
      </c>
      <c r="S42" s="5">
        <f t="shared" si="0"/>
        <v>0.8648558758314856</v>
      </c>
      <c r="T42" s="5">
        <f t="shared" si="1"/>
        <v>0.97124999999999995</v>
      </c>
      <c r="U42" s="5">
        <f t="shared" si="2"/>
        <v>0.89045650021259781</v>
      </c>
      <c r="V42" s="5">
        <f t="shared" si="3"/>
        <v>0.99089860274323804</v>
      </c>
      <c r="W42" s="5">
        <f t="shared" si="4"/>
        <v>0.8569844789356984</v>
      </c>
      <c r="X42" s="5">
        <f t="shared" si="5"/>
        <v>9.1013972567619526E-3</v>
      </c>
      <c r="Y42" s="6">
        <f t="shared" si="6"/>
        <v>0.49239411727576848</v>
      </c>
      <c r="Z42" s="6">
        <f t="shared" si="7"/>
        <v>114.6099218048968</v>
      </c>
      <c r="AA42" s="2" t="str">
        <f t="shared" si="8"/>
        <v>No Maintenance</v>
      </c>
    </row>
    <row r="43" spans="1:27" x14ac:dyDescent="0.25">
      <c r="A43" s="2">
        <v>39</v>
      </c>
      <c r="B43" s="4">
        <v>46035</v>
      </c>
      <c r="C43" s="2" t="s">
        <v>36</v>
      </c>
      <c r="D43" s="2" t="s">
        <v>35</v>
      </c>
      <c r="E43" s="2" t="s">
        <v>45</v>
      </c>
      <c r="F43" s="2">
        <v>904</v>
      </c>
      <c r="G43" s="2">
        <v>752</v>
      </c>
      <c r="H43" s="2">
        <v>737</v>
      </c>
      <c r="I43" s="2">
        <v>15</v>
      </c>
      <c r="J43" s="2">
        <v>0.39</v>
      </c>
      <c r="K43" s="2" t="s">
        <v>32</v>
      </c>
      <c r="L43" s="2" t="s">
        <v>33</v>
      </c>
      <c r="M43" s="2">
        <v>1630.7</v>
      </c>
      <c r="N43" s="2">
        <v>237.1</v>
      </c>
      <c r="O43" s="2">
        <v>82912.800000000003</v>
      </c>
      <c r="P43" s="2">
        <v>183.4</v>
      </c>
      <c r="Q43" s="2">
        <v>1.6</v>
      </c>
      <c r="R43" s="2">
        <v>0</v>
      </c>
      <c r="S43" s="5">
        <f t="shared" si="0"/>
        <v>0.83185840707964598</v>
      </c>
      <c r="T43" s="5">
        <f t="shared" si="1"/>
        <v>0.95125000000000004</v>
      </c>
      <c r="U43" s="5">
        <f t="shared" si="2"/>
        <v>0.87448978405219024</v>
      </c>
      <c r="V43" s="5">
        <f t="shared" si="3"/>
        <v>0.98005319148936165</v>
      </c>
      <c r="W43" s="5">
        <f t="shared" si="4"/>
        <v>0.81526548672566368</v>
      </c>
      <c r="X43" s="5">
        <f t="shared" si="5"/>
        <v>1.9946808510638299E-2</v>
      </c>
      <c r="Y43" s="6">
        <f t="shared" si="6"/>
        <v>0.46115165266449992</v>
      </c>
      <c r="Z43" s="6">
        <f t="shared" si="7"/>
        <v>110.25638297872341</v>
      </c>
      <c r="AA43" s="2" t="str">
        <f t="shared" si="8"/>
        <v>No Maintenance</v>
      </c>
    </row>
    <row r="44" spans="1:27" x14ac:dyDescent="0.25">
      <c r="A44" s="2">
        <v>40</v>
      </c>
      <c r="B44" s="4">
        <v>46036</v>
      </c>
      <c r="C44" s="2" t="s">
        <v>29</v>
      </c>
      <c r="D44" s="2" t="s">
        <v>30</v>
      </c>
      <c r="E44" s="2" t="s">
        <v>45</v>
      </c>
      <c r="F44" s="2">
        <v>962</v>
      </c>
      <c r="G44" s="2">
        <v>612.1</v>
      </c>
      <c r="H44" s="2">
        <v>597</v>
      </c>
      <c r="I44" s="2">
        <v>15</v>
      </c>
      <c r="J44" s="2">
        <v>2.06</v>
      </c>
      <c r="K44" s="2" t="s">
        <v>48</v>
      </c>
      <c r="L44" s="2" t="s">
        <v>38</v>
      </c>
      <c r="M44" s="2">
        <v>1289.2</v>
      </c>
      <c r="N44" s="2">
        <v>188</v>
      </c>
      <c r="O44" s="2">
        <v>74011.199999999997</v>
      </c>
      <c r="P44" s="2">
        <v>179.5</v>
      </c>
      <c r="Q44" s="2">
        <v>1.43</v>
      </c>
      <c r="R44" s="2">
        <v>878.72</v>
      </c>
      <c r="S44" s="5">
        <f t="shared" si="0"/>
        <v>0.63627858627858636</v>
      </c>
      <c r="T44" s="5">
        <f t="shared" si="1"/>
        <v>0.74249999999999994</v>
      </c>
      <c r="U44" s="5">
        <f t="shared" si="2"/>
        <v>0.85694085694085698</v>
      </c>
      <c r="V44" s="5">
        <f t="shared" si="3"/>
        <v>0.97533082829603002</v>
      </c>
      <c r="W44" s="5">
        <f t="shared" si="4"/>
        <v>0.62058212058212048</v>
      </c>
      <c r="X44" s="5">
        <f t="shared" si="5"/>
        <v>2.4505799705930403E-2</v>
      </c>
      <c r="Y44" s="6">
        <f t="shared" si="6"/>
        <v>0.47479056779398077</v>
      </c>
      <c r="Z44" s="6">
        <f t="shared" si="7"/>
        <v>120.91357621303708</v>
      </c>
      <c r="AA44" s="2" t="str">
        <f t="shared" si="8"/>
        <v>Breakdown</v>
      </c>
    </row>
    <row r="45" spans="1:27" x14ac:dyDescent="0.25">
      <c r="A45" s="2">
        <v>41</v>
      </c>
      <c r="B45" s="4">
        <v>46036</v>
      </c>
      <c r="C45" s="2" t="s">
        <v>34</v>
      </c>
      <c r="D45" s="2" t="s">
        <v>30</v>
      </c>
      <c r="E45" s="2" t="s">
        <v>31</v>
      </c>
      <c r="F45" s="2">
        <v>1045</v>
      </c>
      <c r="G45" s="2">
        <v>887.5</v>
      </c>
      <c r="H45" s="2">
        <v>878.4</v>
      </c>
      <c r="I45" s="2">
        <v>9.1</v>
      </c>
      <c r="J45" s="2">
        <v>0.32</v>
      </c>
      <c r="K45" s="2" t="s">
        <v>32</v>
      </c>
      <c r="L45" s="2" t="s">
        <v>33</v>
      </c>
      <c r="M45" s="2">
        <v>1813.1</v>
      </c>
      <c r="N45" s="2">
        <v>286.10000000000002</v>
      </c>
      <c r="O45" s="2">
        <v>102605.2</v>
      </c>
      <c r="P45" s="2">
        <v>180.4</v>
      </c>
      <c r="Q45" s="2">
        <v>1.56</v>
      </c>
      <c r="R45" s="2">
        <v>0</v>
      </c>
      <c r="S45" s="5">
        <f t="shared" si="0"/>
        <v>0.84928229665071775</v>
      </c>
      <c r="T45" s="5">
        <f t="shared" si="1"/>
        <v>0.96</v>
      </c>
      <c r="U45" s="5">
        <f t="shared" si="2"/>
        <v>0.88466905901116433</v>
      </c>
      <c r="V45" s="5">
        <f t="shared" si="3"/>
        <v>0.98974647887323941</v>
      </c>
      <c r="W45" s="5">
        <f t="shared" si="4"/>
        <v>0.84057416267942586</v>
      </c>
      <c r="X45" s="5">
        <f t="shared" si="5"/>
        <v>1.0253521126760564E-2</v>
      </c>
      <c r="Y45" s="6">
        <f t="shared" si="6"/>
        <v>0.48949313330759475</v>
      </c>
      <c r="Z45" s="6">
        <f t="shared" si="7"/>
        <v>115.61149295774648</v>
      </c>
      <c r="AA45" s="2" t="str">
        <f t="shared" si="8"/>
        <v>No Maintenance</v>
      </c>
    </row>
    <row r="46" spans="1:27" x14ac:dyDescent="0.25">
      <c r="A46" s="2">
        <v>42</v>
      </c>
      <c r="B46" s="4">
        <v>46036</v>
      </c>
      <c r="C46" s="2" t="s">
        <v>36</v>
      </c>
      <c r="D46" s="2" t="s">
        <v>30</v>
      </c>
      <c r="E46" s="2" t="s">
        <v>45</v>
      </c>
      <c r="F46" s="2">
        <v>953</v>
      </c>
      <c r="G46" s="2">
        <v>731.6</v>
      </c>
      <c r="H46" s="2">
        <v>712.1</v>
      </c>
      <c r="I46" s="2">
        <v>19.600000000000001</v>
      </c>
      <c r="J46" s="2">
        <v>0.02</v>
      </c>
      <c r="K46" s="2" t="s">
        <v>32</v>
      </c>
      <c r="L46" s="2" t="s">
        <v>33</v>
      </c>
      <c r="M46" s="2">
        <v>1475.2</v>
      </c>
      <c r="N46" s="2">
        <v>237.1</v>
      </c>
      <c r="O46" s="2">
        <v>88741.1</v>
      </c>
      <c r="P46" s="2">
        <v>178.8</v>
      </c>
      <c r="Q46" s="2">
        <v>1.54</v>
      </c>
      <c r="R46" s="2">
        <v>0</v>
      </c>
      <c r="S46" s="5">
        <f t="shared" si="0"/>
        <v>0.7676810073452256</v>
      </c>
      <c r="T46" s="5">
        <f t="shared" si="1"/>
        <v>0.99750000000000005</v>
      </c>
      <c r="U46" s="5">
        <f t="shared" si="2"/>
        <v>0.76960501989496299</v>
      </c>
      <c r="V46" s="5">
        <f t="shared" si="3"/>
        <v>0.97334609075997813</v>
      </c>
      <c r="W46" s="5">
        <f t="shared" si="4"/>
        <v>0.74721930745015741</v>
      </c>
      <c r="X46" s="5">
        <f t="shared" si="5"/>
        <v>2.6790595954073265E-2</v>
      </c>
      <c r="Y46" s="6">
        <f t="shared" si="6"/>
        <v>0.49593275488069416</v>
      </c>
      <c r="Z46" s="6">
        <f t="shared" si="7"/>
        <v>121.29729360306179</v>
      </c>
      <c r="AA46" s="2" t="str">
        <f t="shared" si="8"/>
        <v>No Maintenance</v>
      </c>
    </row>
    <row r="47" spans="1:27" x14ac:dyDescent="0.25">
      <c r="A47" s="2">
        <v>43</v>
      </c>
      <c r="B47" s="4">
        <v>46037</v>
      </c>
      <c r="C47" s="2" t="s">
        <v>29</v>
      </c>
      <c r="D47" s="2" t="s">
        <v>35</v>
      </c>
      <c r="E47" s="2" t="s">
        <v>39</v>
      </c>
      <c r="F47" s="2">
        <v>982</v>
      </c>
      <c r="G47" s="2">
        <v>920.7</v>
      </c>
      <c r="H47" s="2">
        <v>904.2</v>
      </c>
      <c r="I47" s="2">
        <v>16.5</v>
      </c>
      <c r="J47" s="2">
        <v>0.21</v>
      </c>
      <c r="K47" s="2" t="s">
        <v>32</v>
      </c>
      <c r="L47" s="2" t="s">
        <v>33</v>
      </c>
      <c r="M47" s="2">
        <v>1895.6</v>
      </c>
      <c r="N47" s="2">
        <v>309.5</v>
      </c>
      <c r="O47" s="2">
        <v>105133.6</v>
      </c>
      <c r="P47" s="2">
        <v>182.7</v>
      </c>
      <c r="Q47" s="2">
        <v>1.7</v>
      </c>
      <c r="R47" s="2">
        <v>0</v>
      </c>
      <c r="S47" s="5">
        <f t="shared" si="0"/>
        <v>0.93757637474541755</v>
      </c>
      <c r="T47" s="5">
        <f t="shared" si="1"/>
        <v>0.97375</v>
      </c>
      <c r="U47" s="5">
        <f t="shared" si="2"/>
        <v>0.96285121925074979</v>
      </c>
      <c r="V47" s="5">
        <f t="shared" si="3"/>
        <v>0.98207885304659504</v>
      </c>
      <c r="W47" s="5">
        <f t="shared" si="4"/>
        <v>0.9207739307535644</v>
      </c>
      <c r="X47" s="5">
        <f t="shared" si="5"/>
        <v>1.7921146953405017E-2</v>
      </c>
      <c r="Y47" s="6">
        <f t="shared" si="6"/>
        <v>0.4857037349651826</v>
      </c>
      <c r="Z47" s="6">
        <f t="shared" si="7"/>
        <v>114.18876941457587</v>
      </c>
      <c r="AA47" s="2" t="str">
        <f t="shared" si="8"/>
        <v>No Maintenance</v>
      </c>
    </row>
    <row r="48" spans="1:27" x14ac:dyDescent="0.25">
      <c r="A48" s="2">
        <v>44</v>
      </c>
      <c r="B48" s="4">
        <v>46037</v>
      </c>
      <c r="C48" s="2" t="s">
        <v>34</v>
      </c>
      <c r="D48" s="2" t="s">
        <v>35</v>
      </c>
      <c r="E48" s="2" t="s">
        <v>31</v>
      </c>
      <c r="F48" s="2">
        <v>1020</v>
      </c>
      <c r="G48" s="2">
        <v>682.6</v>
      </c>
      <c r="H48" s="2">
        <v>670.8</v>
      </c>
      <c r="I48" s="2">
        <v>11.8</v>
      </c>
      <c r="J48" s="2">
        <v>3.13</v>
      </c>
      <c r="K48" s="2" t="s">
        <v>46</v>
      </c>
      <c r="L48" s="2" t="s">
        <v>38</v>
      </c>
      <c r="M48" s="2">
        <v>1468.1</v>
      </c>
      <c r="N48" s="2">
        <v>188.7</v>
      </c>
      <c r="O48" s="2">
        <v>81770.2</v>
      </c>
      <c r="P48" s="2">
        <v>172.5</v>
      </c>
      <c r="Q48" s="2">
        <v>1.76</v>
      </c>
      <c r="R48" s="2">
        <v>872.89</v>
      </c>
      <c r="S48" s="5">
        <f t="shared" si="0"/>
        <v>0.66921568627450978</v>
      </c>
      <c r="T48" s="5">
        <f t="shared" si="1"/>
        <v>0.60875000000000001</v>
      </c>
      <c r="U48" s="5">
        <f t="shared" si="2"/>
        <v>1.0993276160566896</v>
      </c>
      <c r="V48" s="5">
        <f t="shared" si="3"/>
        <v>0.98271315558159966</v>
      </c>
      <c r="W48" s="5">
        <f t="shared" si="4"/>
        <v>0.65764705882352936</v>
      </c>
      <c r="X48" s="5">
        <f t="shared" si="5"/>
        <v>1.7286844418400234E-2</v>
      </c>
      <c r="Y48" s="6">
        <f t="shared" si="6"/>
        <v>0.46495470335808192</v>
      </c>
      <c r="Z48" s="6">
        <f t="shared" si="7"/>
        <v>119.79226486961616</v>
      </c>
      <c r="AA48" s="2" t="str">
        <f t="shared" si="8"/>
        <v>Breakdown</v>
      </c>
    </row>
    <row r="49" spans="1:27" x14ac:dyDescent="0.25">
      <c r="A49" s="2">
        <v>45</v>
      </c>
      <c r="B49" s="4">
        <v>46037</v>
      </c>
      <c r="C49" s="2" t="s">
        <v>36</v>
      </c>
      <c r="D49" s="2" t="s">
        <v>30</v>
      </c>
      <c r="E49" s="2" t="s">
        <v>31</v>
      </c>
      <c r="F49" s="2">
        <v>912</v>
      </c>
      <c r="G49" s="2">
        <v>522.1</v>
      </c>
      <c r="H49" s="2">
        <v>514</v>
      </c>
      <c r="I49" s="2">
        <v>8.1999999999999993</v>
      </c>
      <c r="J49" s="2">
        <v>3.04</v>
      </c>
      <c r="K49" s="2" t="s">
        <v>40</v>
      </c>
      <c r="L49" s="2" t="s">
        <v>41</v>
      </c>
      <c r="M49" s="2">
        <v>1064</v>
      </c>
      <c r="N49" s="2">
        <v>172.1</v>
      </c>
      <c r="O49" s="2">
        <v>55817.1</v>
      </c>
      <c r="P49" s="2">
        <v>169.2</v>
      </c>
      <c r="Q49" s="2">
        <v>1.67</v>
      </c>
      <c r="R49" s="2">
        <v>254.57</v>
      </c>
      <c r="S49" s="5">
        <f t="shared" si="0"/>
        <v>0.57247807017543861</v>
      </c>
      <c r="T49" s="5">
        <f t="shared" si="1"/>
        <v>0.62</v>
      </c>
      <c r="U49" s="5">
        <f t="shared" si="2"/>
        <v>0.92335172608941718</v>
      </c>
      <c r="V49" s="5">
        <f t="shared" si="3"/>
        <v>0.98448573070293044</v>
      </c>
      <c r="W49" s="5">
        <f t="shared" si="4"/>
        <v>0.56359649122807021</v>
      </c>
      <c r="X49" s="5">
        <f t="shared" si="5"/>
        <v>1.5705803485922234E-2</v>
      </c>
      <c r="Y49" s="6">
        <f t="shared" si="6"/>
        <v>0.49069548872180452</v>
      </c>
      <c r="Z49" s="6">
        <f t="shared" si="7"/>
        <v>106.90882972610611</v>
      </c>
      <c r="AA49" s="2" t="str">
        <f t="shared" si="8"/>
        <v>Planned</v>
      </c>
    </row>
    <row r="50" spans="1:27" x14ac:dyDescent="0.25">
      <c r="A50" s="2">
        <v>46</v>
      </c>
      <c r="B50" s="4">
        <v>46038</v>
      </c>
      <c r="C50" s="2" t="s">
        <v>29</v>
      </c>
      <c r="D50" s="2" t="s">
        <v>35</v>
      </c>
      <c r="E50" s="2" t="s">
        <v>45</v>
      </c>
      <c r="F50" s="2">
        <v>971</v>
      </c>
      <c r="G50" s="2">
        <v>652.9</v>
      </c>
      <c r="H50" s="2">
        <v>640.5</v>
      </c>
      <c r="I50" s="2">
        <v>12.4</v>
      </c>
      <c r="J50" s="2">
        <v>3.56</v>
      </c>
      <c r="K50" s="2" t="s">
        <v>42</v>
      </c>
      <c r="L50" s="2" t="s">
        <v>38</v>
      </c>
      <c r="M50" s="2">
        <v>1409.2</v>
      </c>
      <c r="N50" s="2">
        <v>216.6</v>
      </c>
      <c r="O50" s="2">
        <v>78676.399999999994</v>
      </c>
      <c r="P50" s="2">
        <v>178.5</v>
      </c>
      <c r="Q50" s="2">
        <v>1.23</v>
      </c>
      <c r="R50" s="2">
        <v>478.06</v>
      </c>
      <c r="S50" s="5">
        <f t="shared" si="0"/>
        <v>0.67239958805355304</v>
      </c>
      <c r="T50" s="5">
        <f t="shared" si="1"/>
        <v>0.55499999999999994</v>
      </c>
      <c r="U50" s="5">
        <f t="shared" si="2"/>
        <v>1.2115307892856813</v>
      </c>
      <c r="V50" s="5">
        <f t="shared" si="3"/>
        <v>0.98100781130341552</v>
      </c>
      <c r="W50" s="5">
        <f t="shared" si="4"/>
        <v>0.65962924819773427</v>
      </c>
      <c r="X50" s="5">
        <f t="shared" si="5"/>
        <v>1.8992188696584471E-2</v>
      </c>
      <c r="Y50" s="6">
        <f t="shared" si="6"/>
        <v>0.46331251774056198</v>
      </c>
      <c r="Z50" s="6">
        <f t="shared" si="7"/>
        <v>120.50298667483534</v>
      </c>
      <c r="AA50" s="2" t="str">
        <f t="shared" si="8"/>
        <v>Breakdown</v>
      </c>
    </row>
    <row r="51" spans="1:27" x14ac:dyDescent="0.25">
      <c r="A51" s="2">
        <v>47</v>
      </c>
      <c r="B51" s="4">
        <v>46038</v>
      </c>
      <c r="C51" s="2" t="s">
        <v>34</v>
      </c>
      <c r="D51" s="2" t="s">
        <v>35</v>
      </c>
      <c r="E51" s="2" t="s">
        <v>31</v>
      </c>
      <c r="F51" s="2">
        <v>921</v>
      </c>
      <c r="G51" s="2">
        <v>812.6</v>
      </c>
      <c r="H51" s="2">
        <v>805.9</v>
      </c>
      <c r="I51" s="2">
        <v>6.8</v>
      </c>
      <c r="J51" s="2">
        <v>0.84</v>
      </c>
      <c r="K51" s="2" t="s">
        <v>44</v>
      </c>
      <c r="L51" s="2" t="s">
        <v>43</v>
      </c>
      <c r="M51" s="2">
        <v>1672.3</v>
      </c>
      <c r="N51" s="2">
        <v>273.60000000000002</v>
      </c>
      <c r="O51" s="2">
        <v>97633.3</v>
      </c>
      <c r="P51" s="2">
        <v>177.6</v>
      </c>
      <c r="Q51" s="2">
        <v>1.61</v>
      </c>
      <c r="R51" s="2">
        <v>702.45</v>
      </c>
      <c r="S51" s="5">
        <f t="shared" si="0"/>
        <v>0.88230184581976112</v>
      </c>
      <c r="T51" s="5">
        <f t="shared" si="1"/>
        <v>0.89500000000000002</v>
      </c>
      <c r="U51" s="5">
        <f t="shared" si="2"/>
        <v>0.98581211823436987</v>
      </c>
      <c r="V51" s="5">
        <f t="shared" si="3"/>
        <v>0.99175486094019194</v>
      </c>
      <c r="W51" s="5">
        <f t="shared" si="4"/>
        <v>0.8750271444082518</v>
      </c>
      <c r="X51" s="5">
        <f t="shared" si="5"/>
        <v>8.368200836820083E-3</v>
      </c>
      <c r="Y51" s="6">
        <f t="shared" si="6"/>
        <v>0.48591759851701255</v>
      </c>
      <c r="Z51" s="6">
        <f t="shared" si="7"/>
        <v>120.14927393551562</v>
      </c>
      <c r="AA51" s="2" t="str">
        <f t="shared" si="8"/>
        <v>Breakdown</v>
      </c>
    </row>
    <row r="52" spans="1:27" x14ac:dyDescent="0.25">
      <c r="A52" s="2">
        <v>48</v>
      </c>
      <c r="B52" s="4">
        <v>46038</v>
      </c>
      <c r="C52" s="2" t="s">
        <v>36</v>
      </c>
      <c r="D52" s="2" t="s">
        <v>30</v>
      </c>
      <c r="E52" s="2" t="s">
        <v>39</v>
      </c>
      <c r="F52" s="2">
        <v>962</v>
      </c>
      <c r="G52" s="2">
        <v>800</v>
      </c>
      <c r="H52" s="2">
        <v>784.9</v>
      </c>
      <c r="I52" s="2">
        <v>15.1</v>
      </c>
      <c r="J52" s="2">
        <v>0.08</v>
      </c>
      <c r="K52" s="2" t="s">
        <v>32</v>
      </c>
      <c r="L52" s="2" t="s">
        <v>33</v>
      </c>
      <c r="M52" s="2">
        <v>1620.7</v>
      </c>
      <c r="N52" s="2">
        <v>239.9</v>
      </c>
      <c r="O52" s="2">
        <v>89178.1</v>
      </c>
      <c r="P52" s="2">
        <v>184.3</v>
      </c>
      <c r="Q52" s="2">
        <v>1.7</v>
      </c>
      <c r="R52" s="2">
        <v>0</v>
      </c>
      <c r="S52" s="5">
        <f t="shared" si="0"/>
        <v>0.83160083160083165</v>
      </c>
      <c r="T52" s="5">
        <f t="shared" si="1"/>
        <v>0.99</v>
      </c>
      <c r="U52" s="5">
        <f t="shared" si="2"/>
        <v>0.84000084000083997</v>
      </c>
      <c r="V52" s="5">
        <f t="shared" si="3"/>
        <v>0.98112500000000002</v>
      </c>
      <c r="W52" s="5">
        <f t="shared" si="4"/>
        <v>0.81590436590436588</v>
      </c>
      <c r="X52" s="5">
        <f t="shared" si="5"/>
        <v>1.8874999999999999E-2</v>
      </c>
      <c r="Y52" s="6">
        <f t="shared" si="6"/>
        <v>0.49361387054976241</v>
      </c>
      <c r="Z52" s="6">
        <f t="shared" si="7"/>
        <v>111.47262500000001</v>
      </c>
      <c r="AA52" s="2" t="str">
        <f t="shared" si="8"/>
        <v>No Maintenance</v>
      </c>
    </row>
    <row r="53" spans="1:27" x14ac:dyDescent="0.25">
      <c r="A53" s="2">
        <v>49</v>
      </c>
      <c r="B53" s="4">
        <v>46039</v>
      </c>
      <c r="C53" s="2" t="s">
        <v>29</v>
      </c>
      <c r="D53" s="2" t="s">
        <v>35</v>
      </c>
      <c r="E53" s="2" t="s">
        <v>31</v>
      </c>
      <c r="F53" s="2">
        <v>936</v>
      </c>
      <c r="G53" s="2">
        <v>767.5</v>
      </c>
      <c r="H53" s="2">
        <v>758.9</v>
      </c>
      <c r="I53" s="2">
        <v>8.6999999999999993</v>
      </c>
      <c r="J53" s="2">
        <v>0.67</v>
      </c>
      <c r="K53" s="2" t="s">
        <v>42</v>
      </c>
      <c r="L53" s="2" t="s">
        <v>38</v>
      </c>
      <c r="M53" s="2">
        <v>1618.6</v>
      </c>
      <c r="N53" s="2">
        <v>231.5</v>
      </c>
      <c r="O53" s="2">
        <v>93518.7</v>
      </c>
      <c r="P53" s="2">
        <v>178.4</v>
      </c>
      <c r="Q53" s="2">
        <v>1.64</v>
      </c>
      <c r="R53" s="2">
        <v>516.72</v>
      </c>
      <c r="S53" s="5">
        <f t="shared" si="0"/>
        <v>0.81997863247863245</v>
      </c>
      <c r="T53" s="5">
        <f t="shared" si="1"/>
        <v>0.91625000000000001</v>
      </c>
      <c r="U53" s="5">
        <f t="shared" si="2"/>
        <v>0.89492893039959887</v>
      </c>
      <c r="V53" s="5">
        <f t="shared" si="3"/>
        <v>0.98879478827361555</v>
      </c>
      <c r="W53" s="5">
        <f t="shared" si="4"/>
        <v>0.81079059829059819</v>
      </c>
      <c r="X53" s="5">
        <f t="shared" si="5"/>
        <v>1.1335504885993485E-2</v>
      </c>
      <c r="Y53" s="6">
        <f t="shared" si="6"/>
        <v>0.47417521314716427</v>
      </c>
      <c r="Z53" s="6">
        <f t="shared" si="7"/>
        <v>121.84846905537459</v>
      </c>
      <c r="AA53" s="2" t="str">
        <f t="shared" si="8"/>
        <v>Breakdown</v>
      </c>
    </row>
    <row r="54" spans="1:27" x14ac:dyDescent="0.25">
      <c r="A54" s="2">
        <v>50</v>
      </c>
      <c r="B54" s="4">
        <v>46039</v>
      </c>
      <c r="C54" s="2" t="s">
        <v>34</v>
      </c>
      <c r="D54" s="2" t="s">
        <v>30</v>
      </c>
      <c r="E54" s="2" t="s">
        <v>45</v>
      </c>
      <c r="F54" s="2">
        <v>1022</v>
      </c>
      <c r="G54" s="2">
        <v>944.9</v>
      </c>
      <c r="H54" s="2">
        <v>932.8</v>
      </c>
      <c r="I54" s="2">
        <v>12.1</v>
      </c>
      <c r="J54" s="2">
        <v>0.02</v>
      </c>
      <c r="K54" s="2" t="s">
        <v>32</v>
      </c>
      <c r="L54" s="2" t="s">
        <v>33</v>
      </c>
      <c r="M54" s="2">
        <v>1985.4</v>
      </c>
      <c r="N54" s="2">
        <v>269.39999999999998</v>
      </c>
      <c r="O54" s="2">
        <v>115957.1</v>
      </c>
      <c r="P54" s="2">
        <v>174.6</v>
      </c>
      <c r="Q54" s="2">
        <v>1.45</v>
      </c>
      <c r="R54" s="2">
        <v>0</v>
      </c>
      <c r="S54" s="5">
        <f t="shared" si="0"/>
        <v>0.92455968688845402</v>
      </c>
      <c r="T54" s="5">
        <f t="shared" si="1"/>
        <v>0.99750000000000005</v>
      </c>
      <c r="U54" s="5">
        <f t="shared" si="2"/>
        <v>0.92687687908616934</v>
      </c>
      <c r="V54" s="5">
        <f t="shared" si="3"/>
        <v>0.98719441210710124</v>
      </c>
      <c r="W54" s="5">
        <f t="shared" si="4"/>
        <v>0.91272015655577288</v>
      </c>
      <c r="X54" s="5">
        <f t="shared" si="5"/>
        <v>1.2805587892898719E-2</v>
      </c>
      <c r="Y54" s="6">
        <f t="shared" si="6"/>
        <v>0.47592424700312275</v>
      </c>
      <c r="Z54" s="6">
        <f t="shared" si="7"/>
        <v>122.71891205418564</v>
      </c>
      <c r="AA54" s="2" t="str">
        <f t="shared" si="8"/>
        <v>No Maintenance</v>
      </c>
    </row>
    <row r="55" spans="1:27" x14ac:dyDescent="0.25">
      <c r="A55" s="2">
        <v>51</v>
      </c>
      <c r="B55" s="4">
        <v>46039</v>
      </c>
      <c r="C55" s="2" t="s">
        <v>36</v>
      </c>
      <c r="D55" s="2" t="s">
        <v>30</v>
      </c>
      <c r="E55" s="2" t="s">
        <v>31</v>
      </c>
      <c r="F55" s="2">
        <v>970</v>
      </c>
      <c r="G55" s="2">
        <v>584.6</v>
      </c>
      <c r="H55" s="2">
        <v>577.20000000000005</v>
      </c>
      <c r="I55" s="2">
        <v>7.4</v>
      </c>
      <c r="J55" s="2">
        <v>3.35</v>
      </c>
      <c r="K55" s="2" t="s">
        <v>42</v>
      </c>
      <c r="L55" s="2" t="s">
        <v>38</v>
      </c>
      <c r="M55" s="2">
        <v>1195.5</v>
      </c>
      <c r="N55" s="2">
        <v>191.4</v>
      </c>
      <c r="O55" s="2">
        <v>75637.100000000006</v>
      </c>
      <c r="P55" s="2">
        <v>171</v>
      </c>
      <c r="Q55" s="2">
        <v>1.82</v>
      </c>
      <c r="R55" s="2">
        <v>801.97</v>
      </c>
      <c r="S55" s="5">
        <f t="shared" si="0"/>
        <v>0.60268041237113401</v>
      </c>
      <c r="T55" s="5">
        <f t="shared" si="1"/>
        <v>0.58125000000000004</v>
      </c>
      <c r="U55" s="5">
        <f t="shared" si="2"/>
        <v>1.0368695266600156</v>
      </c>
      <c r="V55" s="5">
        <f t="shared" si="3"/>
        <v>0.98734177215189878</v>
      </c>
      <c r="W55" s="5">
        <f t="shared" si="4"/>
        <v>0.59505154639175273</v>
      </c>
      <c r="X55" s="5">
        <f t="shared" si="5"/>
        <v>1.2658227848101266E-2</v>
      </c>
      <c r="Y55" s="6">
        <f t="shared" si="6"/>
        <v>0.48900041823504814</v>
      </c>
      <c r="Z55" s="6">
        <f t="shared" si="7"/>
        <v>129.38265480670543</v>
      </c>
      <c r="AA55" s="2" t="str">
        <f t="shared" si="8"/>
        <v>Breakdown</v>
      </c>
    </row>
    <row r="56" spans="1:27" x14ac:dyDescent="0.25">
      <c r="A56" s="2">
        <v>52</v>
      </c>
      <c r="B56" s="4">
        <v>46040</v>
      </c>
      <c r="C56" s="2" t="s">
        <v>29</v>
      </c>
      <c r="D56" s="2" t="s">
        <v>30</v>
      </c>
      <c r="E56" s="2" t="s">
        <v>31</v>
      </c>
      <c r="F56" s="2">
        <v>937</v>
      </c>
      <c r="G56" s="2">
        <v>611.20000000000005</v>
      </c>
      <c r="H56" s="2">
        <v>600.9</v>
      </c>
      <c r="I56" s="2">
        <v>10.199999999999999</v>
      </c>
      <c r="J56" s="2">
        <v>2.2400000000000002</v>
      </c>
      <c r="K56" s="2" t="s">
        <v>44</v>
      </c>
      <c r="L56" s="2" t="s">
        <v>38</v>
      </c>
      <c r="M56" s="2">
        <v>1258.0999999999999</v>
      </c>
      <c r="N56" s="2">
        <v>201.4</v>
      </c>
      <c r="O56" s="2">
        <v>68448.800000000003</v>
      </c>
      <c r="P56" s="2">
        <v>176.5</v>
      </c>
      <c r="Q56" s="2">
        <v>1.77</v>
      </c>
      <c r="R56" s="2">
        <v>408.07</v>
      </c>
      <c r="S56" s="5">
        <f t="shared" si="0"/>
        <v>0.65229455709711848</v>
      </c>
      <c r="T56" s="5">
        <f t="shared" si="1"/>
        <v>0.72</v>
      </c>
      <c r="U56" s="5">
        <f t="shared" si="2"/>
        <v>0.90596466263488684</v>
      </c>
      <c r="V56" s="5">
        <f t="shared" si="3"/>
        <v>0.98314790575916222</v>
      </c>
      <c r="W56" s="5">
        <f t="shared" si="4"/>
        <v>0.64130202774813228</v>
      </c>
      <c r="X56" s="5">
        <f t="shared" si="5"/>
        <v>1.6688481675392667E-2</v>
      </c>
      <c r="Y56" s="6">
        <f t="shared" si="6"/>
        <v>0.48581193863762823</v>
      </c>
      <c r="Z56" s="6">
        <f t="shared" si="7"/>
        <v>111.99083769633508</v>
      </c>
      <c r="AA56" s="2" t="str">
        <f t="shared" si="8"/>
        <v>Breakdown</v>
      </c>
    </row>
    <row r="57" spans="1:27" x14ac:dyDescent="0.25">
      <c r="A57" s="2">
        <v>53</v>
      </c>
      <c r="B57" s="4">
        <v>46040</v>
      </c>
      <c r="C57" s="2" t="s">
        <v>34</v>
      </c>
      <c r="D57" s="2" t="s">
        <v>35</v>
      </c>
      <c r="E57" s="2" t="s">
        <v>39</v>
      </c>
      <c r="F57" s="2">
        <v>936</v>
      </c>
      <c r="G57" s="2">
        <v>630.1</v>
      </c>
      <c r="H57" s="2">
        <v>618.4</v>
      </c>
      <c r="I57" s="2">
        <v>11.8</v>
      </c>
      <c r="J57" s="2">
        <v>2.71</v>
      </c>
      <c r="K57" s="2" t="s">
        <v>47</v>
      </c>
      <c r="L57" s="2" t="s">
        <v>38</v>
      </c>
      <c r="M57" s="2">
        <v>1299.9000000000001</v>
      </c>
      <c r="N57" s="2">
        <v>202.5</v>
      </c>
      <c r="O57" s="2">
        <v>73156.100000000006</v>
      </c>
      <c r="P57" s="2">
        <v>179.3</v>
      </c>
      <c r="Q57" s="2">
        <v>1.63</v>
      </c>
      <c r="R57" s="2">
        <v>726.19</v>
      </c>
      <c r="S57" s="5">
        <f t="shared" si="0"/>
        <v>0.67318376068376073</v>
      </c>
      <c r="T57" s="5">
        <f t="shared" si="1"/>
        <v>0.66125</v>
      </c>
      <c r="U57" s="5">
        <f t="shared" si="2"/>
        <v>1.018047275136122</v>
      </c>
      <c r="V57" s="5">
        <f t="shared" si="3"/>
        <v>0.98143151880653856</v>
      </c>
      <c r="W57" s="5">
        <f t="shared" si="4"/>
        <v>0.66068376068376067</v>
      </c>
      <c r="X57" s="5">
        <f t="shared" si="5"/>
        <v>1.8727186160926838E-2</v>
      </c>
      <c r="Y57" s="6">
        <f t="shared" si="6"/>
        <v>0.48472959458419879</v>
      </c>
      <c r="Z57" s="6">
        <f t="shared" si="7"/>
        <v>116.10236470401524</v>
      </c>
      <c r="AA57" s="2" t="str">
        <f t="shared" si="8"/>
        <v>Breakdown</v>
      </c>
    </row>
    <row r="58" spans="1:27" x14ac:dyDescent="0.25">
      <c r="A58" s="2">
        <v>54</v>
      </c>
      <c r="B58" s="4">
        <v>46040</v>
      </c>
      <c r="C58" s="2" t="s">
        <v>36</v>
      </c>
      <c r="D58" s="2" t="s">
        <v>35</v>
      </c>
      <c r="E58" s="2" t="s">
        <v>31</v>
      </c>
      <c r="F58" s="2">
        <v>904</v>
      </c>
      <c r="G58" s="2">
        <v>718.2</v>
      </c>
      <c r="H58" s="2">
        <v>708.6</v>
      </c>
      <c r="I58" s="2">
        <v>9.6</v>
      </c>
      <c r="J58" s="2">
        <v>0.34</v>
      </c>
      <c r="K58" s="2" t="s">
        <v>32</v>
      </c>
      <c r="L58" s="2" t="s">
        <v>33</v>
      </c>
      <c r="M58" s="2">
        <v>1456.7</v>
      </c>
      <c r="N58" s="2">
        <v>220.2</v>
      </c>
      <c r="O58" s="2">
        <v>83989.9</v>
      </c>
      <c r="P58" s="2">
        <v>177.2</v>
      </c>
      <c r="Q58" s="2">
        <v>1.81</v>
      </c>
      <c r="R58" s="2">
        <v>0</v>
      </c>
      <c r="S58" s="5">
        <f t="shared" si="0"/>
        <v>0.79446902654867257</v>
      </c>
      <c r="T58" s="5">
        <f t="shared" si="1"/>
        <v>0.95750000000000002</v>
      </c>
      <c r="U58" s="5">
        <f t="shared" si="2"/>
        <v>0.82973266480279118</v>
      </c>
      <c r="V58" s="5">
        <f t="shared" si="3"/>
        <v>0.98663324979114453</v>
      </c>
      <c r="W58" s="5">
        <f t="shared" si="4"/>
        <v>0.78384955752212393</v>
      </c>
      <c r="X58" s="5">
        <f t="shared" si="5"/>
        <v>1.3366750208855471E-2</v>
      </c>
      <c r="Y58" s="6">
        <f t="shared" si="6"/>
        <v>0.49303219605958676</v>
      </c>
      <c r="Z58" s="6">
        <f t="shared" si="7"/>
        <v>116.9450013923698</v>
      </c>
      <c r="AA58" s="2" t="str">
        <f t="shared" si="8"/>
        <v>No Maintenance</v>
      </c>
    </row>
    <row r="59" spans="1:27" x14ac:dyDescent="0.25">
      <c r="A59" s="2">
        <v>55</v>
      </c>
      <c r="B59" s="4">
        <v>46041</v>
      </c>
      <c r="C59" s="2" t="s">
        <v>29</v>
      </c>
      <c r="D59" s="2" t="s">
        <v>30</v>
      </c>
      <c r="E59" s="2" t="s">
        <v>31</v>
      </c>
      <c r="F59" s="2">
        <v>956</v>
      </c>
      <c r="G59" s="2">
        <v>839.9</v>
      </c>
      <c r="H59" s="2">
        <v>826.5</v>
      </c>
      <c r="I59" s="2">
        <v>13.4</v>
      </c>
      <c r="J59" s="2">
        <v>0.19</v>
      </c>
      <c r="K59" s="2" t="s">
        <v>32</v>
      </c>
      <c r="L59" s="2" t="s">
        <v>33</v>
      </c>
      <c r="M59" s="2">
        <v>1650.1</v>
      </c>
      <c r="N59" s="2">
        <v>252</v>
      </c>
      <c r="O59" s="2">
        <v>101785.5</v>
      </c>
      <c r="P59" s="2">
        <v>173.8</v>
      </c>
      <c r="Q59" s="2">
        <v>1.64</v>
      </c>
      <c r="R59" s="2">
        <v>0</v>
      </c>
      <c r="S59" s="5">
        <f t="shared" si="0"/>
        <v>0.87855648535564856</v>
      </c>
      <c r="T59" s="5">
        <f t="shared" si="1"/>
        <v>0.97624999999999995</v>
      </c>
      <c r="U59" s="5">
        <f t="shared" si="2"/>
        <v>0.89992981854611886</v>
      </c>
      <c r="V59" s="5">
        <f t="shared" si="3"/>
        <v>0.98404571972853916</v>
      </c>
      <c r="W59" s="5">
        <f t="shared" si="4"/>
        <v>0.8645397489539749</v>
      </c>
      <c r="X59" s="5">
        <f t="shared" si="5"/>
        <v>1.595428027146089E-2</v>
      </c>
      <c r="Y59" s="6">
        <f t="shared" si="6"/>
        <v>0.50899945457851037</v>
      </c>
      <c r="Z59" s="6">
        <f t="shared" si="7"/>
        <v>121.18764138587927</v>
      </c>
      <c r="AA59" s="2" t="str">
        <f t="shared" si="8"/>
        <v>No Maintenance</v>
      </c>
    </row>
    <row r="60" spans="1:27" x14ac:dyDescent="0.25">
      <c r="A60" s="2">
        <v>56</v>
      </c>
      <c r="B60" s="4">
        <v>46041</v>
      </c>
      <c r="C60" s="2" t="s">
        <v>34</v>
      </c>
      <c r="D60" s="2" t="s">
        <v>35</v>
      </c>
      <c r="E60" s="2" t="s">
        <v>39</v>
      </c>
      <c r="F60" s="2">
        <v>1047</v>
      </c>
      <c r="G60" s="2">
        <v>935.6</v>
      </c>
      <c r="H60" s="2">
        <v>917.9</v>
      </c>
      <c r="I60" s="2">
        <v>17.7</v>
      </c>
      <c r="J60" s="2">
        <v>0.22</v>
      </c>
      <c r="K60" s="2" t="s">
        <v>32</v>
      </c>
      <c r="L60" s="2" t="s">
        <v>33</v>
      </c>
      <c r="M60" s="2">
        <v>1920.4</v>
      </c>
      <c r="N60" s="2">
        <v>295.10000000000002</v>
      </c>
      <c r="O60" s="2">
        <v>108682.8</v>
      </c>
      <c r="P60" s="2">
        <v>172.6</v>
      </c>
      <c r="Q60" s="2">
        <v>1.95</v>
      </c>
      <c r="R60" s="2">
        <v>0</v>
      </c>
      <c r="S60" s="5">
        <f t="shared" si="0"/>
        <v>0.89360076408787015</v>
      </c>
      <c r="T60" s="5">
        <f t="shared" si="1"/>
        <v>0.97250000000000003</v>
      </c>
      <c r="U60" s="5">
        <f t="shared" si="2"/>
        <v>0.91886968029601046</v>
      </c>
      <c r="V60" s="5">
        <f t="shared" si="3"/>
        <v>0.98108165882855913</v>
      </c>
      <c r="W60" s="5">
        <f t="shared" si="4"/>
        <v>0.87669531996179562</v>
      </c>
      <c r="X60" s="5">
        <f t="shared" si="5"/>
        <v>1.8918341171440787E-2</v>
      </c>
      <c r="Y60" s="6">
        <f t="shared" si="6"/>
        <v>0.48719016871485105</v>
      </c>
      <c r="Z60" s="6">
        <f t="shared" si="7"/>
        <v>116.16374519025224</v>
      </c>
      <c r="AA60" s="2" t="str">
        <f t="shared" si="8"/>
        <v>No Maintenance</v>
      </c>
    </row>
    <row r="61" spans="1:27" x14ac:dyDescent="0.25">
      <c r="A61" s="2">
        <v>57</v>
      </c>
      <c r="B61" s="4">
        <v>46041</v>
      </c>
      <c r="C61" s="2" t="s">
        <v>36</v>
      </c>
      <c r="D61" s="2" t="s">
        <v>30</v>
      </c>
      <c r="E61" s="2" t="s">
        <v>31</v>
      </c>
      <c r="F61" s="2">
        <v>1009</v>
      </c>
      <c r="G61" s="2">
        <v>632.29999999999995</v>
      </c>
      <c r="H61" s="2">
        <v>627.5</v>
      </c>
      <c r="I61" s="2">
        <v>4.8</v>
      </c>
      <c r="J61" s="2">
        <v>1.89</v>
      </c>
      <c r="K61" s="2" t="s">
        <v>37</v>
      </c>
      <c r="L61" s="2" t="s">
        <v>43</v>
      </c>
      <c r="M61" s="2">
        <v>1256.8</v>
      </c>
      <c r="N61" s="2">
        <v>203.1</v>
      </c>
      <c r="O61" s="2">
        <v>76823.7</v>
      </c>
      <c r="P61" s="2">
        <v>170.7</v>
      </c>
      <c r="Q61" s="2">
        <v>1.56</v>
      </c>
      <c r="R61" s="2">
        <v>1576.12</v>
      </c>
      <c r="S61" s="5">
        <f t="shared" si="0"/>
        <v>0.62666005946481662</v>
      </c>
      <c r="T61" s="5">
        <f t="shared" si="1"/>
        <v>0.76375000000000004</v>
      </c>
      <c r="U61" s="5">
        <f t="shared" si="2"/>
        <v>0.82050416951203475</v>
      </c>
      <c r="V61" s="5">
        <f t="shared" si="3"/>
        <v>0.99240866677210193</v>
      </c>
      <c r="W61" s="5">
        <f t="shared" si="4"/>
        <v>0.62190287413280476</v>
      </c>
      <c r="X61" s="5">
        <f t="shared" si="5"/>
        <v>7.5913332278981496E-3</v>
      </c>
      <c r="Y61" s="6">
        <f t="shared" si="6"/>
        <v>0.50310311903246341</v>
      </c>
      <c r="Z61" s="6">
        <f t="shared" si="7"/>
        <v>121.49881385418314</v>
      </c>
      <c r="AA61" s="2" t="str">
        <f t="shared" si="8"/>
        <v>Breakdown</v>
      </c>
    </row>
    <row r="62" spans="1:27" x14ac:dyDescent="0.25">
      <c r="A62" s="2">
        <v>58</v>
      </c>
      <c r="B62" s="4">
        <v>46042</v>
      </c>
      <c r="C62" s="2" t="s">
        <v>29</v>
      </c>
      <c r="D62" s="2" t="s">
        <v>35</v>
      </c>
      <c r="E62" s="2" t="s">
        <v>31</v>
      </c>
      <c r="F62" s="2">
        <v>990</v>
      </c>
      <c r="G62" s="2">
        <v>934.4</v>
      </c>
      <c r="H62" s="2">
        <v>927.6</v>
      </c>
      <c r="I62" s="2">
        <v>6.8</v>
      </c>
      <c r="J62" s="2">
        <v>0.1</v>
      </c>
      <c r="K62" s="2" t="s">
        <v>32</v>
      </c>
      <c r="L62" s="2" t="s">
        <v>33</v>
      </c>
      <c r="M62" s="2">
        <v>1893.2</v>
      </c>
      <c r="N62" s="2">
        <v>267.60000000000002</v>
      </c>
      <c r="O62" s="2">
        <v>113940.6</v>
      </c>
      <c r="P62" s="2">
        <v>178.9</v>
      </c>
      <c r="Q62" s="2">
        <v>1.41</v>
      </c>
      <c r="R62" s="2">
        <v>0</v>
      </c>
      <c r="S62" s="5">
        <f t="shared" si="0"/>
        <v>0.94383838383838381</v>
      </c>
      <c r="T62" s="5">
        <f t="shared" si="1"/>
        <v>0.98750000000000004</v>
      </c>
      <c r="U62" s="5">
        <f t="shared" si="2"/>
        <v>0.95578570515279371</v>
      </c>
      <c r="V62" s="5">
        <f t="shared" si="3"/>
        <v>0.99272260273972612</v>
      </c>
      <c r="W62" s="5">
        <f t="shared" si="4"/>
        <v>0.93696969696969701</v>
      </c>
      <c r="X62" s="5">
        <f t="shared" si="5"/>
        <v>7.2773972602739722E-3</v>
      </c>
      <c r="Y62" s="6">
        <f t="shared" si="6"/>
        <v>0.49355588421719837</v>
      </c>
      <c r="Z62" s="6">
        <f t="shared" si="7"/>
        <v>121.9398544520548</v>
      </c>
      <c r="AA62" s="2" t="str">
        <f t="shared" si="8"/>
        <v>No Maintenance</v>
      </c>
    </row>
    <row r="63" spans="1:27" x14ac:dyDescent="0.25">
      <c r="A63" s="2">
        <v>59</v>
      </c>
      <c r="B63" s="4">
        <v>46042</v>
      </c>
      <c r="C63" s="2" t="s">
        <v>34</v>
      </c>
      <c r="D63" s="2" t="s">
        <v>35</v>
      </c>
      <c r="E63" s="2" t="s">
        <v>39</v>
      </c>
      <c r="F63" s="2">
        <v>973</v>
      </c>
      <c r="G63" s="2">
        <v>859.3</v>
      </c>
      <c r="H63" s="2">
        <v>844.8</v>
      </c>
      <c r="I63" s="2">
        <v>14.5</v>
      </c>
      <c r="J63" s="2">
        <v>0.24</v>
      </c>
      <c r="K63" s="2" t="s">
        <v>32</v>
      </c>
      <c r="L63" s="2" t="s">
        <v>33</v>
      </c>
      <c r="M63" s="2">
        <v>1752.8</v>
      </c>
      <c r="N63" s="2">
        <v>251.9</v>
      </c>
      <c r="O63" s="2">
        <v>107618.2</v>
      </c>
      <c r="P63" s="2">
        <v>177.7</v>
      </c>
      <c r="Q63" s="2">
        <v>1.48</v>
      </c>
      <c r="R63" s="2">
        <v>0</v>
      </c>
      <c r="S63" s="5">
        <f t="shared" si="0"/>
        <v>0.88314491264131545</v>
      </c>
      <c r="T63" s="5">
        <f t="shared" si="1"/>
        <v>0.97</v>
      </c>
      <c r="U63" s="5">
        <f t="shared" si="2"/>
        <v>0.91045867282609849</v>
      </c>
      <c r="V63" s="5">
        <f t="shared" si="3"/>
        <v>0.98312580006982431</v>
      </c>
      <c r="W63" s="5">
        <f t="shared" si="4"/>
        <v>0.86824254881808849</v>
      </c>
      <c r="X63" s="5">
        <f t="shared" si="5"/>
        <v>1.6874199930175724E-2</v>
      </c>
      <c r="Y63" s="6">
        <f t="shared" si="6"/>
        <v>0.49024418073938841</v>
      </c>
      <c r="Z63" s="6">
        <f t="shared" si="7"/>
        <v>125.23938089142325</v>
      </c>
      <c r="AA63" s="2" t="str">
        <f t="shared" si="8"/>
        <v>No Maintenance</v>
      </c>
    </row>
    <row r="64" spans="1:27" x14ac:dyDescent="0.25">
      <c r="A64" s="2">
        <v>60</v>
      </c>
      <c r="B64" s="4">
        <v>46042</v>
      </c>
      <c r="C64" s="2" t="s">
        <v>36</v>
      </c>
      <c r="D64" s="2" t="s">
        <v>35</v>
      </c>
      <c r="E64" s="2" t="s">
        <v>45</v>
      </c>
      <c r="F64" s="2">
        <v>996</v>
      </c>
      <c r="G64" s="2">
        <v>833.7</v>
      </c>
      <c r="H64" s="2">
        <v>822.7</v>
      </c>
      <c r="I64" s="2">
        <v>11</v>
      </c>
      <c r="J64" s="2">
        <v>0.25</v>
      </c>
      <c r="K64" s="2" t="s">
        <v>32</v>
      </c>
      <c r="L64" s="2" t="s">
        <v>33</v>
      </c>
      <c r="M64" s="2">
        <v>1779.8</v>
      </c>
      <c r="N64" s="2">
        <v>264.7</v>
      </c>
      <c r="O64" s="2">
        <v>92534.6</v>
      </c>
      <c r="P64" s="2">
        <v>178.9</v>
      </c>
      <c r="Q64" s="2">
        <v>1.6</v>
      </c>
      <c r="R64" s="2">
        <v>0</v>
      </c>
      <c r="S64" s="5">
        <f t="shared" si="0"/>
        <v>0.83704819277108433</v>
      </c>
      <c r="T64" s="5">
        <f t="shared" si="1"/>
        <v>0.96875</v>
      </c>
      <c r="U64" s="5">
        <f t="shared" si="2"/>
        <v>0.86404974737660323</v>
      </c>
      <c r="V64" s="5">
        <f t="shared" si="3"/>
        <v>0.98680580544560392</v>
      </c>
      <c r="W64" s="5">
        <f t="shared" si="4"/>
        <v>0.826004016064257</v>
      </c>
      <c r="X64" s="5">
        <f t="shared" si="5"/>
        <v>1.3194194554396065E-2</v>
      </c>
      <c r="Y64" s="6">
        <f t="shared" si="6"/>
        <v>0.46842341836161372</v>
      </c>
      <c r="Z64" s="6">
        <f t="shared" si="7"/>
        <v>110.99268321938347</v>
      </c>
      <c r="AA64" s="2" t="str">
        <f t="shared" si="8"/>
        <v>No Maintenance</v>
      </c>
    </row>
    <row r="65" spans="1:27" x14ac:dyDescent="0.25">
      <c r="A65" s="2">
        <v>61</v>
      </c>
      <c r="B65" s="4">
        <v>46043</v>
      </c>
      <c r="C65" s="2" t="s">
        <v>29</v>
      </c>
      <c r="D65" s="2" t="s">
        <v>30</v>
      </c>
      <c r="E65" s="2" t="s">
        <v>45</v>
      </c>
      <c r="F65" s="2">
        <v>990</v>
      </c>
      <c r="G65" s="2">
        <v>617.4</v>
      </c>
      <c r="H65" s="2">
        <v>612.1</v>
      </c>
      <c r="I65" s="2">
        <v>5.4</v>
      </c>
      <c r="J65" s="2">
        <v>3.56</v>
      </c>
      <c r="K65" s="2" t="s">
        <v>46</v>
      </c>
      <c r="L65" s="2" t="s">
        <v>38</v>
      </c>
      <c r="M65" s="2">
        <v>1293.5999999999999</v>
      </c>
      <c r="N65" s="2">
        <v>169.5</v>
      </c>
      <c r="O65" s="2">
        <v>74392.100000000006</v>
      </c>
      <c r="P65" s="2">
        <v>179.1</v>
      </c>
      <c r="Q65" s="2">
        <v>1.65</v>
      </c>
      <c r="R65" s="2">
        <v>394.72</v>
      </c>
      <c r="S65" s="5">
        <f t="shared" si="0"/>
        <v>0.62363636363636366</v>
      </c>
      <c r="T65" s="5">
        <f t="shared" si="1"/>
        <v>0.55499999999999994</v>
      </c>
      <c r="U65" s="5">
        <f t="shared" si="2"/>
        <v>1.1236691236691239</v>
      </c>
      <c r="V65" s="5">
        <f t="shared" si="3"/>
        <v>0.99141561386459354</v>
      </c>
      <c r="W65" s="5">
        <f t="shared" si="4"/>
        <v>0.61828282828282832</v>
      </c>
      <c r="X65" s="5">
        <f t="shared" si="5"/>
        <v>8.7463556851311956E-3</v>
      </c>
      <c r="Y65" s="6">
        <f t="shared" si="6"/>
        <v>0.47727272727272729</v>
      </c>
      <c r="Z65" s="6">
        <f t="shared" si="7"/>
        <v>120.49254940071268</v>
      </c>
      <c r="AA65" s="2" t="str">
        <f t="shared" si="8"/>
        <v>Breakdown</v>
      </c>
    </row>
    <row r="66" spans="1:27" x14ac:dyDescent="0.25">
      <c r="A66" s="2">
        <v>62</v>
      </c>
      <c r="B66" s="4">
        <v>46043</v>
      </c>
      <c r="C66" s="2" t="s">
        <v>34</v>
      </c>
      <c r="D66" s="2" t="s">
        <v>35</v>
      </c>
      <c r="E66" s="2" t="s">
        <v>39</v>
      </c>
      <c r="F66" s="2">
        <v>1027</v>
      </c>
      <c r="G66" s="2">
        <v>998.3</v>
      </c>
      <c r="H66" s="2">
        <v>979.6</v>
      </c>
      <c r="I66" s="2">
        <v>18.600000000000001</v>
      </c>
      <c r="J66" s="2">
        <v>0.25</v>
      </c>
      <c r="K66" s="2" t="s">
        <v>32</v>
      </c>
      <c r="L66" s="2" t="s">
        <v>33</v>
      </c>
      <c r="M66" s="2">
        <v>2119.9</v>
      </c>
      <c r="N66" s="2">
        <v>303.60000000000002</v>
      </c>
      <c r="O66" s="2">
        <v>111402.1</v>
      </c>
      <c r="P66" s="2">
        <v>183</v>
      </c>
      <c r="Q66" s="2">
        <v>1.62</v>
      </c>
      <c r="R66" s="2">
        <v>0</v>
      </c>
      <c r="S66" s="5">
        <f t="shared" si="0"/>
        <v>0.9720545277507302</v>
      </c>
      <c r="T66" s="5">
        <f t="shared" si="1"/>
        <v>0.96875</v>
      </c>
      <c r="U66" s="5">
        <f t="shared" si="2"/>
        <v>1.0034111254201086</v>
      </c>
      <c r="V66" s="5">
        <f t="shared" si="3"/>
        <v>0.98126815586497051</v>
      </c>
      <c r="W66" s="5">
        <f t="shared" si="4"/>
        <v>0.95384615384615379</v>
      </c>
      <c r="X66" s="5">
        <f t="shared" si="5"/>
        <v>1.8631673845537416E-2</v>
      </c>
      <c r="Y66" s="6">
        <f t="shared" si="6"/>
        <v>0.47091843954903528</v>
      </c>
      <c r="Z66" s="6">
        <f t="shared" si="7"/>
        <v>111.59180607031955</v>
      </c>
      <c r="AA66" s="2" t="str">
        <f t="shared" si="8"/>
        <v>No Maintenance</v>
      </c>
    </row>
    <row r="67" spans="1:27" x14ac:dyDescent="0.25">
      <c r="A67" s="2">
        <v>63</v>
      </c>
      <c r="B67" s="4">
        <v>46043</v>
      </c>
      <c r="C67" s="2" t="s">
        <v>36</v>
      </c>
      <c r="D67" s="2" t="s">
        <v>35</v>
      </c>
      <c r="E67" s="2" t="s">
        <v>39</v>
      </c>
      <c r="F67" s="2">
        <v>955</v>
      </c>
      <c r="G67" s="2">
        <v>597.1</v>
      </c>
      <c r="H67" s="2">
        <v>592.1</v>
      </c>
      <c r="I67" s="2">
        <v>5</v>
      </c>
      <c r="J67" s="2">
        <v>2.16</v>
      </c>
      <c r="K67" s="2" t="s">
        <v>40</v>
      </c>
      <c r="L67" s="2" t="s">
        <v>41</v>
      </c>
      <c r="M67" s="2">
        <v>1195.4000000000001</v>
      </c>
      <c r="N67" s="2">
        <v>193.3</v>
      </c>
      <c r="O67" s="2">
        <v>68711.7</v>
      </c>
      <c r="P67" s="2">
        <v>179.8</v>
      </c>
      <c r="Q67" s="2">
        <v>2.15</v>
      </c>
      <c r="R67" s="2">
        <v>165.27</v>
      </c>
      <c r="S67" s="5">
        <f t="shared" si="0"/>
        <v>0.62523560209424089</v>
      </c>
      <c r="T67" s="5">
        <f t="shared" si="1"/>
        <v>0.73</v>
      </c>
      <c r="U67" s="5">
        <f t="shared" si="2"/>
        <v>0.85648712615649436</v>
      </c>
      <c r="V67" s="5">
        <f t="shared" si="3"/>
        <v>0.99162619326745938</v>
      </c>
      <c r="W67" s="5">
        <f t="shared" si="4"/>
        <v>0.62</v>
      </c>
      <c r="X67" s="5">
        <f t="shared" si="5"/>
        <v>8.3738067325406125E-3</v>
      </c>
      <c r="Y67" s="6">
        <f t="shared" si="6"/>
        <v>0.49949807595783835</v>
      </c>
      <c r="Z67" s="6">
        <f t="shared" si="7"/>
        <v>115.07569921286216</v>
      </c>
      <c r="AA67" s="2" t="str">
        <f t="shared" si="8"/>
        <v>Planned</v>
      </c>
    </row>
    <row r="68" spans="1:27" x14ac:dyDescent="0.25">
      <c r="A68" s="2">
        <v>64</v>
      </c>
      <c r="B68" s="4">
        <v>46044</v>
      </c>
      <c r="C68" s="2" t="s">
        <v>29</v>
      </c>
      <c r="D68" s="2" t="s">
        <v>35</v>
      </c>
      <c r="E68" s="2" t="s">
        <v>31</v>
      </c>
      <c r="F68" s="2">
        <v>988</v>
      </c>
      <c r="G68" s="2">
        <v>667.7</v>
      </c>
      <c r="H68" s="2">
        <v>661</v>
      </c>
      <c r="I68" s="2">
        <v>6.7</v>
      </c>
      <c r="J68" s="2">
        <v>3.51</v>
      </c>
      <c r="K68" s="2" t="s">
        <v>44</v>
      </c>
      <c r="L68" s="2" t="s">
        <v>38</v>
      </c>
      <c r="M68" s="2">
        <v>1362.2</v>
      </c>
      <c r="N68" s="2">
        <v>207.3</v>
      </c>
      <c r="O68" s="2">
        <v>84437.9</v>
      </c>
      <c r="P68" s="2">
        <v>182.9</v>
      </c>
      <c r="Q68" s="2">
        <v>1.63</v>
      </c>
      <c r="R68" s="2">
        <v>316.11</v>
      </c>
      <c r="S68" s="5">
        <f t="shared" si="0"/>
        <v>0.67580971659919031</v>
      </c>
      <c r="T68" s="5">
        <f t="shared" si="1"/>
        <v>0.56125000000000003</v>
      </c>
      <c r="U68" s="5">
        <f t="shared" si="2"/>
        <v>1.2041153079718314</v>
      </c>
      <c r="V68" s="5">
        <f t="shared" si="3"/>
        <v>0.9899655533922419</v>
      </c>
      <c r="W68" s="5">
        <f t="shared" si="4"/>
        <v>0.66902834008097167</v>
      </c>
      <c r="X68" s="5">
        <f t="shared" si="5"/>
        <v>1.0034446607757975E-2</v>
      </c>
      <c r="Y68" s="6">
        <f t="shared" si="6"/>
        <v>0.49016297166348555</v>
      </c>
      <c r="Z68" s="6">
        <f t="shared" si="7"/>
        <v>126.46083570465777</v>
      </c>
      <c r="AA68" s="2" t="str">
        <f t="shared" si="8"/>
        <v>Breakdown</v>
      </c>
    </row>
    <row r="69" spans="1:27" x14ac:dyDescent="0.25">
      <c r="A69" s="2">
        <v>65</v>
      </c>
      <c r="B69" s="4">
        <v>46044</v>
      </c>
      <c r="C69" s="2" t="s">
        <v>34</v>
      </c>
      <c r="D69" s="2" t="s">
        <v>30</v>
      </c>
      <c r="E69" s="2" t="s">
        <v>45</v>
      </c>
      <c r="F69" s="2">
        <v>1047</v>
      </c>
      <c r="G69" s="2">
        <v>871.3</v>
      </c>
      <c r="H69" s="2">
        <v>866.2</v>
      </c>
      <c r="I69" s="2">
        <v>5</v>
      </c>
      <c r="J69" s="2">
        <v>0.12</v>
      </c>
      <c r="K69" s="2" t="s">
        <v>32</v>
      </c>
      <c r="L69" s="2" t="s">
        <v>33</v>
      </c>
      <c r="M69" s="2">
        <v>1778.4</v>
      </c>
      <c r="N69" s="2">
        <v>319</v>
      </c>
      <c r="O69" s="2">
        <v>102355.2</v>
      </c>
      <c r="P69" s="2">
        <v>182.1</v>
      </c>
      <c r="Q69" s="2">
        <v>1.43</v>
      </c>
      <c r="R69" s="2">
        <v>0</v>
      </c>
      <c r="S69" s="5">
        <f t="shared" ref="S69:S132" si="9">G69/F69</f>
        <v>0.83218720152817571</v>
      </c>
      <c r="T69" s="5">
        <f t="shared" ref="T69:T132" si="10">MAX(0,1-J69/8)</f>
        <v>0.98499999999999999</v>
      </c>
      <c r="U69" s="5">
        <f t="shared" ref="U69:U132" si="11">IFERROR(G69/(F69*T69),0)</f>
        <v>0.84486010307428994</v>
      </c>
      <c r="V69" s="5">
        <f t="shared" ref="V69:V132" si="12">IFERROR(H69/G69,0)</f>
        <v>0.99414667737862972</v>
      </c>
      <c r="W69" s="5">
        <f t="shared" ref="W69:W132" si="13">T69*U69*V69</f>
        <v>0.82731614135625586</v>
      </c>
      <c r="X69" s="5">
        <f t="shared" ref="X69:X132" si="14">IFERROR(I69/G69,0)</f>
        <v>5.7385515895787909E-3</v>
      </c>
      <c r="Y69" s="6">
        <f t="shared" ref="Y69:Y132" si="15">IFERROR(G69/M69,0)</f>
        <v>0.48993477282950965</v>
      </c>
      <c r="Z69" s="6">
        <f t="shared" ref="Z69:Z132" si="16">IFERROR(O69/G69,0)</f>
        <v>117.474119132331</v>
      </c>
      <c r="AA69" s="2" t="str">
        <f t="shared" ref="AA69:AA132" si="17">IF(L69="None","No Maintenance",IF(L69="Preventive","Planned","Breakdown"))</f>
        <v>No Maintenance</v>
      </c>
    </row>
    <row r="70" spans="1:27" x14ac:dyDescent="0.25">
      <c r="A70" s="2">
        <v>66</v>
      </c>
      <c r="B70" s="4">
        <v>46044</v>
      </c>
      <c r="C70" s="2" t="s">
        <v>36</v>
      </c>
      <c r="D70" s="2" t="s">
        <v>35</v>
      </c>
      <c r="E70" s="2" t="s">
        <v>39</v>
      </c>
      <c r="F70" s="2">
        <v>1016</v>
      </c>
      <c r="G70" s="2">
        <v>857.2</v>
      </c>
      <c r="H70" s="2">
        <v>839.6</v>
      </c>
      <c r="I70" s="2">
        <v>17.600000000000001</v>
      </c>
      <c r="J70" s="2">
        <v>0.04</v>
      </c>
      <c r="K70" s="2" t="s">
        <v>32</v>
      </c>
      <c r="L70" s="2" t="s">
        <v>33</v>
      </c>
      <c r="M70" s="2">
        <v>1820.5</v>
      </c>
      <c r="N70" s="2">
        <v>251.6</v>
      </c>
      <c r="O70" s="2">
        <v>99908.6</v>
      </c>
      <c r="P70" s="2">
        <v>181.5</v>
      </c>
      <c r="Q70" s="2">
        <v>1.49</v>
      </c>
      <c r="R70" s="2">
        <v>0</v>
      </c>
      <c r="S70" s="5">
        <f t="shared" si="9"/>
        <v>0.84370078740157484</v>
      </c>
      <c r="T70" s="5">
        <f t="shared" si="10"/>
        <v>0.995</v>
      </c>
      <c r="U70" s="5">
        <f t="shared" si="11"/>
        <v>0.84794048985082904</v>
      </c>
      <c r="V70" s="5">
        <f t="shared" si="12"/>
        <v>0.97946803546430239</v>
      </c>
      <c r="W70" s="5">
        <f t="shared" si="13"/>
        <v>0.82637795275590553</v>
      </c>
      <c r="X70" s="5">
        <f t="shared" si="14"/>
        <v>2.0531964535697621E-2</v>
      </c>
      <c r="Y70" s="6">
        <f t="shared" si="15"/>
        <v>0.47085965394122498</v>
      </c>
      <c r="Z70" s="6">
        <f t="shared" si="16"/>
        <v>116.55226318245451</v>
      </c>
      <c r="AA70" s="2" t="str">
        <f t="shared" si="17"/>
        <v>No Maintenance</v>
      </c>
    </row>
    <row r="71" spans="1:27" x14ac:dyDescent="0.25">
      <c r="A71" s="2">
        <v>67</v>
      </c>
      <c r="B71" s="4">
        <v>46045</v>
      </c>
      <c r="C71" s="2" t="s">
        <v>29</v>
      </c>
      <c r="D71" s="2" t="s">
        <v>35</v>
      </c>
      <c r="E71" s="2" t="s">
        <v>31</v>
      </c>
      <c r="F71" s="2">
        <v>960</v>
      </c>
      <c r="G71" s="2">
        <v>692.7</v>
      </c>
      <c r="H71" s="2">
        <v>685.4</v>
      </c>
      <c r="I71" s="2">
        <v>7.3</v>
      </c>
      <c r="J71" s="2">
        <v>3.46</v>
      </c>
      <c r="K71" s="2" t="s">
        <v>42</v>
      </c>
      <c r="L71" s="2" t="s">
        <v>43</v>
      </c>
      <c r="M71" s="2">
        <v>1408.5</v>
      </c>
      <c r="N71" s="2">
        <v>232.5</v>
      </c>
      <c r="O71" s="2">
        <v>81091.3</v>
      </c>
      <c r="P71" s="2">
        <v>182</v>
      </c>
      <c r="Q71" s="2">
        <v>1.68</v>
      </c>
      <c r="R71" s="2">
        <v>766.25</v>
      </c>
      <c r="S71" s="5">
        <f t="shared" si="9"/>
        <v>0.7215625</v>
      </c>
      <c r="T71" s="5">
        <f t="shared" si="10"/>
        <v>0.5675</v>
      </c>
      <c r="U71" s="5">
        <f t="shared" si="11"/>
        <v>1.2714757709251103</v>
      </c>
      <c r="V71" s="5">
        <f t="shared" si="12"/>
        <v>0.98946152735671999</v>
      </c>
      <c r="W71" s="5">
        <f t="shared" si="13"/>
        <v>0.71395833333333336</v>
      </c>
      <c r="X71" s="5">
        <f t="shared" si="14"/>
        <v>1.0538472643279919E-2</v>
      </c>
      <c r="Y71" s="6">
        <f t="shared" si="15"/>
        <v>0.49179978700745475</v>
      </c>
      <c r="Z71" s="6">
        <f t="shared" si="16"/>
        <v>117.06554063808287</v>
      </c>
      <c r="AA71" s="2" t="str">
        <f t="shared" si="17"/>
        <v>Breakdown</v>
      </c>
    </row>
    <row r="72" spans="1:27" x14ac:dyDescent="0.25">
      <c r="A72" s="2">
        <v>68</v>
      </c>
      <c r="B72" s="4">
        <v>46045</v>
      </c>
      <c r="C72" s="2" t="s">
        <v>34</v>
      </c>
      <c r="D72" s="2" t="s">
        <v>30</v>
      </c>
      <c r="E72" s="2" t="s">
        <v>39</v>
      </c>
      <c r="F72" s="2">
        <v>991</v>
      </c>
      <c r="G72" s="2">
        <v>889.4</v>
      </c>
      <c r="H72" s="2">
        <v>861.7</v>
      </c>
      <c r="I72" s="2">
        <v>27.8</v>
      </c>
      <c r="J72" s="2">
        <v>0.23</v>
      </c>
      <c r="K72" s="2" t="s">
        <v>32</v>
      </c>
      <c r="L72" s="2" t="s">
        <v>33</v>
      </c>
      <c r="M72" s="2">
        <v>1853.3</v>
      </c>
      <c r="N72" s="2">
        <v>312.60000000000002</v>
      </c>
      <c r="O72" s="2">
        <v>109168.7</v>
      </c>
      <c r="P72" s="2">
        <v>176.5</v>
      </c>
      <c r="Q72" s="2">
        <v>1.43</v>
      </c>
      <c r="R72" s="2">
        <v>0</v>
      </c>
      <c r="S72" s="5">
        <f t="shared" si="9"/>
        <v>0.89747729566094847</v>
      </c>
      <c r="T72" s="5">
        <f t="shared" si="10"/>
        <v>0.97124999999999995</v>
      </c>
      <c r="U72" s="5">
        <f t="shared" si="11"/>
        <v>0.92404354765606023</v>
      </c>
      <c r="V72" s="5">
        <f t="shared" si="12"/>
        <v>0.96885540814031934</v>
      </c>
      <c r="W72" s="5">
        <f t="shared" si="13"/>
        <v>0.86952573158425828</v>
      </c>
      <c r="X72" s="5">
        <f t="shared" si="14"/>
        <v>3.1257027209354624E-2</v>
      </c>
      <c r="Y72" s="6">
        <f t="shared" si="15"/>
        <v>0.47990071763880643</v>
      </c>
      <c r="Z72" s="6">
        <f t="shared" si="16"/>
        <v>122.74420957949179</v>
      </c>
      <c r="AA72" s="2" t="str">
        <f t="shared" si="17"/>
        <v>No Maintenance</v>
      </c>
    </row>
    <row r="73" spans="1:27" x14ac:dyDescent="0.25">
      <c r="A73" s="2">
        <v>69</v>
      </c>
      <c r="B73" s="4">
        <v>46045</v>
      </c>
      <c r="C73" s="2" t="s">
        <v>36</v>
      </c>
      <c r="D73" s="2" t="s">
        <v>35</v>
      </c>
      <c r="E73" s="2" t="s">
        <v>39</v>
      </c>
      <c r="F73" s="2">
        <v>923</v>
      </c>
      <c r="G73" s="2">
        <v>773.4</v>
      </c>
      <c r="H73" s="2">
        <v>758.8</v>
      </c>
      <c r="I73" s="2">
        <v>14.6</v>
      </c>
      <c r="J73" s="2">
        <v>0.67</v>
      </c>
      <c r="K73" s="2" t="s">
        <v>37</v>
      </c>
      <c r="L73" s="2" t="s">
        <v>38</v>
      </c>
      <c r="M73" s="2">
        <v>1639.2</v>
      </c>
      <c r="N73" s="2">
        <v>256.60000000000002</v>
      </c>
      <c r="O73" s="2">
        <v>90976.3</v>
      </c>
      <c r="P73" s="2">
        <v>177.5</v>
      </c>
      <c r="Q73" s="2">
        <v>1.64</v>
      </c>
      <c r="R73" s="2">
        <v>430.85</v>
      </c>
      <c r="S73" s="5">
        <f t="shared" si="9"/>
        <v>0.83791982665222098</v>
      </c>
      <c r="T73" s="5">
        <f t="shared" si="10"/>
        <v>0.91625000000000001</v>
      </c>
      <c r="U73" s="5">
        <f t="shared" si="11"/>
        <v>0.91451004273093695</v>
      </c>
      <c r="V73" s="5">
        <f t="shared" si="12"/>
        <v>0.98112231704163433</v>
      </c>
      <c r="W73" s="5">
        <f t="shared" si="13"/>
        <v>0.82210184182015167</v>
      </c>
      <c r="X73" s="5">
        <f t="shared" si="14"/>
        <v>1.8877682958365657E-2</v>
      </c>
      <c r="Y73" s="6">
        <f t="shared" si="15"/>
        <v>0.47181551976573938</v>
      </c>
      <c r="Z73" s="6">
        <f t="shared" si="16"/>
        <v>117.63162658391519</v>
      </c>
      <c r="AA73" s="2" t="str">
        <f t="shared" si="17"/>
        <v>Breakdown</v>
      </c>
    </row>
    <row r="74" spans="1:27" x14ac:dyDescent="0.25">
      <c r="A74" s="2">
        <v>70</v>
      </c>
      <c r="B74" s="4">
        <v>46046</v>
      </c>
      <c r="C74" s="2" t="s">
        <v>29</v>
      </c>
      <c r="D74" s="2" t="s">
        <v>30</v>
      </c>
      <c r="E74" s="2" t="s">
        <v>31</v>
      </c>
      <c r="F74" s="2">
        <v>912</v>
      </c>
      <c r="G74" s="2">
        <v>709.6</v>
      </c>
      <c r="H74" s="2">
        <v>697.4</v>
      </c>
      <c r="I74" s="2">
        <v>12.2</v>
      </c>
      <c r="J74" s="2">
        <v>1.1599999999999999</v>
      </c>
      <c r="K74" s="2" t="s">
        <v>42</v>
      </c>
      <c r="L74" s="2" t="s">
        <v>43</v>
      </c>
      <c r="M74" s="2">
        <v>1452.8</v>
      </c>
      <c r="N74" s="2">
        <v>213.9</v>
      </c>
      <c r="O74" s="2">
        <v>91274.1</v>
      </c>
      <c r="P74" s="2">
        <v>178.2</v>
      </c>
      <c r="Q74" s="2">
        <v>1.72</v>
      </c>
      <c r="R74" s="2">
        <v>1533.81</v>
      </c>
      <c r="S74" s="5">
        <f t="shared" si="9"/>
        <v>0.77807017543859647</v>
      </c>
      <c r="T74" s="5">
        <f t="shared" si="10"/>
        <v>0.85499999999999998</v>
      </c>
      <c r="U74" s="5">
        <f t="shared" si="11"/>
        <v>0.91002359700420643</v>
      </c>
      <c r="V74" s="5">
        <f t="shared" si="12"/>
        <v>0.98280721533258164</v>
      </c>
      <c r="W74" s="5">
        <f t="shared" si="13"/>
        <v>0.76469298245614026</v>
      </c>
      <c r="X74" s="5">
        <f t="shared" si="14"/>
        <v>1.7192784667418262E-2</v>
      </c>
      <c r="Y74" s="6">
        <f t="shared" si="15"/>
        <v>0.48843612334801767</v>
      </c>
      <c r="Z74" s="6">
        <f t="shared" si="16"/>
        <v>128.62753664036077</v>
      </c>
      <c r="AA74" s="2" t="str">
        <f t="shared" si="17"/>
        <v>Breakdown</v>
      </c>
    </row>
    <row r="75" spans="1:27" x14ac:dyDescent="0.25">
      <c r="A75" s="2">
        <v>71</v>
      </c>
      <c r="B75" s="4">
        <v>46046</v>
      </c>
      <c r="C75" s="2" t="s">
        <v>34</v>
      </c>
      <c r="D75" s="2" t="s">
        <v>30</v>
      </c>
      <c r="E75" s="2" t="s">
        <v>31</v>
      </c>
      <c r="F75" s="2">
        <v>997</v>
      </c>
      <c r="G75" s="2">
        <v>801.9</v>
      </c>
      <c r="H75" s="2">
        <v>789.3</v>
      </c>
      <c r="I75" s="2">
        <v>12.6</v>
      </c>
      <c r="J75" s="2">
        <v>0.3</v>
      </c>
      <c r="K75" s="2" t="s">
        <v>32</v>
      </c>
      <c r="L75" s="2" t="s">
        <v>33</v>
      </c>
      <c r="M75" s="2">
        <v>1674.6</v>
      </c>
      <c r="N75" s="2">
        <v>278.89999999999998</v>
      </c>
      <c r="O75" s="2">
        <v>86830.6</v>
      </c>
      <c r="P75" s="2">
        <v>179</v>
      </c>
      <c r="Q75" s="2">
        <v>1.83</v>
      </c>
      <c r="R75" s="2">
        <v>0</v>
      </c>
      <c r="S75" s="5">
        <f t="shared" si="9"/>
        <v>0.80431293881644927</v>
      </c>
      <c r="T75" s="5">
        <f t="shared" si="10"/>
        <v>0.96250000000000002</v>
      </c>
      <c r="U75" s="5">
        <f t="shared" si="11"/>
        <v>0.83564980656254473</v>
      </c>
      <c r="V75" s="5">
        <f t="shared" si="12"/>
        <v>0.98428731762065091</v>
      </c>
      <c r="W75" s="5">
        <f t="shared" si="13"/>
        <v>0.79167502507522558</v>
      </c>
      <c r="X75" s="5">
        <f t="shared" si="14"/>
        <v>1.5712682379349047E-2</v>
      </c>
      <c r="Y75" s="6">
        <f t="shared" si="15"/>
        <v>0.4788606234324615</v>
      </c>
      <c r="Z75" s="6">
        <f t="shared" si="16"/>
        <v>108.28108242923059</v>
      </c>
      <c r="AA75" s="2" t="str">
        <f t="shared" si="17"/>
        <v>No Maintenance</v>
      </c>
    </row>
    <row r="76" spans="1:27" x14ac:dyDescent="0.25">
      <c r="A76" s="2">
        <v>72</v>
      </c>
      <c r="B76" s="4">
        <v>46046</v>
      </c>
      <c r="C76" s="2" t="s">
        <v>36</v>
      </c>
      <c r="D76" s="2" t="s">
        <v>30</v>
      </c>
      <c r="E76" s="2" t="s">
        <v>31</v>
      </c>
      <c r="F76" s="2">
        <v>973</v>
      </c>
      <c r="G76" s="2">
        <v>553.5</v>
      </c>
      <c r="H76" s="2">
        <v>544.6</v>
      </c>
      <c r="I76" s="2">
        <v>9</v>
      </c>
      <c r="J76" s="2">
        <v>2.98</v>
      </c>
      <c r="K76" s="2" t="s">
        <v>40</v>
      </c>
      <c r="L76" s="2" t="s">
        <v>41</v>
      </c>
      <c r="M76" s="2">
        <v>1156.9000000000001</v>
      </c>
      <c r="N76" s="2">
        <v>195.6</v>
      </c>
      <c r="O76" s="2">
        <v>67965.3</v>
      </c>
      <c r="P76" s="2">
        <v>168</v>
      </c>
      <c r="Q76" s="2">
        <v>1.58</v>
      </c>
      <c r="R76" s="2">
        <v>258.44</v>
      </c>
      <c r="S76" s="5">
        <f t="shared" si="9"/>
        <v>0.56885919835560128</v>
      </c>
      <c r="T76" s="5">
        <f t="shared" si="10"/>
        <v>0.62749999999999995</v>
      </c>
      <c r="U76" s="5">
        <f t="shared" si="11"/>
        <v>0.90654852327585855</v>
      </c>
      <c r="V76" s="5">
        <f t="shared" si="12"/>
        <v>0.98392050587172541</v>
      </c>
      <c r="W76" s="5">
        <f t="shared" si="13"/>
        <v>0.55971223021582728</v>
      </c>
      <c r="X76" s="5">
        <f t="shared" si="14"/>
        <v>1.6260162601626018E-2</v>
      </c>
      <c r="Y76" s="6">
        <f t="shared" si="15"/>
        <v>0.47843374535396316</v>
      </c>
      <c r="Z76" s="6">
        <f t="shared" si="16"/>
        <v>122.79186991869919</v>
      </c>
      <c r="AA76" s="2" t="str">
        <f t="shared" si="17"/>
        <v>Planned</v>
      </c>
    </row>
    <row r="77" spans="1:27" x14ac:dyDescent="0.25">
      <c r="A77" s="2">
        <v>73</v>
      </c>
      <c r="B77" s="4">
        <v>46047</v>
      </c>
      <c r="C77" s="2" t="s">
        <v>29</v>
      </c>
      <c r="D77" s="2" t="s">
        <v>30</v>
      </c>
      <c r="E77" s="2" t="s">
        <v>45</v>
      </c>
      <c r="F77" s="2">
        <v>1034</v>
      </c>
      <c r="G77" s="2">
        <v>656.5</v>
      </c>
      <c r="H77" s="2">
        <v>647.29999999999995</v>
      </c>
      <c r="I77" s="2">
        <v>9.1999999999999993</v>
      </c>
      <c r="J77" s="2">
        <v>2.91</v>
      </c>
      <c r="K77" s="2" t="s">
        <v>42</v>
      </c>
      <c r="L77" s="2" t="s">
        <v>38</v>
      </c>
      <c r="M77" s="2">
        <v>1332.9</v>
      </c>
      <c r="N77" s="2">
        <v>199.9</v>
      </c>
      <c r="O77" s="2">
        <v>74483.899999999994</v>
      </c>
      <c r="P77" s="2">
        <v>180.2</v>
      </c>
      <c r="Q77" s="2">
        <v>1.55</v>
      </c>
      <c r="R77" s="2">
        <v>752.44</v>
      </c>
      <c r="S77" s="5">
        <f t="shared" si="9"/>
        <v>0.63491295938104453</v>
      </c>
      <c r="T77" s="5">
        <f t="shared" si="10"/>
        <v>0.63624999999999998</v>
      </c>
      <c r="U77" s="5">
        <f t="shared" si="11"/>
        <v>0.99789856091323303</v>
      </c>
      <c r="V77" s="5">
        <f t="shared" si="12"/>
        <v>0.98598629093678591</v>
      </c>
      <c r="W77" s="5">
        <f t="shared" si="13"/>
        <v>0.62601547388781431</v>
      </c>
      <c r="X77" s="5">
        <f t="shared" si="14"/>
        <v>1.4013709063214013E-2</v>
      </c>
      <c r="Y77" s="6">
        <f t="shared" si="15"/>
        <v>0.49253507389901713</v>
      </c>
      <c r="Z77" s="6">
        <f t="shared" si="16"/>
        <v>113.45605483625285</v>
      </c>
      <c r="AA77" s="2" t="str">
        <f t="shared" si="17"/>
        <v>Breakdown</v>
      </c>
    </row>
    <row r="78" spans="1:27" x14ac:dyDescent="0.25">
      <c r="A78" s="2">
        <v>74</v>
      </c>
      <c r="B78" s="4">
        <v>46047</v>
      </c>
      <c r="C78" s="2" t="s">
        <v>34</v>
      </c>
      <c r="D78" s="2" t="s">
        <v>35</v>
      </c>
      <c r="E78" s="2" t="s">
        <v>39</v>
      </c>
      <c r="F78" s="2">
        <v>929</v>
      </c>
      <c r="G78" s="2">
        <v>838</v>
      </c>
      <c r="H78" s="2">
        <v>825</v>
      </c>
      <c r="I78" s="2">
        <v>13</v>
      </c>
      <c r="J78" s="2">
        <v>0.21</v>
      </c>
      <c r="K78" s="2" t="s">
        <v>32</v>
      </c>
      <c r="L78" s="2" t="s">
        <v>33</v>
      </c>
      <c r="M78" s="2">
        <v>1721.7</v>
      </c>
      <c r="N78" s="2">
        <v>275.10000000000002</v>
      </c>
      <c r="O78" s="2">
        <v>98301.7</v>
      </c>
      <c r="P78" s="2">
        <v>183.3</v>
      </c>
      <c r="Q78" s="2">
        <v>1.73</v>
      </c>
      <c r="R78" s="2">
        <v>0</v>
      </c>
      <c r="S78" s="5">
        <f t="shared" si="9"/>
        <v>0.90204520990312165</v>
      </c>
      <c r="T78" s="5">
        <f t="shared" si="10"/>
        <v>0.97375</v>
      </c>
      <c r="U78" s="5">
        <f t="shared" si="11"/>
        <v>0.9263622181290081</v>
      </c>
      <c r="V78" s="5">
        <f t="shared" si="12"/>
        <v>0.98448687350835318</v>
      </c>
      <c r="W78" s="5">
        <f t="shared" si="13"/>
        <v>0.88805166846071038</v>
      </c>
      <c r="X78" s="5">
        <f t="shared" si="14"/>
        <v>1.5513126491646777E-2</v>
      </c>
      <c r="Y78" s="6">
        <f t="shared" si="15"/>
        <v>0.48672823372248358</v>
      </c>
      <c r="Z78" s="6">
        <f t="shared" si="16"/>
        <v>117.30513126491647</v>
      </c>
      <c r="AA78" s="2" t="str">
        <f t="shared" si="17"/>
        <v>No Maintenance</v>
      </c>
    </row>
    <row r="79" spans="1:27" x14ac:dyDescent="0.25">
      <c r="A79" s="2">
        <v>75</v>
      </c>
      <c r="B79" s="4">
        <v>46047</v>
      </c>
      <c r="C79" s="2" t="s">
        <v>36</v>
      </c>
      <c r="D79" s="2" t="s">
        <v>30</v>
      </c>
      <c r="E79" s="2" t="s">
        <v>31</v>
      </c>
      <c r="F79" s="2">
        <v>909</v>
      </c>
      <c r="G79" s="2">
        <v>731.2</v>
      </c>
      <c r="H79" s="2">
        <v>718.9</v>
      </c>
      <c r="I79" s="2">
        <v>12.3</v>
      </c>
      <c r="J79" s="2">
        <v>0.05</v>
      </c>
      <c r="K79" s="2" t="s">
        <v>32</v>
      </c>
      <c r="L79" s="2" t="s">
        <v>33</v>
      </c>
      <c r="M79" s="2">
        <v>1505.3</v>
      </c>
      <c r="N79" s="2">
        <v>223.2</v>
      </c>
      <c r="O79" s="2">
        <v>89998.399999999994</v>
      </c>
      <c r="P79" s="2">
        <v>184.5</v>
      </c>
      <c r="Q79" s="2">
        <v>1.96</v>
      </c>
      <c r="R79" s="2">
        <v>0</v>
      </c>
      <c r="S79" s="5">
        <f t="shared" si="9"/>
        <v>0.80440044004400446</v>
      </c>
      <c r="T79" s="5">
        <f t="shared" si="10"/>
        <v>0.99375000000000002</v>
      </c>
      <c r="U79" s="5">
        <f t="shared" si="11"/>
        <v>0.80945956230843208</v>
      </c>
      <c r="V79" s="5">
        <f t="shared" si="12"/>
        <v>0.98317833698030621</v>
      </c>
      <c r="W79" s="5">
        <f t="shared" si="13"/>
        <v>0.79086908690869073</v>
      </c>
      <c r="X79" s="5">
        <f t="shared" si="14"/>
        <v>1.6821663019693654E-2</v>
      </c>
      <c r="Y79" s="6">
        <f t="shared" si="15"/>
        <v>0.48575034876768752</v>
      </c>
      <c r="Z79" s="6">
        <f t="shared" si="16"/>
        <v>123.0831509846827</v>
      </c>
      <c r="AA79" s="2" t="str">
        <f t="shared" si="17"/>
        <v>No Maintenance</v>
      </c>
    </row>
    <row r="80" spans="1:27" x14ac:dyDescent="0.25">
      <c r="A80" s="2">
        <v>76</v>
      </c>
      <c r="B80" s="4">
        <v>46048</v>
      </c>
      <c r="C80" s="2" t="s">
        <v>29</v>
      </c>
      <c r="D80" s="2" t="s">
        <v>35</v>
      </c>
      <c r="E80" s="2" t="s">
        <v>31</v>
      </c>
      <c r="F80" s="2">
        <v>978</v>
      </c>
      <c r="G80" s="2">
        <v>746.5</v>
      </c>
      <c r="H80" s="2">
        <v>732.8</v>
      </c>
      <c r="I80" s="2">
        <v>13.7</v>
      </c>
      <c r="J80" s="2">
        <v>1.57</v>
      </c>
      <c r="K80" s="2" t="s">
        <v>48</v>
      </c>
      <c r="L80" s="2" t="s">
        <v>38</v>
      </c>
      <c r="M80" s="2">
        <v>1599.4</v>
      </c>
      <c r="N80" s="2">
        <v>249.6</v>
      </c>
      <c r="O80" s="2">
        <v>94912.9</v>
      </c>
      <c r="P80" s="2">
        <v>175.6</v>
      </c>
      <c r="Q80" s="2">
        <v>1.44</v>
      </c>
      <c r="R80" s="2">
        <v>589.19000000000005</v>
      </c>
      <c r="S80" s="5">
        <f t="shared" si="9"/>
        <v>0.76329243353783227</v>
      </c>
      <c r="T80" s="5">
        <f t="shared" si="10"/>
        <v>0.80374999999999996</v>
      </c>
      <c r="U80" s="5">
        <f t="shared" si="11"/>
        <v>0.94966399195997797</v>
      </c>
      <c r="V80" s="5">
        <f t="shared" si="12"/>
        <v>0.98164768921634282</v>
      </c>
      <c r="W80" s="5">
        <f t="shared" si="13"/>
        <v>0.74928425357873196</v>
      </c>
      <c r="X80" s="5">
        <f t="shared" si="14"/>
        <v>1.8352310783657066E-2</v>
      </c>
      <c r="Y80" s="6">
        <f t="shared" si="15"/>
        <v>0.46673752657246464</v>
      </c>
      <c r="Z80" s="6">
        <f t="shared" si="16"/>
        <v>127.14387139986603</v>
      </c>
      <c r="AA80" s="2" t="str">
        <f t="shared" si="17"/>
        <v>Breakdown</v>
      </c>
    </row>
    <row r="81" spans="1:27" x14ac:dyDescent="0.25">
      <c r="A81" s="2">
        <v>77</v>
      </c>
      <c r="B81" s="4">
        <v>46048</v>
      </c>
      <c r="C81" s="2" t="s">
        <v>34</v>
      </c>
      <c r="D81" s="2" t="s">
        <v>30</v>
      </c>
      <c r="E81" s="2" t="s">
        <v>31</v>
      </c>
      <c r="F81" s="2">
        <v>921</v>
      </c>
      <c r="G81" s="2">
        <v>568.9</v>
      </c>
      <c r="H81" s="2">
        <v>562.20000000000005</v>
      </c>
      <c r="I81" s="2">
        <v>6.7</v>
      </c>
      <c r="J81" s="2">
        <v>2.87</v>
      </c>
      <c r="K81" s="2" t="s">
        <v>42</v>
      </c>
      <c r="L81" s="2" t="s">
        <v>43</v>
      </c>
      <c r="M81" s="2">
        <v>1181.7</v>
      </c>
      <c r="N81" s="2">
        <v>178.6</v>
      </c>
      <c r="O81" s="2">
        <v>65874.5</v>
      </c>
      <c r="P81" s="2">
        <v>182.4</v>
      </c>
      <c r="Q81" s="2">
        <v>1.82</v>
      </c>
      <c r="R81" s="2">
        <v>1322.46</v>
      </c>
      <c r="S81" s="5">
        <f t="shared" si="9"/>
        <v>0.61769815418023888</v>
      </c>
      <c r="T81" s="5">
        <f t="shared" si="10"/>
        <v>0.64124999999999999</v>
      </c>
      <c r="U81" s="5">
        <f t="shared" si="11"/>
        <v>0.96327197532980724</v>
      </c>
      <c r="V81" s="5">
        <f t="shared" si="12"/>
        <v>0.98822288627175259</v>
      </c>
      <c r="W81" s="5">
        <f t="shared" si="13"/>
        <v>0.61042345276872967</v>
      </c>
      <c r="X81" s="5">
        <f t="shared" si="14"/>
        <v>1.1777113728247496E-2</v>
      </c>
      <c r="Y81" s="6">
        <f t="shared" si="15"/>
        <v>0.48142506558348136</v>
      </c>
      <c r="Z81" s="6">
        <f t="shared" si="16"/>
        <v>115.79275795394622</v>
      </c>
      <c r="AA81" s="2" t="str">
        <f t="shared" si="17"/>
        <v>Breakdown</v>
      </c>
    </row>
    <row r="82" spans="1:27" x14ac:dyDescent="0.25">
      <c r="A82" s="2">
        <v>78</v>
      </c>
      <c r="B82" s="4">
        <v>46048</v>
      </c>
      <c r="C82" s="2" t="s">
        <v>36</v>
      </c>
      <c r="D82" s="2" t="s">
        <v>35</v>
      </c>
      <c r="E82" s="2" t="s">
        <v>39</v>
      </c>
      <c r="F82" s="2">
        <v>1045</v>
      </c>
      <c r="G82" s="2">
        <v>712.3</v>
      </c>
      <c r="H82" s="2">
        <v>695.8</v>
      </c>
      <c r="I82" s="2">
        <v>16.5</v>
      </c>
      <c r="J82" s="2">
        <v>1.48</v>
      </c>
      <c r="K82" s="2" t="s">
        <v>46</v>
      </c>
      <c r="L82" s="2" t="s">
        <v>43</v>
      </c>
      <c r="M82" s="2">
        <v>1406.5</v>
      </c>
      <c r="N82" s="2">
        <v>232</v>
      </c>
      <c r="O82" s="2">
        <v>86234.3</v>
      </c>
      <c r="P82" s="2">
        <v>174.5</v>
      </c>
      <c r="Q82" s="2">
        <v>1.75</v>
      </c>
      <c r="R82" s="2">
        <v>1035.5899999999999</v>
      </c>
      <c r="S82" s="5">
        <f t="shared" si="9"/>
        <v>0.68162679425837314</v>
      </c>
      <c r="T82" s="5">
        <f t="shared" si="10"/>
        <v>0.81499999999999995</v>
      </c>
      <c r="U82" s="5">
        <f t="shared" si="11"/>
        <v>0.83635189479554994</v>
      </c>
      <c r="V82" s="5">
        <f t="shared" si="12"/>
        <v>0.97683560297627403</v>
      </c>
      <c r="W82" s="5">
        <f t="shared" si="13"/>
        <v>0.66583732057416256</v>
      </c>
      <c r="X82" s="5">
        <f t="shared" si="14"/>
        <v>2.3164397023725958E-2</v>
      </c>
      <c r="Y82" s="6">
        <f t="shared" si="15"/>
        <v>0.50643441166014924</v>
      </c>
      <c r="Z82" s="6">
        <f t="shared" si="16"/>
        <v>121.06457953109646</v>
      </c>
      <c r="AA82" s="2" t="str">
        <f t="shared" si="17"/>
        <v>Breakdown</v>
      </c>
    </row>
    <row r="83" spans="1:27" x14ac:dyDescent="0.25">
      <c r="A83" s="2">
        <v>79</v>
      </c>
      <c r="B83" s="4">
        <v>46049</v>
      </c>
      <c r="C83" s="2" t="s">
        <v>29</v>
      </c>
      <c r="D83" s="2" t="s">
        <v>30</v>
      </c>
      <c r="E83" s="2" t="s">
        <v>31</v>
      </c>
      <c r="F83" s="2">
        <v>1029</v>
      </c>
      <c r="G83" s="2">
        <v>854.6</v>
      </c>
      <c r="H83" s="2">
        <v>832.4</v>
      </c>
      <c r="I83" s="2">
        <v>22.2</v>
      </c>
      <c r="J83" s="2">
        <v>0.02</v>
      </c>
      <c r="K83" s="2" t="s">
        <v>32</v>
      </c>
      <c r="L83" s="2" t="s">
        <v>33</v>
      </c>
      <c r="M83" s="2">
        <v>1634.4</v>
      </c>
      <c r="N83" s="2">
        <v>275</v>
      </c>
      <c r="O83" s="2">
        <v>103917.8</v>
      </c>
      <c r="P83" s="2">
        <v>172.1</v>
      </c>
      <c r="Q83" s="2">
        <v>1.43</v>
      </c>
      <c r="R83" s="2">
        <v>0</v>
      </c>
      <c r="S83" s="5">
        <f t="shared" si="9"/>
        <v>0.8305150631681244</v>
      </c>
      <c r="T83" s="5">
        <f t="shared" si="10"/>
        <v>0.99750000000000005</v>
      </c>
      <c r="U83" s="5">
        <f t="shared" si="11"/>
        <v>0.83259655455451065</v>
      </c>
      <c r="V83" s="5">
        <f t="shared" si="12"/>
        <v>0.97402293470629531</v>
      </c>
      <c r="W83" s="5">
        <f t="shared" si="13"/>
        <v>0.8089407191448007</v>
      </c>
      <c r="X83" s="5">
        <f t="shared" si="14"/>
        <v>2.5977065293704655E-2</v>
      </c>
      <c r="Y83" s="6">
        <f t="shared" si="15"/>
        <v>0.52288301517376401</v>
      </c>
      <c r="Z83" s="6">
        <f t="shared" si="16"/>
        <v>121.59817458460098</v>
      </c>
      <c r="AA83" s="2" t="str">
        <f t="shared" si="17"/>
        <v>No Maintenance</v>
      </c>
    </row>
    <row r="84" spans="1:27" x14ac:dyDescent="0.25">
      <c r="A84" s="2">
        <v>80</v>
      </c>
      <c r="B84" s="4">
        <v>46049</v>
      </c>
      <c r="C84" s="2" t="s">
        <v>34</v>
      </c>
      <c r="D84" s="2" t="s">
        <v>30</v>
      </c>
      <c r="E84" s="2" t="s">
        <v>31</v>
      </c>
      <c r="F84" s="2">
        <v>961</v>
      </c>
      <c r="G84" s="2">
        <v>646.1</v>
      </c>
      <c r="H84" s="2">
        <v>636.29999999999995</v>
      </c>
      <c r="I84" s="2">
        <v>9.8000000000000007</v>
      </c>
      <c r="J84" s="2">
        <v>2.0499999999999998</v>
      </c>
      <c r="K84" s="2" t="s">
        <v>44</v>
      </c>
      <c r="L84" s="2" t="s">
        <v>38</v>
      </c>
      <c r="M84" s="2">
        <v>1352.9</v>
      </c>
      <c r="N84" s="2">
        <v>212</v>
      </c>
      <c r="O84" s="2">
        <v>81406.399999999994</v>
      </c>
      <c r="P84" s="2">
        <v>176.8</v>
      </c>
      <c r="Q84" s="2">
        <v>1.87</v>
      </c>
      <c r="R84" s="2">
        <v>503.72</v>
      </c>
      <c r="S84" s="5">
        <f t="shared" si="9"/>
        <v>0.67232049947970862</v>
      </c>
      <c r="T84" s="5">
        <f t="shared" si="10"/>
        <v>0.74375000000000002</v>
      </c>
      <c r="U84" s="5">
        <f t="shared" si="11"/>
        <v>0.9039603354349024</v>
      </c>
      <c r="V84" s="5">
        <f t="shared" si="12"/>
        <v>0.98483206933911149</v>
      </c>
      <c r="W84" s="5">
        <f t="shared" si="13"/>
        <v>0.66212278876170649</v>
      </c>
      <c r="X84" s="5">
        <f t="shared" si="14"/>
        <v>1.5167930660888408E-2</v>
      </c>
      <c r="Y84" s="6">
        <f t="shared" si="15"/>
        <v>0.4775667085519994</v>
      </c>
      <c r="Z84" s="6">
        <f t="shared" si="16"/>
        <v>125.99659495434142</v>
      </c>
      <c r="AA84" s="2" t="str">
        <f t="shared" si="17"/>
        <v>Breakdown</v>
      </c>
    </row>
    <row r="85" spans="1:27" x14ac:dyDescent="0.25">
      <c r="A85" s="2">
        <v>81</v>
      </c>
      <c r="B85" s="4">
        <v>46049</v>
      </c>
      <c r="C85" s="2" t="s">
        <v>36</v>
      </c>
      <c r="D85" s="2" t="s">
        <v>30</v>
      </c>
      <c r="E85" s="2" t="s">
        <v>45</v>
      </c>
      <c r="F85" s="2">
        <v>960</v>
      </c>
      <c r="G85" s="2">
        <v>726.4</v>
      </c>
      <c r="H85" s="2">
        <v>717.6</v>
      </c>
      <c r="I85" s="2">
        <v>8.8000000000000007</v>
      </c>
      <c r="J85" s="2">
        <v>0.28000000000000003</v>
      </c>
      <c r="K85" s="2" t="s">
        <v>32</v>
      </c>
      <c r="L85" s="2" t="s">
        <v>33</v>
      </c>
      <c r="M85" s="2">
        <v>1432.4</v>
      </c>
      <c r="N85" s="2">
        <v>213.3</v>
      </c>
      <c r="O85" s="2">
        <v>88746.2</v>
      </c>
      <c r="P85" s="2">
        <v>181.6</v>
      </c>
      <c r="Q85" s="2">
        <v>1.7</v>
      </c>
      <c r="R85" s="2">
        <v>0</v>
      </c>
      <c r="S85" s="5">
        <f t="shared" si="9"/>
        <v>0.7566666666666666</v>
      </c>
      <c r="T85" s="5">
        <f t="shared" si="10"/>
        <v>0.96499999999999997</v>
      </c>
      <c r="U85" s="5">
        <f t="shared" si="11"/>
        <v>0.78411053540587217</v>
      </c>
      <c r="V85" s="5">
        <f t="shared" si="12"/>
        <v>0.98788546255506615</v>
      </c>
      <c r="W85" s="5">
        <f t="shared" si="13"/>
        <v>0.74749999999999994</v>
      </c>
      <c r="X85" s="5">
        <f t="shared" si="14"/>
        <v>1.2114537444933923E-2</v>
      </c>
      <c r="Y85" s="6">
        <f t="shared" si="15"/>
        <v>0.50712091594526665</v>
      </c>
      <c r="Z85" s="6">
        <f t="shared" si="16"/>
        <v>122.1726321585903</v>
      </c>
      <c r="AA85" s="2" t="str">
        <f t="shared" si="17"/>
        <v>No Maintenance</v>
      </c>
    </row>
    <row r="86" spans="1:27" x14ac:dyDescent="0.25">
      <c r="A86" s="2">
        <v>82</v>
      </c>
      <c r="B86" s="4">
        <v>46050</v>
      </c>
      <c r="C86" s="2" t="s">
        <v>29</v>
      </c>
      <c r="D86" s="2" t="s">
        <v>30</v>
      </c>
      <c r="E86" s="2" t="s">
        <v>39</v>
      </c>
      <c r="F86" s="2">
        <v>907</v>
      </c>
      <c r="G86" s="2">
        <v>816.2</v>
      </c>
      <c r="H86" s="2">
        <v>802.3</v>
      </c>
      <c r="I86" s="2">
        <v>13.9</v>
      </c>
      <c r="J86" s="2">
        <v>0.37</v>
      </c>
      <c r="K86" s="2" t="s">
        <v>32</v>
      </c>
      <c r="L86" s="2" t="s">
        <v>33</v>
      </c>
      <c r="M86" s="2">
        <v>1607.3</v>
      </c>
      <c r="N86" s="2">
        <v>240.3</v>
      </c>
      <c r="O86" s="2">
        <v>93372.4</v>
      </c>
      <c r="P86" s="2">
        <v>179.1</v>
      </c>
      <c r="Q86" s="2">
        <v>1.83</v>
      </c>
      <c r="R86" s="2">
        <v>0</v>
      </c>
      <c r="S86" s="5">
        <f t="shared" si="9"/>
        <v>0.89988974641675856</v>
      </c>
      <c r="T86" s="5">
        <f t="shared" si="10"/>
        <v>0.95374999999999999</v>
      </c>
      <c r="U86" s="5">
        <f t="shared" si="11"/>
        <v>0.94352791236357392</v>
      </c>
      <c r="V86" s="5">
        <f t="shared" si="12"/>
        <v>0.98296986032835076</v>
      </c>
      <c r="W86" s="5">
        <f t="shared" si="13"/>
        <v>0.8845644983461961</v>
      </c>
      <c r="X86" s="5">
        <f t="shared" si="14"/>
        <v>1.7030139671649104E-2</v>
      </c>
      <c r="Y86" s="6">
        <f t="shared" si="15"/>
        <v>0.50780812542773601</v>
      </c>
      <c r="Z86" s="6">
        <f t="shared" si="16"/>
        <v>114.39892183288408</v>
      </c>
      <c r="AA86" s="2" t="str">
        <f t="shared" si="17"/>
        <v>No Maintenance</v>
      </c>
    </row>
    <row r="87" spans="1:27" x14ac:dyDescent="0.25">
      <c r="A87" s="2">
        <v>83</v>
      </c>
      <c r="B87" s="4">
        <v>46050</v>
      </c>
      <c r="C87" s="2" t="s">
        <v>34</v>
      </c>
      <c r="D87" s="2" t="s">
        <v>35</v>
      </c>
      <c r="E87" s="2" t="s">
        <v>45</v>
      </c>
      <c r="F87" s="2">
        <v>1001</v>
      </c>
      <c r="G87" s="2">
        <v>671.1</v>
      </c>
      <c r="H87" s="2">
        <v>658.8</v>
      </c>
      <c r="I87" s="2">
        <v>12.3</v>
      </c>
      <c r="J87" s="2">
        <v>3.55</v>
      </c>
      <c r="K87" s="2" t="s">
        <v>48</v>
      </c>
      <c r="L87" s="2" t="s">
        <v>43</v>
      </c>
      <c r="M87" s="2">
        <v>1356.1</v>
      </c>
      <c r="N87" s="2">
        <v>218.1</v>
      </c>
      <c r="O87" s="2">
        <v>79448.600000000006</v>
      </c>
      <c r="P87" s="2">
        <v>176.9</v>
      </c>
      <c r="Q87" s="2">
        <v>1.76</v>
      </c>
      <c r="R87" s="2">
        <v>1532.6</v>
      </c>
      <c r="S87" s="5">
        <f t="shared" si="9"/>
        <v>0.67042957042957041</v>
      </c>
      <c r="T87" s="5">
        <f t="shared" si="10"/>
        <v>0.55625000000000002</v>
      </c>
      <c r="U87" s="5">
        <f t="shared" si="11"/>
        <v>1.2052666434688908</v>
      </c>
      <c r="V87" s="5">
        <f t="shared" si="12"/>
        <v>0.98167188198480093</v>
      </c>
      <c r="W87" s="5">
        <f t="shared" si="13"/>
        <v>0.6581418581418581</v>
      </c>
      <c r="X87" s="5">
        <f t="shared" si="14"/>
        <v>1.8328118015198926E-2</v>
      </c>
      <c r="Y87" s="6">
        <f t="shared" si="15"/>
        <v>0.49487500921760935</v>
      </c>
      <c r="Z87" s="6">
        <f t="shared" si="16"/>
        <v>118.38563552376695</v>
      </c>
      <c r="AA87" s="2" t="str">
        <f t="shared" si="17"/>
        <v>Breakdown</v>
      </c>
    </row>
    <row r="88" spans="1:27" x14ac:dyDescent="0.25">
      <c r="A88" s="2">
        <v>84</v>
      </c>
      <c r="B88" s="4">
        <v>46050</v>
      </c>
      <c r="C88" s="2" t="s">
        <v>36</v>
      </c>
      <c r="D88" s="2" t="s">
        <v>30</v>
      </c>
      <c r="E88" s="2" t="s">
        <v>31</v>
      </c>
      <c r="F88" s="2">
        <v>1011</v>
      </c>
      <c r="G88" s="2">
        <v>743.8</v>
      </c>
      <c r="H88" s="2">
        <v>722.9</v>
      </c>
      <c r="I88" s="2">
        <v>20.9</v>
      </c>
      <c r="J88" s="2">
        <v>0.3</v>
      </c>
      <c r="K88" s="2" t="s">
        <v>32</v>
      </c>
      <c r="L88" s="2" t="s">
        <v>33</v>
      </c>
      <c r="M88" s="2">
        <v>1473.8</v>
      </c>
      <c r="N88" s="2">
        <v>231.4</v>
      </c>
      <c r="O88" s="2">
        <v>84676.800000000003</v>
      </c>
      <c r="P88" s="2">
        <v>179.4</v>
      </c>
      <c r="Q88" s="2">
        <v>1.53</v>
      </c>
      <c r="R88" s="2">
        <v>0</v>
      </c>
      <c r="S88" s="5">
        <f t="shared" si="9"/>
        <v>0.73570722057368942</v>
      </c>
      <c r="T88" s="5">
        <f t="shared" si="10"/>
        <v>0.96250000000000002</v>
      </c>
      <c r="U88" s="5">
        <f t="shared" si="11"/>
        <v>0.76437113825837855</v>
      </c>
      <c r="V88" s="5">
        <f t="shared" si="12"/>
        <v>0.97190104866899707</v>
      </c>
      <c r="W88" s="5">
        <f t="shared" si="13"/>
        <v>0.71503461918892175</v>
      </c>
      <c r="X88" s="5">
        <f t="shared" si="14"/>
        <v>2.8098951331002958E-2</v>
      </c>
      <c r="Y88" s="6">
        <f t="shared" si="15"/>
        <v>0.50468177500339262</v>
      </c>
      <c r="Z88" s="6">
        <f t="shared" si="16"/>
        <v>113.84350631890294</v>
      </c>
      <c r="AA88" s="2" t="str">
        <f t="shared" si="17"/>
        <v>No Maintenance</v>
      </c>
    </row>
    <row r="89" spans="1:27" x14ac:dyDescent="0.25">
      <c r="A89" s="2">
        <v>85</v>
      </c>
      <c r="B89" s="4">
        <v>46051</v>
      </c>
      <c r="C89" s="2" t="s">
        <v>29</v>
      </c>
      <c r="D89" s="2" t="s">
        <v>30</v>
      </c>
      <c r="E89" s="2" t="s">
        <v>45</v>
      </c>
      <c r="F89" s="2">
        <v>920</v>
      </c>
      <c r="G89" s="2">
        <v>647.6</v>
      </c>
      <c r="H89" s="2">
        <v>640.79999999999995</v>
      </c>
      <c r="I89" s="2">
        <v>6.8</v>
      </c>
      <c r="J89" s="2">
        <v>0.77</v>
      </c>
      <c r="K89" s="2" t="s">
        <v>46</v>
      </c>
      <c r="L89" s="2" t="s">
        <v>38</v>
      </c>
      <c r="M89" s="2">
        <v>1373.9</v>
      </c>
      <c r="N89" s="2">
        <v>223</v>
      </c>
      <c r="O89" s="2">
        <v>78603.399999999994</v>
      </c>
      <c r="P89" s="2">
        <v>172.5</v>
      </c>
      <c r="Q89" s="2">
        <v>1.78</v>
      </c>
      <c r="R89" s="2">
        <v>680.41</v>
      </c>
      <c r="S89" s="5">
        <f t="shared" si="9"/>
        <v>0.70391304347826089</v>
      </c>
      <c r="T89" s="5">
        <f t="shared" si="10"/>
        <v>0.90375000000000005</v>
      </c>
      <c r="U89" s="5">
        <f t="shared" si="11"/>
        <v>0.77888026940886401</v>
      </c>
      <c r="V89" s="5">
        <f t="shared" si="12"/>
        <v>0.98949969116738712</v>
      </c>
      <c r="W89" s="5">
        <f t="shared" si="13"/>
        <v>0.69652173913043469</v>
      </c>
      <c r="X89" s="5">
        <f t="shared" si="14"/>
        <v>1.0500308832612723E-2</v>
      </c>
      <c r="Y89" s="6">
        <f t="shared" si="15"/>
        <v>0.471358905306063</v>
      </c>
      <c r="Z89" s="6">
        <f t="shared" si="16"/>
        <v>121.37646695491043</v>
      </c>
      <c r="AA89" s="2" t="str">
        <f t="shared" si="17"/>
        <v>Breakdown</v>
      </c>
    </row>
    <row r="90" spans="1:27" x14ac:dyDescent="0.25">
      <c r="A90" s="2">
        <v>86</v>
      </c>
      <c r="B90" s="4">
        <v>46051</v>
      </c>
      <c r="C90" s="2" t="s">
        <v>34</v>
      </c>
      <c r="D90" s="2" t="s">
        <v>30</v>
      </c>
      <c r="E90" s="2" t="s">
        <v>31</v>
      </c>
      <c r="F90" s="2">
        <v>1017</v>
      </c>
      <c r="G90" s="2">
        <v>866.6</v>
      </c>
      <c r="H90" s="2">
        <v>856.8</v>
      </c>
      <c r="I90" s="2">
        <v>9.8000000000000007</v>
      </c>
      <c r="J90" s="2">
        <v>0.25</v>
      </c>
      <c r="K90" s="2" t="s">
        <v>32</v>
      </c>
      <c r="L90" s="2" t="s">
        <v>33</v>
      </c>
      <c r="M90" s="2">
        <v>1786.8</v>
      </c>
      <c r="N90" s="2">
        <v>277.39999999999998</v>
      </c>
      <c r="O90" s="2">
        <v>102056.5</v>
      </c>
      <c r="P90" s="2">
        <v>177.2</v>
      </c>
      <c r="Q90" s="2">
        <v>1.75</v>
      </c>
      <c r="R90" s="2">
        <v>0</v>
      </c>
      <c r="S90" s="5">
        <f t="shared" si="9"/>
        <v>0.85211406096361852</v>
      </c>
      <c r="T90" s="5">
        <f t="shared" si="10"/>
        <v>0.96875</v>
      </c>
      <c r="U90" s="5">
        <f t="shared" si="11"/>
        <v>0.87960161131728365</v>
      </c>
      <c r="V90" s="5">
        <f t="shared" si="12"/>
        <v>0.9886914378029078</v>
      </c>
      <c r="W90" s="5">
        <f t="shared" si="13"/>
        <v>0.84247787610619462</v>
      </c>
      <c r="X90" s="5">
        <f t="shared" si="14"/>
        <v>1.1308562197092085E-2</v>
      </c>
      <c r="Y90" s="6">
        <f t="shared" si="15"/>
        <v>0.48500111931945378</v>
      </c>
      <c r="Z90" s="6">
        <f t="shared" si="16"/>
        <v>117.76655896607431</v>
      </c>
      <c r="AA90" s="2" t="str">
        <f t="shared" si="17"/>
        <v>No Maintenance</v>
      </c>
    </row>
    <row r="91" spans="1:27" x14ac:dyDescent="0.25">
      <c r="A91" s="2">
        <v>87</v>
      </c>
      <c r="B91" s="4">
        <v>46051</v>
      </c>
      <c r="C91" s="2" t="s">
        <v>36</v>
      </c>
      <c r="D91" s="2" t="s">
        <v>30</v>
      </c>
      <c r="E91" s="2" t="s">
        <v>45</v>
      </c>
      <c r="F91" s="2">
        <v>902</v>
      </c>
      <c r="G91" s="2">
        <v>703.2</v>
      </c>
      <c r="H91" s="2">
        <v>694.4</v>
      </c>
      <c r="I91" s="2">
        <v>8.8000000000000007</v>
      </c>
      <c r="J91" s="2">
        <v>0.24</v>
      </c>
      <c r="K91" s="2" t="s">
        <v>32</v>
      </c>
      <c r="L91" s="2" t="s">
        <v>33</v>
      </c>
      <c r="M91" s="2">
        <v>1457.7</v>
      </c>
      <c r="N91" s="2">
        <v>224.9</v>
      </c>
      <c r="O91" s="2">
        <v>89400.5</v>
      </c>
      <c r="P91" s="2">
        <v>175.1</v>
      </c>
      <c r="Q91" s="2">
        <v>1.92</v>
      </c>
      <c r="R91" s="2">
        <v>0</v>
      </c>
      <c r="S91" s="5">
        <f t="shared" si="9"/>
        <v>0.77960088691796015</v>
      </c>
      <c r="T91" s="5">
        <f t="shared" si="10"/>
        <v>0.97</v>
      </c>
      <c r="U91" s="5">
        <f t="shared" si="11"/>
        <v>0.80371225455459816</v>
      </c>
      <c r="V91" s="5">
        <f t="shared" si="12"/>
        <v>0.98748577929465287</v>
      </c>
      <c r="W91" s="5">
        <f t="shared" si="13"/>
        <v>0.76984478935698442</v>
      </c>
      <c r="X91" s="5">
        <f t="shared" si="14"/>
        <v>1.2514220705346985E-2</v>
      </c>
      <c r="Y91" s="6">
        <f t="shared" si="15"/>
        <v>0.48240378678740481</v>
      </c>
      <c r="Z91" s="6">
        <f t="shared" si="16"/>
        <v>127.13381683731512</v>
      </c>
      <c r="AA91" s="2" t="str">
        <f t="shared" si="17"/>
        <v>No Maintenance</v>
      </c>
    </row>
    <row r="92" spans="1:27" x14ac:dyDescent="0.25">
      <c r="A92" s="2">
        <v>88</v>
      </c>
      <c r="B92" s="4">
        <v>46052</v>
      </c>
      <c r="C92" s="2" t="s">
        <v>29</v>
      </c>
      <c r="D92" s="2" t="s">
        <v>35</v>
      </c>
      <c r="E92" s="2" t="s">
        <v>31</v>
      </c>
      <c r="F92" s="2">
        <v>987</v>
      </c>
      <c r="G92" s="2">
        <v>690.6</v>
      </c>
      <c r="H92" s="2">
        <v>686.6</v>
      </c>
      <c r="I92" s="2">
        <v>4</v>
      </c>
      <c r="J92" s="2">
        <v>2.81</v>
      </c>
      <c r="K92" s="2" t="s">
        <v>46</v>
      </c>
      <c r="L92" s="2" t="s">
        <v>38</v>
      </c>
      <c r="M92" s="2">
        <v>1404.3</v>
      </c>
      <c r="N92" s="2">
        <v>203</v>
      </c>
      <c r="O92" s="2">
        <v>80608</v>
      </c>
      <c r="P92" s="2">
        <v>178.8</v>
      </c>
      <c r="Q92" s="2">
        <v>1.63</v>
      </c>
      <c r="R92" s="2">
        <v>489.22</v>
      </c>
      <c r="S92" s="5">
        <f t="shared" si="9"/>
        <v>0.6996960486322189</v>
      </c>
      <c r="T92" s="5">
        <f t="shared" si="10"/>
        <v>0.64874999999999994</v>
      </c>
      <c r="U92" s="5">
        <f t="shared" si="11"/>
        <v>1.0785295547317439</v>
      </c>
      <c r="V92" s="5">
        <f t="shared" si="12"/>
        <v>0.9942079351288734</v>
      </c>
      <c r="W92" s="5">
        <f t="shared" si="13"/>
        <v>0.69564336372847002</v>
      </c>
      <c r="X92" s="5">
        <f t="shared" si="14"/>
        <v>5.7920648711265567E-3</v>
      </c>
      <c r="Y92" s="6">
        <f t="shared" si="15"/>
        <v>0.49177526169621877</v>
      </c>
      <c r="Z92" s="6">
        <f t="shared" si="16"/>
        <v>116.72169128294236</v>
      </c>
      <c r="AA92" s="2" t="str">
        <f t="shared" si="17"/>
        <v>Breakdown</v>
      </c>
    </row>
    <row r="93" spans="1:27" x14ac:dyDescent="0.25">
      <c r="A93" s="2">
        <v>89</v>
      </c>
      <c r="B93" s="4">
        <v>46052</v>
      </c>
      <c r="C93" s="2" t="s">
        <v>34</v>
      </c>
      <c r="D93" s="2" t="s">
        <v>30</v>
      </c>
      <c r="E93" s="2" t="s">
        <v>31</v>
      </c>
      <c r="F93" s="2">
        <v>1019</v>
      </c>
      <c r="G93" s="2">
        <v>632.4</v>
      </c>
      <c r="H93" s="2">
        <v>618.4</v>
      </c>
      <c r="I93" s="2">
        <v>13.9</v>
      </c>
      <c r="J93" s="2">
        <v>3.12</v>
      </c>
      <c r="K93" s="2" t="s">
        <v>42</v>
      </c>
      <c r="L93" s="2" t="s">
        <v>38</v>
      </c>
      <c r="M93" s="2">
        <v>1240.2</v>
      </c>
      <c r="N93" s="2">
        <v>211.8</v>
      </c>
      <c r="O93" s="2">
        <v>71607.3</v>
      </c>
      <c r="P93" s="2">
        <v>178.7</v>
      </c>
      <c r="Q93" s="2">
        <v>1.54</v>
      </c>
      <c r="R93" s="2">
        <v>778.1</v>
      </c>
      <c r="S93" s="5">
        <f t="shared" si="9"/>
        <v>0.62060843964671242</v>
      </c>
      <c r="T93" s="5">
        <f t="shared" si="10"/>
        <v>0.61</v>
      </c>
      <c r="U93" s="5">
        <f t="shared" si="11"/>
        <v>1.0173908846667417</v>
      </c>
      <c r="V93" s="5">
        <f t="shared" si="12"/>
        <v>0.97786211258697031</v>
      </c>
      <c r="W93" s="5">
        <f t="shared" si="13"/>
        <v>0.60686947988223749</v>
      </c>
      <c r="X93" s="5">
        <f t="shared" si="14"/>
        <v>2.1979759645793802E-2</v>
      </c>
      <c r="Y93" s="6">
        <f t="shared" si="15"/>
        <v>0.50991775520077398</v>
      </c>
      <c r="Z93" s="6">
        <f t="shared" si="16"/>
        <v>113.23102466793169</v>
      </c>
      <c r="AA93" s="2" t="str">
        <f t="shared" si="17"/>
        <v>Breakdown</v>
      </c>
    </row>
    <row r="94" spans="1:27" x14ac:dyDescent="0.25">
      <c r="A94" s="2">
        <v>90</v>
      </c>
      <c r="B94" s="4">
        <v>46052</v>
      </c>
      <c r="C94" s="2" t="s">
        <v>36</v>
      </c>
      <c r="D94" s="2" t="s">
        <v>35</v>
      </c>
      <c r="E94" s="2" t="s">
        <v>31</v>
      </c>
      <c r="F94" s="2">
        <v>1046</v>
      </c>
      <c r="G94" s="2">
        <v>845.7</v>
      </c>
      <c r="H94" s="2">
        <v>831.5</v>
      </c>
      <c r="I94" s="2">
        <v>14.2</v>
      </c>
      <c r="J94" s="2">
        <v>0.87</v>
      </c>
      <c r="K94" s="2" t="s">
        <v>46</v>
      </c>
      <c r="L94" s="2" t="s">
        <v>38</v>
      </c>
      <c r="M94" s="2">
        <v>1726.4</v>
      </c>
      <c r="N94" s="2">
        <v>271.8</v>
      </c>
      <c r="O94" s="2">
        <v>99337.5</v>
      </c>
      <c r="P94" s="2">
        <v>186.6</v>
      </c>
      <c r="Q94" s="2">
        <v>1.57</v>
      </c>
      <c r="R94" s="2">
        <v>503.42</v>
      </c>
      <c r="S94" s="5">
        <f t="shared" si="9"/>
        <v>0.80850860420650095</v>
      </c>
      <c r="T94" s="5">
        <f t="shared" si="10"/>
        <v>0.89124999999999999</v>
      </c>
      <c r="U94" s="5">
        <f t="shared" si="11"/>
        <v>0.90716252926395624</v>
      </c>
      <c r="V94" s="5">
        <f t="shared" si="12"/>
        <v>0.9832091758306728</v>
      </c>
      <c r="W94" s="5">
        <f t="shared" si="13"/>
        <v>0.79493307839388139</v>
      </c>
      <c r="X94" s="5">
        <f t="shared" si="14"/>
        <v>1.6790824169327184E-2</v>
      </c>
      <c r="Y94" s="6">
        <f t="shared" si="15"/>
        <v>0.48986329935125117</v>
      </c>
      <c r="Z94" s="6">
        <f t="shared" si="16"/>
        <v>117.46186590989711</v>
      </c>
      <c r="AA94" s="2" t="str">
        <f t="shared" si="17"/>
        <v>Breakdown</v>
      </c>
    </row>
    <row r="95" spans="1:27" x14ac:dyDescent="0.25">
      <c r="A95" s="2">
        <v>91</v>
      </c>
      <c r="B95" s="4">
        <v>46053</v>
      </c>
      <c r="C95" s="2" t="s">
        <v>29</v>
      </c>
      <c r="D95" s="2" t="s">
        <v>35</v>
      </c>
      <c r="E95" s="2" t="s">
        <v>39</v>
      </c>
      <c r="F95" s="2">
        <v>986</v>
      </c>
      <c r="G95" s="2">
        <v>984.7</v>
      </c>
      <c r="H95" s="2">
        <v>978.3</v>
      </c>
      <c r="I95" s="2">
        <v>6.4</v>
      </c>
      <c r="J95" s="2">
        <v>0.01</v>
      </c>
      <c r="K95" s="2" t="s">
        <v>32</v>
      </c>
      <c r="L95" s="2" t="s">
        <v>33</v>
      </c>
      <c r="M95" s="2">
        <v>2060.6999999999998</v>
      </c>
      <c r="N95" s="2">
        <v>328.5</v>
      </c>
      <c r="O95" s="2">
        <v>118828.6</v>
      </c>
      <c r="P95" s="2">
        <v>184.1</v>
      </c>
      <c r="Q95" s="2">
        <v>1.88</v>
      </c>
      <c r="R95" s="2">
        <v>0</v>
      </c>
      <c r="S95" s="5">
        <f t="shared" si="9"/>
        <v>0.99868154158215017</v>
      </c>
      <c r="T95" s="5">
        <f t="shared" si="10"/>
        <v>0.99875000000000003</v>
      </c>
      <c r="U95" s="5">
        <f t="shared" si="11"/>
        <v>0.99993145590202759</v>
      </c>
      <c r="V95" s="5">
        <f t="shared" si="12"/>
        <v>0.99350055854574992</v>
      </c>
      <c r="W95" s="5">
        <f t="shared" si="13"/>
        <v>0.99219066937119671</v>
      </c>
      <c r="X95" s="5">
        <f t="shared" si="14"/>
        <v>6.4994414542500255E-3</v>
      </c>
      <c r="Y95" s="6">
        <f t="shared" si="15"/>
        <v>0.47784733343038782</v>
      </c>
      <c r="Z95" s="6">
        <f t="shared" si="16"/>
        <v>120.67492637351478</v>
      </c>
      <c r="AA95" s="2" t="str">
        <f t="shared" si="17"/>
        <v>No Maintenance</v>
      </c>
    </row>
    <row r="96" spans="1:27" x14ac:dyDescent="0.25">
      <c r="A96" s="2">
        <v>92</v>
      </c>
      <c r="B96" s="4">
        <v>46053</v>
      </c>
      <c r="C96" s="2" t="s">
        <v>34</v>
      </c>
      <c r="D96" s="2" t="s">
        <v>30</v>
      </c>
      <c r="E96" s="2" t="s">
        <v>31</v>
      </c>
      <c r="F96" s="2">
        <v>958</v>
      </c>
      <c r="G96" s="2">
        <v>719.9</v>
      </c>
      <c r="H96" s="2">
        <v>715.9</v>
      </c>
      <c r="I96" s="2">
        <v>4</v>
      </c>
      <c r="J96" s="2">
        <v>1.56</v>
      </c>
      <c r="K96" s="2" t="s">
        <v>46</v>
      </c>
      <c r="L96" s="2" t="s">
        <v>38</v>
      </c>
      <c r="M96" s="2">
        <v>1454.1</v>
      </c>
      <c r="N96" s="2">
        <v>225.1</v>
      </c>
      <c r="O96" s="2">
        <v>86096</v>
      </c>
      <c r="P96" s="2">
        <v>174.3</v>
      </c>
      <c r="Q96" s="2">
        <v>1.36</v>
      </c>
      <c r="R96" s="2">
        <v>780.31</v>
      </c>
      <c r="S96" s="5">
        <f t="shared" si="9"/>
        <v>0.75146137787056366</v>
      </c>
      <c r="T96" s="5">
        <f t="shared" si="10"/>
        <v>0.80499999999999994</v>
      </c>
      <c r="U96" s="5">
        <f t="shared" si="11"/>
        <v>0.93349239487026547</v>
      </c>
      <c r="V96" s="5">
        <f t="shared" si="12"/>
        <v>0.99444367273232392</v>
      </c>
      <c r="W96" s="5">
        <f t="shared" si="13"/>
        <v>0.74728601252609606</v>
      </c>
      <c r="X96" s="5">
        <f t="shared" si="14"/>
        <v>5.556327267676066E-3</v>
      </c>
      <c r="Y96" s="6">
        <f t="shared" si="15"/>
        <v>0.49508286912867067</v>
      </c>
      <c r="Z96" s="6">
        <f t="shared" si="16"/>
        <v>119.59438810945966</v>
      </c>
      <c r="AA96" s="2" t="str">
        <f t="shared" si="17"/>
        <v>Breakdown</v>
      </c>
    </row>
    <row r="97" spans="1:27" x14ac:dyDescent="0.25">
      <c r="A97" s="2">
        <v>93</v>
      </c>
      <c r="B97" s="4">
        <v>46053</v>
      </c>
      <c r="C97" s="2" t="s">
        <v>36</v>
      </c>
      <c r="D97" s="2" t="s">
        <v>35</v>
      </c>
      <c r="E97" s="2" t="s">
        <v>31</v>
      </c>
      <c r="F97" s="2">
        <v>905</v>
      </c>
      <c r="G97" s="2">
        <v>638.70000000000005</v>
      </c>
      <c r="H97" s="2">
        <v>625.6</v>
      </c>
      <c r="I97" s="2">
        <v>13.1</v>
      </c>
      <c r="J97" s="2">
        <v>1.64</v>
      </c>
      <c r="K97" s="2" t="s">
        <v>48</v>
      </c>
      <c r="L97" s="2" t="s">
        <v>38</v>
      </c>
      <c r="M97" s="2">
        <v>1307.4000000000001</v>
      </c>
      <c r="N97" s="2">
        <v>222.3</v>
      </c>
      <c r="O97" s="2">
        <v>75395.7</v>
      </c>
      <c r="P97" s="2">
        <v>178.2</v>
      </c>
      <c r="Q97" s="2">
        <v>1.8</v>
      </c>
      <c r="R97" s="2">
        <v>749.65</v>
      </c>
      <c r="S97" s="5">
        <f t="shared" si="9"/>
        <v>0.70574585635359122</v>
      </c>
      <c r="T97" s="5">
        <f t="shared" si="10"/>
        <v>0.79500000000000004</v>
      </c>
      <c r="U97" s="5">
        <f t="shared" si="11"/>
        <v>0.88773063692275622</v>
      </c>
      <c r="V97" s="5">
        <f t="shared" si="12"/>
        <v>0.97948958822608423</v>
      </c>
      <c r="W97" s="5">
        <f t="shared" si="13"/>
        <v>0.69127071823204422</v>
      </c>
      <c r="X97" s="5">
        <f t="shared" si="14"/>
        <v>2.0510411773915764E-2</v>
      </c>
      <c r="Y97" s="6">
        <f t="shared" si="15"/>
        <v>0.48852684717760442</v>
      </c>
      <c r="Z97" s="6">
        <f t="shared" si="16"/>
        <v>118.04556129638327</v>
      </c>
      <c r="AA97" s="2" t="str">
        <f t="shared" si="17"/>
        <v>Breakdown</v>
      </c>
    </row>
    <row r="98" spans="1:27" x14ac:dyDescent="0.25">
      <c r="A98" s="2">
        <v>94</v>
      </c>
      <c r="B98" s="4">
        <v>46054</v>
      </c>
      <c r="C98" s="2" t="s">
        <v>29</v>
      </c>
      <c r="D98" s="2" t="s">
        <v>35</v>
      </c>
      <c r="E98" s="2" t="s">
        <v>45</v>
      </c>
      <c r="F98" s="2">
        <v>910</v>
      </c>
      <c r="G98" s="2">
        <v>936.9</v>
      </c>
      <c r="H98" s="2">
        <v>920.1</v>
      </c>
      <c r="I98" s="2">
        <v>16.7</v>
      </c>
      <c r="J98" s="2">
        <v>0</v>
      </c>
      <c r="K98" s="2" t="s">
        <v>32</v>
      </c>
      <c r="L98" s="2" t="s">
        <v>33</v>
      </c>
      <c r="M98" s="2">
        <v>1909.3</v>
      </c>
      <c r="N98" s="2">
        <v>307.2</v>
      </c>
      <c r="O98" s="2">
        <v>113703.6</v>
      </c>
      <c r="P98" s="2">
        <v>176.7</v>
      </c>
      <c r="Q98" s="2">
        <v>2</v>
      </c>
      <c r="R98" s="2">
        <v>0</v>
      </c>
      <c r="S98" s="5">
        <f t="shared" si="9"/>
        <v>1.0295604395604396</v>
      </c>
      <c r="T98" s="5">
        <f t="shared" si="10"/>
        <v>1</v>
      </c>
      <c r="U98" s="5">
        <f t="shared" si="11"/>
        <v>1.0295604395604396</v>
      </c>
      <c r="V98" s="5">
        <f t="shared" si="12"/>
        <v>0.98206852385526744</v>
      </c>
      <c r="W98" s="5">
        <f t="shared" si="13"/>
        <v>1.0110989010989013</v>
      </c>
      <c r="X98" s="5">
        <f t="shared" si="14"/>
        <v>1.7824741167680649E-2</v>
      </c>
      <c r="Y98" s="6">
        <f t="shared" si="15"/>
        <v>0.4907033991515215</v>
      </c>
      <c r="Z98" s="6">
        <f t="shared" si="16"/>
        <v>121.36151136727507</v>
      </c>
      <c r="AA98" s="2" t="str">
        <f t="shared" si="17"/>
        <v>No Maintenance</v>
      </c>
    </row>
    <row r="99" spans="1:27" x14ac:dyDescent="0.25">
      <c r="A99" s="2">
        <v>95</v>
      </c>
      <c r="B99" s="4">
        <v>46054</v>
      </c>
      <c r="C99" s="2" t="s">
        <v>34</v>
      </c>
      <c r="D99" s="2" t="s">
        <v>35</v>
      </c>
      <c r="E99" s="2" t="s">
        <v>31</v>
      </c>
      <c r="F99" s="2">
        <v>905</v>
      </c>
      <c r="G99" s="2">
        <v>687.6</v>
      </c>
      <c r="H99" s="2">
        <v>674.7</v>
      </c>
      <c r="I99" s="2">
        <v>13</v>
      </c>
      <c r="J99" s="2">
        <v>1.27</v>
      </c>
      <c r="K99" s="2" t="s">
        <v>42</v>
      </c>
      <c r="L99" s="2" t="s">
        <v>43</v>
      </c>
      <c r="M99" s="2">
        <v>1416.7</v>
      </c>
      <c r="N99" s="2">
        <v>225.9</v>
      </c>
      <c r="O99" s="2">
        <v>84861.8</v>
      </c>
      <c r="P99" s="2">
        <v>178.3</v>
      </c>
      <c r="Q99" s="2">
        <v>1.41</v>
      </c>
      <c r="R99" s="2">
        <v>981.87</v>
      </c>
      <c r="S99" s="5">
        <f t="shared" si="9"/>
        <v>0.75977900552486188</v>
      </c>
      <c r="T99" s="5">
        <f t="shared" si="10"/>
        <v>0.84125000000000005</v>
      </c>
      <c r="U99" s="5">
        <f t="shared" si="11"/>
        <v>0.90315483569077182</v>
      </c>
      <c r="V99" s="5">
        <f t="shared" si="12"/>
        <v>0.98123909249563701</v>
      </c>
      <c r="W99" s="5">
        <f t="shared" si="13"/>
        <v>0.74552486187845302</v>
      </c>
      <c r="X99" s="5">
        <f t="shared" si="14"/>
        <v>1.8906340895869692E-2</v>
      </c>
      <c r="Y99" s="6">
        <f t="shared" si="15"/>
        <v>0.48535328580503989</v>
      </c>
      <c r="Z99" s="6">
        <f t="shared" si="16"/>
        <v>123.4173938336242</v>
      </c>
      <c r="AA99" s="2" t="str">
        <f t="shared" si="17"/>
        <v>Breakdown</v>
      </c>
    </row>
    <row r="100" spans="1:27" x14ac:dyDescent="0.25">
      <c r="A100" s="2">
        <v>96</v>
      </c>
      <c r="B100" s="4">
        <v>46054</v>
      </c>
      <c r="C100" s="2" t="s">
        <v>36</v>
      </c>
      <c r="D100" s="2" t="s">
        <v>30</v>
      </c>
      <c r="E100" s="2" t="s">
        <v>45</v>
      </c>
      <c r="F100" s="2">
        <v>938</v>
      </c>
      <c r="G100" s="2">
        <v>540.6</v>
      </c>
      <c r="H100" s="2">
        <v>529.20000000000005</v>
      </c>
      <c r="I100" s="2">
        <v>11.4</v>
      </c>
      <c r="J100" s="2">
        <v>4.8099999999999996</v>
      </c>
      <c r="K100" s="2" t="s">
        <v>40</v>
      </c>
      <c r="L100" s="2" t="s">
        <v>41</v>
      </c>
      <c r="M100" s="2">
        <v>1132.9000000000001</v>
      </c>
      <c r="N100" s="2">
        <v>179.9</v>
      </c>
      <c r="O100" s="2">
        <v>58032.3</v>
      </c>
      <c r="P100" s="2">
        <v>181.4</v>
      </c>
      <c r="Q100" s="2">
        <v>1.7</v>
      </c>
      <c r="R100" s="2">
        <v>158.81</v>
      </c>
      <c r="S100" s="5">
        <f t="shared" si="9"/>
        <v>0.57633262260127938</v>
      </c>
      <c r="T100" s="5">
        <f t="shared" si="10"/>
        <v>0.39875000000000005</v>
      </c>
      <c r="U100" s="5">
        <f t="shared" si="11"/>
        <v>1.4453482698464684</v>
      </c>
      <c r="V100" s="5">
        <f t="shared" si="12"/>
        <v>0.97891231964483916</v>
      </c>
      <c r="W100" s="5">
        <f t="shared" si="13"/>
        <v>0.5641791044776121</v>
      </c>
      <c r="X100" s="5">
        <f t="shared" si="14"/>
        <v>2.1087680355160933E-2</v>
      </c>
      <c r="Y100" s="6">
        <f t="shared" si="15"/>
        <v>0.47718245211404359</v>
      </c>
      <c r="Z100" s="6">
        <f t="shared" si="16"/>
        <v>107.34794672586015</v>
      </c>
      <c r="AA100" s="2" t="str">
        <f t="shared" si="17"/>
        <v>Planned</v>
      </c>
    </row>
    <row r="101" spans="1:27" x14ac:dyDescent="0.25">
      <c r="A101" s="2">
        <v>97</v>
      </c>
      <c r="B101" s="4">
        <v>46055</v>
      </c>
      <c r="C101" s="2" t="s">
        <v>29</v>
      </c>
      <c r="D101" s="2" t="s">
        <v>35</v>
      </c>
      <c r="E101" s="2" t="s">
        <v>31</v>
      </c>
      <c r="F101" s="2">
        <v>956</v>
      </c>
      <c r="G101" s="2">
        <v>686.9</v>
      </c>
      <c r="H101" s="2">
        <v>678</v>
      </c>
      <c r="I101" s="2">
        <v>8.9</v>
      </c>
      <c r="J101" s="2">
        <v>3.32</v>
      </c>
      <c r="K101" s="2" t="s">
        <v>46</v>
      </c>
      <c r="L101" s="2" t="s">
        <v>38</v>
      </c>
      <c r="M101" s="2">
        <v>1403.5</v>
      </c>
      <c r="N101" s="2">
        <v>233.1</v>
      </c>
      <c r="O101" s="2">
        <v>73457.899999999994</v>
      </c>
      <c r="P101" s="2">
        <v>180.3</v>
      </c>
      <c r="Q101" s="2">
        <v>1.91</v>
      </c>
      <c r="R101" s="2">
        <v>328.91</v>
      </c>
      <c r="S101" s="5">
        <f t="shared" si="9"/>
        <v>0.71851464435146439</v>
      </c>
      <c r="T101" s="5">
        <f t="shared" si="10"/>
        <v>0.58499999999999996</v>
      </c>
      <c r="U101" s="5">
        <f t="shared" si="11"/>
        <v>1.2282301612845545</v>
      </c>
      <c r="V101" s="5">
        <f t="shared" si="12"/>
        <v>0.98704323773475033</v>
      </c>
      <c r="W101" s="5">
        <f t="shared" si="13"/>
        <v>0.70920502092050208</v>
      </c>
      <c r="X101" s="5">
        <f t="shared" si="14"/>
        <v>1.2956762265249673E-2</v>
      </c>
      <c r="Y101" s="6">
        <f t="shared" si="15"/>
        <v>0.48941930887068041</v>
      </c>
      <c r="Z101" s="6">
        <f t="shared" si="16"/>
        <v>106.94118503421167</v>
      </c>
      <c r="AA101" s="2" t="str">
        <f t="shared" si="17"/>
        <v>Breakdown</v>
      </c>
    </row>
    <row r="102" spans="1:27" x14ac:dyDescent="0.25">
      <c r="A102" s="2">
        <v>98</v>
      </c>
      <c r="B102" s="4">
        <v>46055</v>
      </c>
      <c r="C102" s="2" t="s">
        <v>34</v>
      </c>
      <c r="D102" s="2" t="s">
        <v>30</v>
      </c>
      <c r="E102" s="2" t="s">
        <v>31</v>
      </c>
      <c r="F102" s="2">
        <v>909</v>
      </c>
      <c r="G102" s="2">
        <v>630.6</v>
      </c>
      <c r="H102" s="2">
        <v>621.1</v>
      </c>
      <c r="I102" s="2">
        <v>9.5</v>
      </c>
      <c r="J102" s="2">
        <v>1.85</v>
      </c>
      <c r="K102" s="2" t="s">
        <v>42</v>
      </c>
      <c r="L102" s="2" t="s">
        <v>43</v>
      </c>
      <c r="M102" s="2">
        <v>1288.4000000000001</v>
      </c>
      <c r="N102" s="2">
        <v>194.8</v>
      </c>
      <c r="O102" s="2">
        <v>71367</v>
      </c>
      <c r="P102" s="2">
        <v>174.4</v>
      </c>
      <c r="Q102" s="2">
        <v>1.64</v>
      </c>
      <c r="R102" s="2">
        <v>869.96</v>
      </c>
      <c r="S102" s="5">
        <f t="shared" si="9"/>
        <v>0.69372937293729375</v>
      </c>
      <c r="T102" s="5">
        <f t="shared" si="10"/>
        <v>0.76875000000000004</v>
      </c>
      <c r="U102" s="5">
        <f t="shared" si="11"/>
        <v>0.90241219243875603</v>
      </c>
      <c r="V102" s="5">
        <f t="shared" si="12"/>
        <v>0.98493498255629564</v>
      </c>
      <c r="W102" s="5">
        <f t="shared" si="13"/>
        <v>0.68327832783278331</v>
      </c>
      <c r="X102" s="5">
        <f t="shared" si="14"/>
        <v>1.5065017443704408E-2</v>
      </c>
      <c r="Y102" s="6">
        <f t="shared" si="15"/>
        <v>0.48944427196522816</v>
      </c>
      <c r="Z102" s="6">
        <f t="shared" si="16"/>
        <v>113.1731684110371</v>
      </c>
      <c r="AA102" s="2" t="str">
        <f t="shared" si="17"/>
        <v>Breakdown</v>
      </c>
    </row>
    <row r="103" spans="1:27" x14ac:dyDescent="0.25">
      <c r="A103" s="2">
        <v>99</v>
      </c>
      <c r="B103" s="4">
        <v>46055</v>
      </c>
      <c r="C103" s="2" t="s">
        <v>36</v>
      </c>
      <c r="D103" s="2" t="s">
        <v>30</v>
      </c>
      <c r="E103" s="2" t="s">
        <v>39</v>
      </c>
      <c r="F103" s="2">
        <v>923</v>
      </c>
      <c r="G103" s="2">
        <v>527.20000000000005</v>
      </c>
      <c r="H103" s="2">
        <v>517.20000000000005</v>
      </c>
      <c r="I103" s="2">
        <v>10</v>
      </c>
      <c r="J103" s="2">
        <v>3.49</v>
      </c>
      <c r="K103" s="2" t="s">
        <v>47</v>
      </c>
      <c r="L103" s="2" t="s">
        <v>38</v>
      </c>
      <c r="M103" s="2">
        <v>1037.0999999999999</v>
      </c>
      <c r="N103" s="2">
        <v>163.4</v>
      </c>
      <c r="O103" s="2">
        <v>62444.2</v>
      </c>
      <c r="P103" s="2">
        <v>182.5</v>
      </c>
      <c r="Q103" s="2">
        <v>1.4</v>
      </c>
      <c r="R103" s="2">
        <v>854.77</v>
      </c>
      <c r="S103" s="5">
        <f t="shared" si="9"/>
        <v>0.57118093174431206</v>
      </c>
      <c r="T103" s="5">
        <f t="shared" si="10"/>
        <v>0.56374999999999997</v>
      </c>
      <c r="U103" s="5">
        <f t="shared" si="11"/>
        <v>1.0131812536484472</v>
      </c>
      <c r="V103" s="5">
        <f t="shared" si="12"/>
        <v>0.98103186646433993</v>
      </c>
      <c r="W103" s="5">
        <f t="shared" si="13"/>
        <v>0.56034669555796324</v>
      </c>
      <c r="X103" s="5">
        <f t="shared" si="14"/>
        <v>1.8968133535660091E-2</v>
      </c>
      <c r="Y103" s="6">
        <f t="shared" si="15"/>
        <v>0.50834056503712288</v>
      </c>
      <c r="Z103" s="6">
        <f t="shared" si="16"/>
        <v>118.44499241274657</v>
      </c>
      <c r="AA103" s="2" t="str">
        <f t="shared" si="17"/>
        <v>Breakdown</v>
      </c>
    </row>
    <row r="104" spans="1:27" x14ac:dyDescent="0.25">
      <c r="A104" s="2">
        <v>100</v>
      </c>
      <c r="B104" s="4">
        <v>46056</v>
      </c>
      <c r="C104" s="2" t="s">
        <v>29</v>
      </c>
      <c r="D104" s="2" t="s">
        <v>30</v>
      </c>
      <c r="E104" s="2" t="s">
        <v>39</v>
      </c>
      <c r="F104" s="2">
        <v>1020</v>
      </c>
      <c r="G104" s="2">
        <v>882</v>
      </c>
      <c r="H104" s="2">
        <v>873.2</v>
      </c>
      <c r="I104" s="2">
        <v>8.8000000000000007</v>
      </c>
      <c r="J104" s="2">
        <v>0.28999999999999998</v>
      </c>
      <c r="K104" s="2" t="s">
        <v>32</v>
      </c>
      <c r="L104" s="2" t="s">
        <v>33</v>
      </c>
      <c r="M104" s="2">
        <v>1879.6</v>
      </c>
      <c r="N104" s="2">
        <v>305.3</v>
      </c>
      <c r="O104" s="2">
        <v>104249.1</v>
      </c>
      <c r="P104" s="2">
        <v>170.2</v>
      </c>
      <c r="Q104" s="2">
        <v>2.11</v>
      </c>
      <c r="R104" s="2">
        <v>0</v>
      </c>
      <c r="S104" s="5">
        <f t="shared" si="9"/>
        <v>0.86470588235294121</v>
      </c>
      <c r="T104" s="5">
        <f t="shared" si="10"/>
        <v>0.96375</v>
      </c>
      <c r="U104" s="5">
        <f t="shared" si="11"/>
        <v>0.89723048752574963</v>
      </c>
      <c r="V104" s="5">
        <f t="shared" si="12"/>
        <v>0.99002267573696145</v>
      </c>
      <c r="W104" s="5">
        <f t="shared" si="13"/>
        <v>0.85607843137254902</v>
      </c>
      <c r="X104" s="5">
        <f t="shared" si="14"/>
        <v>9.9773242630385502E-3</v>
      </c>
      <c r="Y104" s="6">
        <f t="shared" si="15"/>
        <v>0.46924877633539053</v>
      </c>
      <c r="Z104" s="6">
        <f t="shared" si="16"/>
        <v>118.19625850340137</v>
      </c>
      <c r="AA104" s="2" t="str">
        <f t="shared" si="17"/>
        <v>No Maintenance</v>
      </c>
    </row>
    <row r="105" spans="1:27" x14ac:dyDescent="0.25">
      <c r="A105" s="2">
        <v>101</v>
      </c>
      <c r="B105" s="4">
        <v>46056</v>
      </c>
      <c r="C105" s="2" t="s">
        <v>34</v>
      </c>
      <c r="D105" s="2" t="s">
        <v>35</v>
      </c>
      <c r="E105" s="2" t="s">
        <v>31</v>
      </c>
      <c r="F105" s="2">
        <v>1005</v>
      </c>
      <c r="G105" s="2">
        <v>635.70000000000005</v>
      </c>
      <c r="H105" s="2">
        <v>620.9</v>
      </c>
      <c r="I105" s="2">
        <v>14.8</v>
      </c>
      <c r="J105" s="2">
        <v>3.18</v>
      </c>
      <c r="K105" s="2" t="s">
        <v>40</v>
      </c>
      <c r="L105" s="2" t="s">
        <v>41</v>
      </c>
      <c r="M105" s="2">
        <v>1276.4000000000001</v>
      </c>
      <c r="N105" s="2">
        <v>221.7</v>
      </c>
      <c r="O105" s="2">
        <v>77897.3</v>
      </c>
      <c r="P105" s="2">
        <v>173.8</v>
      </c>
      <c r="Q105" s="2">
        <v>1.3</v>
      </c>
      <c r="R105" s="2">
        <v>190.32</v>
      </c>
      <c r="S105" s="5">
        <f t="shared" si="9"/>
        <v>0.63253731343283581</v>
      </c>
      <c r="T105" s="5">
        <f t="shared" si="10"/>
        <v>0.60250000000000004</v>
      </c>
      <c r="U105" s="5">
        <f t="shared" si="11"/>
        <v>1.0498544621291881</v>
      </c>
      <c r="V105" s="5">
        <f t="shared" si="12"/>
        <v>0.97671857794557171</v>
      </c>
      <c r="W105" s="5">
        <f t="shared" si="13"/>
        <v>0.61781094527363178</v>
      </c>
      <c r="X105" s="5">
        <f t="shared" si="14"/>
        <v>2.3281422054428187E-2</v>
      </c>
      <c r="Y105" s="6">
        <f t="shared" si="15"/>
        <v>0.49804136634283924</v>
      </c>
      <c r="Z105" s="6">
        <f t="shared" si="16"/>
        <v>122.53783231083844</v>
      </c>
      <c r="AA105" s="2" t="str">
        <f t="shared" si="17"/>
        <v>Planned</v>
      </c>
    </row>
    <row r="106" spans="1:27" x14ac:dyDescent="0.25">
      <c r="A106" s="2">
        <v>102</v>
      </c>
      <c r="B106" s="4">
        <v>46056</v>
      </c>
      <c r="C106" s="2" t="s">
        <v>36</v>
      </c>
      <c r="D106" s="2" t="s">
        <v>30</v>
      </c>
      <c r="E106" s="2" t="s">
        <v>31</v>
      </c>
      <c r="F106" s="2">
        <v>918</v>
      </c>
      <c r="G106" s="2">
        <v>742.5</v>
      </c>
      <c r="H106" s="2">
        <v>732.5</v>
      </c>
      <c r="I106" s="2">
        <v>10</v>
      </c>
      <c r="J106" s="2">
        <v>0.14000000000000001</v>
      </c>
      <c r="K106" s="2" t="s">
        <v>32</v>
      </c>
      <c r="L106" s="2" t="s">
        <v>33</v>
      </c>
      <c r="M106" s="2">
        <v>1506.9</v>
      </c>
      <c r="N106" s="2">
        <v>243.8</v>
      </c>
      <c r="O106" s="2">
        <v>83068.899999999994</v>
      </c>
      <c r="P106" s="2">
        <v>177.7</v>
      </c>
      <c r="Q106" s="2">
        <v>1.76</v>
      </c>
      <c r="R106" s="2">
        <v>0</v>
      </c>
      <c r="S106" s="5">
        <f t="shared" si="9"/>
        <v>0.80882352941176472</v>
      </c>
      <c r="T106" s="5">
        <f t="shared" si="10"/>
        <v>0.98250000000000004</v>
      </c>
      <c r="U106" s="5">
        <f t="shared" si="11"/>
        <v>0.82323005538093097</v>
      </c>
      <c r="V106" s="5">
        <f t="shared" si="12"/>
        <v>0.98653198653198648</v>
      </c>
      <c r="W106" s="5">
        <f t="shared" si="13"/>
        <v>0.79793028322440085</v>
      </c>
      <c r="X106" s="5">
        <f t="shared" si="14"/>
        <v>1.3468013468013467E-2</v>
      </c>
      <c r="Y106" s="6">
        <f t="shared" si="15"/>
        <v>0.49273342623929922</v>
      </c>
      <c r="Z106" s="6">
        <f t="shared" si="16"/>
        <v>111.87730639730638</v>
      </c>
      <c r="AA106" s="2" t="str">
        <f t="shared" si="17"/>
        <v>No Maintenance</v>
      </c>
    </row>
    <row r="107" spans="1:27" x14ac:dyDescent="0.25">
      <c r="A107" s="2">
        <v>103</v>
      </c>
      <c r="B107" s="4">
        <v>46057</v>
      </c>
      <c r="C107" s="2" t="s">
        <v>29</v>
      </c>
      <c r="D107" s="2" t="s">
        <v>35</v>
      </c>
      <c r="E107" s="2" t="s">
        <v>31</v>
      </c>
      <c r="F107" s="2">
        <v>927</v>
      </c>
      <c r="G107" s="2">
        <v>916.8</v>
      </c>
      <c r="H107" s="2">
        <v>899.5</v>
      </c>
      <c r="I107" s="2">
        <v>17.3</v>
      </c>
      <c r="J107" s="2">
        <v>0.31</v>
      </c>
      <c r="K107" s="2" t="s">
        <v>32</v>
      </c>
      <c r="L107" s="2" t="s">
        <v>33</v>
      </c>
      <c r="M107" s="2">
        <v>1902</v>
      </c>
      <c r="N107" s="2">
        <v>304.8</v>
      </c>
      <c r="O107" s="2">
        <v>106255.6</v>
      </c>
      <c r="P107" s="2">
        <v>181.1</v>
      </c>
      <c r="Q107" s="2">
        <v>1.84</v>
      </c>
      <c r="R107" s="2">
        <v>0</v>
      </c>
      <c r="S107" s="5">
        <f t="shared" si="9"/>
        <v>0.98899676375404522</v>
      </c>
      <c r="T107" s="5">
        <f t="shared" si="10"/>
        <v>0.96125000000000005</v>
      </c>
      <c r="U107" s="5">
        <f t="shared" si="11"/>
        <v>1.0288652938923748</v>
      </c>
      <c r="V107" s="5">
        <f t="shared" si="12"/>
        <v>0.98113001745200701</v>
      </c>
      <c r="W107" s="5">
        <f t="shared" si="13"/>
        <v>0.9703344120819849</v>
      </c>
      <c r="X107" s="5">
        <f t="shared" si="14"/>
        <v>1.8869982547993019E-2</v>
      </c>
      <c r="Y107" s="6">
        <f t="shared" si="15"/>
        <v>0.48201892744479491</v>
      </c>
      <c r="Z107" s="6">
        <f t="shared" si="16"/>
        <v>115.89834205933684</v>
      </c>
      <c r="AA107" s="2" t="str">
        <f t="shared" si="17"/>
        <v>No Maintenance</v>
      </c>
    </row>
    <row r="108" spans="1:27" x14ac:dyDescent="0.25">
      <c r="A108" s="2">
        <v>104</v>
      </c>
      <c r="B108" s="4">
        <v>46057</v>
      </c>
      <c r="C108" s="2" t="s">
        <v>34</v>
      </c>
      <c r="D108" s="2" t="s">
        <v>35</v>
      </c>
      <c r="E108" s="2" t="s">
        <v>45</v>
      </c>
      <c r="F108" s="2">
        <v>1005</v>
      </c>
      <c r="G108" s="2">
        <v>932.1</v>
      </c>
      <c r="H108" s="2">
        <v>919.3</v>
      </c>
      <c r="I108" s="2">
        <v>12.8</v>
      </c>
      <c r="J108" s="2">
        <v>0.37</v>
      </c>
      <c r="K108" s="2" t="s">
        <v>32</v>
      </c>
      <c r="L108" s="2" t="s">
        <v>33</v>
      </c>
      <c r="M108" s="2">
        <v>1796.9</v>
      </c>
      <c r="N108" s="2">
        <v>312.8</v>
      </c>
      <c r="O108" s="2">
        <v>106326</v>
      </c>
      <c r="P108" s="2">
        <v>178.5</v>
      </c>
      <c r="Q108" s="2">
        <v>1.93</v>
      </c>
      <c r="R108" s="2">
        <v>0</v>
      </c>
      <c r="S108" s="5">
        <f t="shared" si="9"/>
        <v>0.92746268656716424</v>
      </c>
      <c r="T108" s="5">
        <f t="shared" si="10"/>
        <v>0.95374999999999999</v>
      </c>
      <c r="U108" s="5">
        <f t="shared" si="11"/>
        <v>0.97243794135482486</v>
      </c>
      <c r="V108" s="5">
        <f t="shared" si="12"/>
        <v>0.9862675678575259</v>
      </c>
      <c r="W108" s="5">
        <f t="shared" si="13"/>
        <v>0.91472636815920394</v>
      </c>
      <c r="X108" s="5">
        <f t="shared" si="14"/>
        <v>1.3732432142473983E-2</v>
      </c>
      <c r="Y108" s="6">
        <f t="shared" si="15"/>
        <v>0.51872669597640375</v>
      </c>
      <c r="Z108" s="6">
        <f t="shared" si="16"/>
        <v>114.07145156099131</v>
      </c>
      <c r="AA108" s="2" t="str">
        <f t="shared" si="17"/>
        <v>No Maintenance</v>
      </c>
    </row>
    <row r="109" spans="1:27" x14ac:dyDescent="0.25">
      <c r="A109" s="2">
        <v>105</v>
      </c>
      <c r="B109" s="4">
        <v>46057</v>
      </c>
      <c r="C109" s="2" t="s">
        <v>36</v>
      </c>
      <c r="D109" s="2" t="s">
        <v>35</v>
      </c>
      <c r="E109" s="2" t="s">
        <v>45</v>
      </c>
      <c r="F109" s="2">
        <v>1042</v>
      </c>
      <c r="G109" s="2">
        <v>862.9</v>
      </c>
      <c r="H109" s="2">
        <v>861</v>
      </c>
      <c r="I109" s="2">
        <v>2</v>
      </c>
      <c r="J109" s="2">
        <v>7.0000000000000007E-2</v>
      </c>
      <c r="K109" s="2" t="s">
        <v>32</v>
      </c>
      <c r="L109" s="2" t="s">
        <v>33</v>
      </c>
      <c r="M109" s="2">
        <v>1737.1</v>
      </c>
      <c r="N109" s="2">
        <v>274.39999999999998</v>
      </c>
      <c r="O109" s="2">
        <v>107769.4</v>
      </c>
      <c r="P109" s="2">
        <v>182.5</v>
      </c>
      <c r="Q109" s="2">
        <v>1.87</v>
      </c>
      <c r="R109" s="2">
        <v>0</v>
      </c>
      <c r="S109" s="5">
        <f t="shared" si="9"/>
        <v>0.82811900191938581</v>
      </c>
      <c r="T109" s="5">
        <f t="shared" si="10"/>
        <v>0.99124999999999996</v>
      </c>
      <c r="U109" s="5">
        <f t="shared" si="11"/>
        <v>0.8354290057194308</v>
      </c>
      <c r="V109" s="5">
        <f t="shared" si="12"/>
        <v>0.99779812260980416</v>
      </c>
      <c r="W109" s="5">
        <f t="shared" si="13"/>
        <v>0.8262955854126679</v>
      </c>
      <c r="X109" s="5">
        <f t="shared" si="14"/>
        <v>2.3177656738903696E-3</v>
      </c>
      <c r="Y109" s="6">
        <f t="shared" si="15"/>
        <v>0.49674745265097003</v>
      </c>
      <c r="Z109" s="6">
        <f t="shared" si="16"/>
        <v>124.8921080078804</v>
      </c>
      <c r="AA109" s="2" t="str">
        <f t="shared" si="17"/>
        <v>No Maintenance</v>
      </c>
    </row>
    <row r="110" spans="1:27" x14ac:dyDescent="0.25">
      <c r="A110" s="2">
        <v>106</v>
      </c>
      <c r="B110" s="4">
        <v>46058</v>
      </c>
      <c r="C110" s="2" t="s">
        <v>29</v>
      </c>
      <c r="D110" s="2" t="s">
        <v>30</v>
      </c>
      <c r="E110" s="2" t="s">
        <v>39</v>
      </c>
      <c r="F110" s="2">
        <v>972</v>
      </c>
      <c r="G110" s="2">
        <v>790.1</v>
      </c>
      <c r="H110" s="2">
        <v>775.3</v>
      </c>
      <c r="I110" s="2">
        <v>14.8</v>
      </c>
      <c r="J110" s="2">
        <v>0.38</v>
      </c>
      <c r="K110" s="2" t="s">
        <v>32</v>
      </c>
      <c r="L110" s="2" t="s">
        <v>33</v>
      </c>
      <c r="M110" s="2">
        <v>1608.1</v>
      </c>
      <c r="N110" s="2">
        <v>238.3</v>
      </c>
      <c r="O110" s="2">
        <v>90238</v>
      </c>
      <c r="P110" s="2">
        <v>178.2</v>
      </c>
      <c r="Q110" s="2">
        <v>1.54</v>
      </c>
      <c r="R110" s="2">
        <v>0</v>
      </c>
      <c r="S110" s="5">
        <f t="shared" si="9"/>
        <v>0.81286008230452678</v>
      </c>
      <c r="T110" s="5">
        <f t="shared" si="10"/>
        <v>0.95250000000000001</v>
      </c>
      <c r="U110" s="5">
        <f t="shared" si="11"/>
        <v>0.85339641186826953</v>
      </c>
      <c r="V110" s="5">
        <f t="shared" si="12"/>
        <v>0.98126819389950626</v>
      </c>
      <c r="W110" s="5">
        <f t="shared" si="13"/>
        <v>0.79763374485596694</v>
      </c>
      <c r="X110" s="5">
        <f t="shared" si="14"/>
        <v>1.873180610049361E-2</v>
      </c>
      <c r="Y110" s="6">
        <f t="shared" si="15"/>
        <v>0.4913251663453766</v>
      </c>
      <c r="Z110" s="6">
        <f t="shared" si="16"/>
        <v>114.21085938488798</v>
      </c>
      <c r="AA110" s="2" t="str">
        <f t="shared" si="17"/>
        <v>No Maintenance</v>
      </c>
    </row>
    <row r="111" spans="1:27" x14ac:dyDescent="0.25">
      <c r="A111" s="2">
        <v>107</v>
      </c>
      <c r="B111" s="4">
        <v>46058</v>
      </c>
      <c r="C111" s="2" t="s">
        <v>34</v>
      </c>
      <c r="D111" s="2" t="s">
        <v>35</v>
      </c>
      <c r="E111" s="2" t="s">
        <v>45</v>
      </c>
      <c r="F111" s="2">
        <v>1045</v>
      </c>
      <c r="G111" s="2">
        <v>735.9</v>
      </c>
      <c r="H111" s="2">
        <v>734.4</v>
      </c>
      <c r="I111" s="2">
        <v>1.5</v>
      </c>
      <c r="J111" s="2">
        <v>1.36</v>
      </c>
      <c r="K111" s="2" t="s">
        <v>37</v>
      </c>
      <c r="L111" s="2" t="s">
        <v>43</v>
      </c>
      <c r="M111" s="2">
        <v>1469</v>
      </c>
      <c r="N111" s="2">
        <v>250.4</v>
      </c>
      <c r="O111" s="2">
        <v>89602</v>
      </c>
      <c r="P111" s="2">
        <v>176.5</v>
      </c>
      <c r="Q111" s="2">
        <v>1.45</v>
      </c>
      <c r="R111" s="2">
        <v>1521.01</v>
      </c>
      <c r="S111" s="5">
        <f t="shared" si="9"/>
        <v>0.7042105263157894</v>
      </c>
      <c r="T111" s="5">
        <f t="shared" si="10"/>
        <v>0.83</v>
      </c>
      <c r="U111" s="5">
        <f t="shared" si="11"/>
        <v>0.84844641724793923</v>
      </c>
      <c r="V111" s="5">
        <f t="shared" si="12"/>
        <v>0.99796167957602933</v>
      </c>
      <c r="W111" s="5">
        <f t="shared" si="13"/>
        <v>0.70277511961722494</v>
      </c>
      <c r="X111" s="5">
        <f t="shared" si="14"/>
        <v>2.0383204239706482E-3</v>
      </c>
      <c r="Y111" s="6">
        <f t="shared" si="15"/>
        <v>0.50095302927161334</v>
      </c>
      <c r="Z111" s="6">
        <f t="shared" si="16"/>
        <v>121.75839108574534</v>
      </c>
      <c r="AA111" s="2" t="str">
        <f t="shared" si="17"/>
        <v>Breakdown</v>
      </c>
    </row>
    <row r="112" spans="1:27" x14ac:dyDescent="0.25">
      <c r="A112" s="2">
        <v>108</v>
      </c>
      <c r="B112" s="4">
        <v>46058</v>
      </c>
      <c r="C112" s="2" t="s">
        <v>36</v>
      </c>
      <c r="D112" s="2" t="s">
        <v>35</v>
      </c>
      <c r="E112" s="2" t="s">
        <v>45</v>
      </c>
      <c r="F112" s="2">
        <v>989</v>
      </c>
      <c r="G112" s="2">
        <v>943.5</v>
      </c>
      <c r="H112" s="2">
        <v>933.7</v>
      </c>
      <c r="I112" s="2">
        <v>9.8000000000000007</v>
      </c>
      <c r="J112" s="2">
        <v>0.2</v>
      </c>
      <c r="K112" s="2" t="s">
        <v>32</v>
      </c>
      <c r="L112" s="2" t="s">
        <v>33</v>
      </c>
      <c r="M112" s="2">
        <v>1996</v>
      </c>
      <c r="N112" s="2">
        <v>273.7</v>
      </c>
      <c r="O112" s="2">
        <v>100494</v>
      </c>
      <c r="P112" s="2">
        <v>176.1</v>
      </c>
      <c r="Q112" s="2">
        <v>1.64</v>
      </c>
      <c r="R112" s="2">
        <v>0</v>
      </c>
      <c r="S112" s="5">
        <f t="shared" si="9"/>
        <v>0.95399393326592519</v>
      </c>
      <c r="T112" s="5">
        <f t="shared" si="10"/>
        <v>0.97499999999999998</v>
      </c>
      <c r="U112" s="5">
        <f t="shared" si="11"/>
        <v>0.97845531617017967</v>
      </c>
      <c r="V112" s="5">
        <f t="shared" si="12"/>
        <v>0.98961314255431909</v>
      </c>
      <c r="W112" s="5">
        <f t="shared" si="13"/>
        <v>0.94408493427704765</v>
      </c>
      <c r="X112" s="5">
        <f t="shared" si="14"/>
        <v>1.0386857445680976E-2</v>
      </c>
      <c r="Y112" s="6">
        <f t="shared" si="15"/>
        <v>0.47269539078156314</v>
      </c>
      <c r="Z112" s="6">
        <f t="shared" si="16"/>
        <v>106.51192368839428</v>
      </c>
      <c r="AA112" s="2" t="str">
        <f t="shared" si="17"/>
        <v>No Maintenance</v>
      </c>
    </row>
    <row r="113" spans="1:27" x14ac:dyDescent="0.25">
      <c r="A113" s="2">
        <v>109</v>
      </c>
      <c r="B113" s="4">
        <v>46059</v>
      </c>
      <c r="C113" s="2" t="s">
        <v>29</v>
      </c>
      <c r="D113" s="2" t="s">
        <v>30</v>
      </c>
      <c r="E113" s="2" t="s">
        <v>45</v>
      </c>
      <c r="F113" s="2">
        <v>973</v>
      </c>
      <c r="G113" s="2">
        <v>543.1</v>
      </c>
      <c r="H113" s="2">
        <v>532.79999999999995</v>
      </c>
      <c r="I113" s="2">
        <v>10.3</v>
      </c>
      <c r="J113" s="2">
        <v>4.03</v>
      </c>
      <c r="K113" s="2" t="s">
        <v>40</v>
      </c>
      <c r="L113" s="2" t="s">
        <v>41</v>
      </c>
      <c r="M113" s="2">
        <v>1115.0999999999999</v>
      </c>
      <c r="N113" s="2">
        <v>169.3</v>
      </c>
      <c r="O113" s="2">
        <v>60287.8</v>
      </c>
      <c r="P113" s="2">
        <v>180.3</v>
      </c>
      <c r="Q113" s="2">
        <v>1.67</v>
      </c>
      <c r="R113" s="2">
        <v>158.52000000000001</v>
      </c>
      <c r="S113" s="5">
        <f t="shared" si="9"/>
        <v>0.5581706063720453</v>
      </c>
      <c r="T113" s="5">
        <f t="shared" si="10"/>
        <v>0.49624999999999997</v>
      </c>
      <c r="U113" s="5">
        <f t="shared" si="11"/>
        <v>1.124777040548202</v>
      </c>
      <c r="V113" s="5">
        <f t="shared" si="12"/>
        <v>0.98103480022095368</v>
      </c>
      <c r="W113" s="5">
        <f t="shared" si="13"/>
        <v>0.54758478931140797</v>
      </c>
      <c r="X113" s="5">
        <f t="shared" si="14"/>
        <v>1.8965199779046215E-2</v>
      </c>
      <c r="Y113" s="6">
        <f t="shared" si="15"/>
        <v>0.48704152093982611</v>
      </c>
      <c r="Z113" s="6">
        <f t="shared" si="16"/>
        <v>111.0068127416682</v>
      </c>
      <c r="AA113" s="2" t="str">
        <f t="shared" si="17"/>
        <v>Planned</v>
      </c>
    </row>
    <row r="114" spans="1:27" x14ac:dyDescent="0.25">
      <c r="A114" s="2">
        <v>110</v>
      </c>
      <c r="B114" s="4">
        <v>46059</v>
      </c>
      <c r="C114" s="2" t="s">
        <v>34</v>
      </c>
      <c r="D114" s="2" t="s">
        <v>30</v>
      </c>
      <c r="E114" s="2" t="s">
        <v>31</v>
      </c>
      <c r="F114" s="2">
        <v>900</v>
      </c>
      <c r="G114" s="2">
        <v>557.9</v>
      </c>
      <c r="H114" s="2">
        <v>541.29999999999995</v>
      </c>
      <c r="I114" s="2">
        <v>16.5</v>
      </c>
      <c r="J114" s="2">
        <v>1.52</v>
      </c>
      <c r="K114" s="2" t="s">
        <v>48</v>
      </c>
      <c r="L114" s="2" t="s">
        <v>38</v>
      </c>
      <c r="M114" s="2">
        <v>1150.0999999999999</v>
      </c>
      <c r="N114" s="2">
        <v>158.80000000000001</v>
      </c>
      <c r="O114" s="2">
        <v>63918.3</v>
      </c>
      <c r="P114" s="2">
        <v>183.4</v>
      </c>
      <c r="Q114" s="2">
        <v>1.7</v>
      </c>
      <c r="R114" s="2">
        <v>895.41</v>
      </c>
      <c r="S114" s="5">
        <f t="shared" si="9"/>
        <v>0.61988888888888882</v>
      </c>
      <c r="T114" s="5">
        <f t="shared" si="10"/>
        <v>0.81</v>
      </c>
      <c r="U114" s="5">
        <f t="shared" si="11"/>
        <v>0.7652949245541838</v>
      </c>
      <c r="V114" s="5">
        <f t="shared" si="12"/>
        <v>0.97024556372109694</v>
      </c>
      <c r="W114" s="5">
        <f t="shared" si="13"/>
        <v>0.60144444444444445</v>
      </c>
      <c r="X114" s="5">
        <f t="shared" si="14"/>
        <v>2.9575192686861446E-2</v>
      </c>
      <c r="Y114" s="6">
        <f t="shared" si="15"/>
        <v>0.48508825319537435</v>
      </c>
      <c r="Z114" s="6">
        <f t="shared" si="16"/>
        <v>114.56945689191612</v>
      </c>
      <c r="AA114" s="2" t="str">
        <f t="shared" si="17"/>
        <v>Breakdown</v>
      </c>
    </row>
    <row r="115" spans="1:27" x14ac:dyDescent="0.25">
      <c r="A115" s="2">
        <v>111</v>
      </c>
      <c r="B115" s="4">
        <v>46059</v>
      </c>
      <c r="C115" s="2" t="s">
        <v>36</v>
      </c>
      <c r="D115" s="2" t="s">
        <v>30</v>
      </c>
      <c r="E115" s="2" t="s">
        <v>31</v>
      </c>
      <c r="F115" s="2">
        <v>1027</v>
      </c>
      <c r="G115" s="2">
        <v>769.2</v>
      </c>
      <c r="H115" s="2">
        <v>761.2</v>
      </c>
      <c r="I115" s="2">
        <v>8</v>
      </c>
      <c r="J115" s="2">
        <v>0.86</v>
      </c>
      <c r="K115" s="2" t="s">
        <v>46</v>
      </c>
      <c r="L115" s="2" t="s">
        <v>43</v>
      </c>
      <c r="M115" s="2">
        <v>1544</v>
      </c>
      <c r="N115" s="2">
        <v>234.2</v>
      </c>
      <c r="O115" s="2">
        <v>98436.7</v>
      </c>
      <c r="P115" s="2">
        <v>180.2</v>
      </c>
      <c r="Q115" s="2">
        <v>1.64</v>
      </c>
      <c r="R115" s="2">
        <v>1558.38</v>
      </c>
      <c r="S115" s="5">
        <f t="shared" si="9"/>
        <v>0.74897760467380725</v>
      </c>
      <c r="T115" s="5">
        <f t="shared" si="10"/>
        <v>0.89249999999999996</v>
      </c>
      <c r="U115" s="5">
        <f t="shared" si="11"/>
        <v>0.83919059347205294</v>
      </c>
      <c r="V115" s="5">
        <f t="shared" si="12"/>
        <v>0.98959958398335934</v>
      </c>
      <c r="W115" s="5">
        <f t="shared" si="13"/>
        <v>0.74118792599805261</v>
      </c>
      <c r="X115" s="5">
        <f t="shared" si="14"/>
        <v>1.0400416016640665E-2</v>
      </c>
      <c r="Y115" s="6">
        <f t="shared" si="15"/>
        <v>0.49818652849740935</v>
      </c>
      <c r="Z115" s="6">
        <f t="shared" si="16"/>
        <v>127.97282891315652</v>
      </c>
      <c r="AA115" s="2" t="str">
        <f t="shared" si="17"/>
        <v>Breakdown</v>
      </c>
    </row>
    <row r="116" spans="1:27" x14ac:dyDescent="0.25">
      <c r="A116" s="2">
        <v>112</v>
      </c>
      <c r="B116" s="4">
        <v>46060</v>
      </c>
      <c r="C116" s="2" t="s">
        <v>29</v>
      </c>
      <c r="D116" s="2" t="s">
        <v>35</v>
      </c>
      <c r="E116" s="2" t="s">
        <v>31</v>
      </c>
      <c r="F116" s="2">
        <v>978</v>
      </c>
      <c r="G116" s="2">
        <v>643.1</v>
      </c>
      <c r="H116" s="2">
        <v>641.79999999999995</v>
      </c>
      <c r="I116" s="2">
        <v>1.3</v>
      </c>
      <c r="J116" s="2">
        <v>3.12</v>
      </c>
      <c r="K116" s="2" t="s">
        <v>37</v>
      </c>
      <c r="L116" s="2" t="s">
        <v>38</v>
      </c>
      <c r="M116" s="2">
        <v>1300.9000000000001</v>
      </c>
      <c r="N116" s="2">
        <v>213.4</v>
      </c>
      <c r="O116" s="2">
        <v>74739.600000000006</v>
      </c>
      <c r="P116" s="2">
        <v>179.2</v>
      </c>
      <c r="Q116" s="2">
        <v>1.51</v>
      </c>
      <c r="R116" s="2">
        <v>421.18</v>
      </c>
      <c r="S116" s="5">
        <f t="shared" si="9"/>
        <v>0.65756646216768921</v>
      </c>
      <c r="T116" s="5">
        <f t="shared" si="10"/>
        <v>0.61</v>
      </c>
      <c r="U116" s="5">
        <f t="shared" si="11"/>
        <v>1.0779778068322772</v>
      </c>
      <c r="V116" s="5">
        <f t="shared" si="12"/>
        <v>0.99797854143990039</v>
      </c>
      <c r="W116" s="5">
        <f t="shared" si="13"/>
        <v>0.65623721881390584</v>
      </c>
      <c r="X116" s="5">
        <f t="shared" si="14"/>
        <v>2.0214585600995178E-3</v>
      </c>
      <c r="Y116" s="6">
        <f t="shared" si="15"/>
        <v>0.49435006533938042</v>
      </c>
      <c r="Z116" s="6">
        <f t="shared" si="16"/>
        <v>116.2176955372415</v>
      </c>
      <c r="AA116" s="2" t="str">
        <f t="shared" si="17"/>
        <v>Breakdown</v>
      </c>
    </row>
    <row r="117" spans="1:27" x14ac:dyDescent="0.25">
      <c r="A117" s="2">
        <v>113</v>
      </c>
      <c r="B117" s="4">
        <v>46060</v>
      </c>
      <c r="C117" s="2" t="s">
        <v>34</v>
      </c>
      <c r="D117" s="2" t="s">
        <v>35</v>
      </c>
      <c r="E117" s="2" t="s">
        <v>39</v>
      </c>
      <c r="F117" s="2">
        <v>1050</v>
      </c>
      <c r="G117" s="2">
        <v>922.9</v>
      </c>
      <c r="H117" s="2">
        <v>909</v>
      </c>
      <c r="I117" s="2">
        <v>13.9</v>
      </c>
      <c r="J117" s="2">
        <v>0.67</v>
      </c>
      <c r="K117" s="2" t="s">
        <v>47</v>
      </c>
      <c r="L117" s="2" t="s">
        <v>38</v>
      </c>
      <c r="M117" s="2">
        <v>1938.5</v>
      </c>
      <c r="N117" s="2">
        <v>315.5</v>
      </c>
      <c r="O117" s="2">
        <v>114837.3</v>
      </c>
      <c r="P117" s="2">
        <v>172.6</v>
      </c>
      <c r="Q117" s="2">
        <v>1.77</v>
      </c>
      <c r="R117" s="2">
        <v>489.36</v>
      </c>
      <c r="S117" s="5">
        <f t="shared" si="9"/>
        <v>0.87895238095238093</v>
      </c>
      <c r="T117" s="5">
        <f t="shared" si="10"/>
        <v>0.91625000000000001</v>
      </c>
      <c r="U117" s="5">
        <f t="shared" si="11"/>
        <v>0.95929318521405826</v>
      </c>
      <c r="V117" s="5">
        <f t="shared" si="12"/>
        <v>0.98493877993282053</v>
      </c>
      <c r="W117" s="5">
        <f t="shared" si="13"/>
        <v>0.86571428571428577</v>
      </c>
      <c r="X117" s="5">
        <f t="shared" si="14"/>
        <v>1.5061220067179543E-2</v>
      </c>
      <c r="Y117" s="6">
        <f t="shared" si="15"/>
        <v>0.47608976012380705</v>
      </c>
      <c r="Z117" s="6">
        <f t="shared" si="16"/>
        <v>124.43092426048327</v>
      </c>
      <c r="AA117" s="2" t="str">
        <f t="shared" si="17"/>
        <v>Breakdown</v>
      </c>
    </row>
    <row r="118" spans="1:27" x14ac:dyDescent="0.25">
      <c r="A118" s="2">
        <v>114</v>
      </c>
      <c r="B118" s="4">
        <v>46060</v>
      </c>
      <c r="C118" s="2" t="s">
        <v>36</v>
      </c>
      <c r="D118" s="2" t="s">
        <v>30</v>
      </c>
      <c r="E118" s="2" t="s">
        <v>31</v>
      </c>
      <c r="F118" s="2">
        <v>1017</v>
      </c>
      <c r="G118" s="2">
        <v>790.5</v>
      </c>
      <c r="H118" s="2">
        <v>780</v>
      </c>
      <c r="I118" s="2">
        <v>10.5</v>
      </c>
      <c r="J118" s="2">
        <v>0.35</v>
      </c>
      <c r="K118" s="2" t="s">
        <v>32</v>
      </c>
      <c r="L118" s="2" t="s">
        <v>33</v>
      </c>
      <c r="M118" s="2">
        <v>1574.2</v>
      </c>
      <c r="N118" s="2">
        <v>247.7</v>
      </c>
      <c r="O118" s="2">
        <v>93220</v>
      </c>
      <c r="P118" s="2">
        <v>173.7</v>
      </c>
      <c r="Q118" s="2">
        <v>1.57</v>
      </c>
      <c r="R118" s="2">
        <v>0</v>
      </c>
      <c r="S118" s="5">
        <f t="shared" si="9"/>
        <v>0.77728613569321536</v>
      </c>
      <c r="T118" s="5">
        <f t="shared" si="10"/>
        <v>0.95625000000000004</v>
      </c>
      <c r="U118" s="5">
        <f t="shared" si="11"/>
        <v>0.81284824647656506</v>
      </c>
      <c r="V118" s="5">
        <f t="shared" si="12"/>
        <v>0.98671726755218214</v>
      </c>
      <c r="W118" s="5">
        <f t="shared" si="13"/>
        <v>0.76696165191740417</v>
      </c>
      <c r="X118" s="5">
        <f t="shared" si="14"/>
        <v>1.3282732447817837E-2</v>
      </c>
      <c r="Y118" s="6">
        <f t="shared" si="15"/>
        <v>0.50215982721382291</v>
      </c>
      <c r="Z118" s="6">
        <f t="shared" si="16"/>
        <v>117.92536369386464</v>
      </c>
      <c r="AA118" s="2" t="str">
        <f t="shared" si="17"/>
        <v>No Maintenance</v>
      </c>
    </row>
    <row r="119" spans="1:27" x14ac:dyDescent="0.25">
      <c r="A119" s="2">
        <v>115</v>
      </c>
      <c r="B119" s="4">
        <v>46061</v>
      </c>
      <c r="C119" s="2" t="s">
        <v>29</v>
      </c>
      <c r="D119" s="2" t="s">
        <v>35</v>
      </c>
      <c r="E119" s="2" t="s">
        <v>31</v>
      </c>
      <c r="F119" s="2">
        <v>1000</v>
      </c>
      <c r="G119" s="2">
        <v>896.5</v>
      </c>
      <c r="H119" s="2">
        <v>885.2</v>
      </c>
      <c r="I119" s="2">
        <v>11.3</v>
      </c>
      <c r="J119" s="2">
        <v>0.03</v>
      </c>
      <c r="K119" s="2" t="s">
        <v>32</v>
      </c>
      <c r="L119" s="2" t="s">
        <v>33</v>
      </c>
      <c r="M119" s="2">
        <v>1851.7</v>
      </c>
      <c r="N119" s="2">
        <v>306.60000000000002</v>
      </c>
      <c r="O119" s="2">
        <v>98400.2</v>
      </c>
      <c r="P119" s="2">
        <v>174.8</v>
      </c>
      <c r="Q119" s="2">
        <v>1.64</v>
      </c>
      <c r="R119" s="2">
        <v>0</v>
      </c>
      <c r="S119" s="5">
        <f t="shared" si="9"/>
        <v>0.89649999999999996</v>
      </c>
      <c r="T119" s="5">
        <f t="shared" si="10"/>
        <v>0.99624999999999997</v>
      </c>
      <c r="U119" s="5">
        <f t="shared" si="11"/>
        <v>0.8998745294855709</v>
      </c>
      <c r="V119" s="5">
        <f t="shared" si="12"/>
        <v>0.98739542665923041</v>
      </c>
      <c r="W119" s="5">
        <f t="shared" si="13"/>
        <v>0.88519999999999999</v>
      </c>
      <c r="X119" s="5">
        <f t="shared" si="14"/>
        <v>1.260457334076966E-2</v>
      </c>
      <c r="Y119" s="6">
        <f t="shared" si="15"/>
        <v>0.48414970027542259</v>
      </c>
      <c r="Z119" s="6">
        <f t="shared" si="16"/>
        <v>109.76040156162856</v>
      </c>
      <c r="AA119" s="2" t="str">
        <f t="shared" si="17"/>
        <v>No Maintenance</v>
      </c>
    </row>
    <row r="120" spans="1:27" x14ac:dyDescent="0.25">
      <c r="A120" s="2">
        <v>116</v>
      </c>
      <c r="B120" s="4">
        <v>46061</v>
      </c>
      <c r="C120" s="2" t="s">
        <v>34</v>
      </c>
      <c r="D120" s="2" t="s">
        <v>35</v>
      </c>
      <c r="E120" s="2" t="s">
        <v>39</v>
      </c>
      <c r="F120" s="2">
        <v>914</v>
      </c>
      <c r="G120" s="2">
        <v>578.1</v>
      </c>
      <c r="H120" s="2">
        <v>569.6</v>
      </c>
      <c r="I120" s="2">
        <v>8.6</v>
      </c>
      <c r="J120" s="2">
        <v>2.16</v>
      </c>
      <c r="K120" s="2" t="s">
        <v>47</v>
      </c>
      <c r="L120" s="2" t="s">
        <v>38</v>
      </c>
      <c r="M120" s="2">
        <v>1165.3</v>
      </c>
      <c r="N120" s="2">
        <v>183.7</v>
      </c>
      <c r="O120" s="2">
        <v>68762.2</v>
      </c>
      <c r="P120" s="2">
        <v>182.3</v>
      </c>
      <c r="Q120" s="2">
        <v>1.47</v>
      </c>
      <c r="R120" s="2">
        <v>859.44</v>
      </c>
      <c r="S120" s="5">
        <f t="shared" si="9"/>
        <v>0.63249452954048146</v>
      </c>
      <c r="T120" s="5">
        <f t="shared" si="10"/>
        <v>0.73</v>
      </c>
      <c r="U120" s="5">
        <f t="shared" si="11"/>
        <v>0.86643086238422107</v>
      </c>
      <c r="V120" s="5">
        <f t="shared" si="12"/>
        <v>0.98529666147725303</v>
      </c>
      <c r="W120" s="5">
        <f t="shared" si="13"/>
        <v>0.62319474835886213</v>
      </c>
      <c r="X120" s="5">
        <f t="shared" si="14"/>
        <v>1.4876318975955715E-2</v>
      </c>
      <c r="Y120" s="6">
        <f t="shared" si="15"/>
        <v>0.4960954260705398</v>
      </c>
      <c r="Z120" s="6">
        <f t="shared" si="16"/>
        <v>118.94516519633281</v>
      </c>
      <c r="AA120" s="2" t="str">
        <f t="shared" si="17"/>
        <v>Breakdown</v>
      </c>
    </row>
    <row r="121" spans="1:27" x14ac:dyDescent="0.25">
      <c r="A121" s="2">
        <v>117</v>
      </c>
      <c r="B121" s="4">
        <v>46061</v>
      </c>
      <c r="C121" s="2" t="s">
        <v>36</v>
      </c>
      <c r="D121" s="2" t="s">
        <v>30</v>
      </c>
      <c r="E121" s="2" t="s">
        <v>31</v>
      </c>
      <c r="F121" s="2">
        <v>1036</v>
      </c>
      <c r="G121" s="2">
        <v>780.5</v>
      </c>
      <c r="H121" s="2">
        <v>762.4</v>
      </c>
      <c r="I121" s="2">
        <v>18.100000000000001</v>
      </c>
      <c r="J121" s="2">
        <v>0.83</v>
      </c>
      <c r="K121" s="2" t="s">
        <v>47</v>
      </c>
      <c r="L121" s="2" t="s">
        <v>38</v>
      </c>
      <c r="M121" s="2">
        <v>1604.6</v>
      </c>
      <c r="N121" s="2">
        <v>283.39999999999998</v>
      </c>
      <c r="O121" s="2">
        <v>89790.8</v>
      </c>
      <c r="P121" s="2">
        <v>184.1</v>
      </c>
      <c r="Q121" s="2">
        <v>1.68</v>
      </c>
      <c r="R121" s="2">
        <v>527.03</v>
      </c>
      <c r="S121" s="5">
        <f t="shared" si="9"/>
        <v>0.7533783783783784</v>
      </c>
      <c r="T121" s="5">
        <f t="shared" si="10"/>
        <v>0.89624999999999999</v>
      </c>
      <c r="U121" s="5">
        <f t="shared" si="11"/>
        <v>0.84058954351841386</v>
      </c>
      <c r="V121" s="5">
        <f t="shared" si="12"/>
        <v>0.97680973734785392</v>
      </c>
      <c r="W121" s="5">
        <f t="shared" si="13"/>
        <v>0.73590733590733592</v>
      </c>
      <c r="X121" s="5">
        <f t="shared" si="14"/>
        <v>2.3190262652146063E-2</v>
      </c>
      <c r="Y121" s="6">
        <f t="shared" si="15"/>
        <v>0.48641405957871126</v>
      </c>
      <c r="Z121" s="6">
        <f t="shared" si="16"/>
        <v>115.04266495836004</v>
      </c>
      <c r="AA121" s="2" t="str">
        <f t="shared" si="17"/>
        <v>Breakdown</v>
      </c>
    </row>
    <row r="122" spans="1:27" x14ac:dyDescent="0.25">
      <c r="A122" s="2">
        <v>118</v>
      </c>
      <c r="B122" s="4">
        <v>46062</v>
      </c>
      <c r="C122" s="2" t="s">
        <v>29</v>
      </c>
      <c r="D122" s="2" t="s">
        <v>35</v>
      </c>
      <c r="E122" s="2" t="s">
        <v>31</v>
      </c>
      <c r="F122" s="2">
        <v>902</v>
      </c>
      <c r="G122" s="2">
        <v>600.1</v>
      </c>
      <c r="H122" s="2">
        <v>595.70000000000005</v>
      </c>
      <c r="I122" s="2">
        <v>4.4000000000000004</v>
      </c>
      <c r="J122" s="2">
        <v>4.6399999999999997</v>
      </c>
      <c r="K122" s="2" t="s">
        <v>40</v>
      </c>
      <c r="L122" s="2" t="s">
        <v>41</v>
      </c>
      <c r="M122" s="2">
        <v>1266.0999999999999</v>
      </c>
      <c r="N122" s="2">
        <v>186.4</v>
      </c>
      <c r="O122" s="2">
        <v>69954.600000000006</v>
      </c>
      <c r="P122" s="2">
        <v>174.8</v>
      </c>
      <c r="Q122" s="2">
        <v>1.6</v>
      </c>
      <c r="R122" s="2">
        <v>228.99</v>
      </c>
      <c r="S122" s="5">
        <f t="shared" si="9"/>
        <v>0.66529933481152992</v>
      </c>
      <c r="T122" s="5">
        <f t="shared" si="10"/>
        <v>0.42000000000000004</v>
      </c>
      <c r="U122" s="5">
        <f t="shared" si="11"/>
        <v>1.5840460352655474</v>
      </c>
      <c r="V122" s="5">
        <f t="shared" si="12"/>
        <v>0.99266788868521916</v>
      </c>
      <c r="W122" s="5">
        <f t="shared" si="13"/>
        <v>0.66042128603104222</v>
      </c>
      <c r="X122" s="5">
        <f t="shared" si="14"/>
        <v>7.3321113147808703E-3</v>
      </c>
      <c r="Y122" s="6">
        <f t="shared" si="15"/>
        <v>0.4739751994313246</v>
      </c>
      <c r="Z122" s="6">
        <f t="shared" si="16"/>
        <v>116.57157140476588</v>
      </c>
      <c r="AA122" s="2" t="str">
        <f t="shared" si="17"/>
        <v>Planned</v>
      </c>
    </row>
    <row r="123" spans="1:27" x14ac:dyDescent="0.25">
      <c r="A123" s="2">
        <v>119</v>
      </c>
      <c r="B123" s="4">
        <v>46062</v>
      </c>
      <c r="C123" s="2" t="s">
        <v>34</v>
      </c>
      <c r="D123" s="2" t="s">
        <v>35</v>
      </c>
      <c r="E123" s="2" t="s">
        <v>39</v>
      </c>
      <c r="F123" s="2">
        <v>1011</v>
      </c>
      <c r="G123" s="2">
        <v>568.20000000000005</v>
      </c>
      <c r="H123" s="2">
        <v>553.70000000000005</v>
      </c>
      <c r="I123" s="2">
        <v>14.5</v>
      </c>
      <c r="J123" s="2">
        <v>2.89</v>
      </c>
      <c r="K123" s="2" t="s">
        <v>46</v>
      </c>
      <c r="L123" s="2" t="s">
        <v>38</v>
      </c>
      <c r="M123" s="2">
        <v>1172.0999999999999</v>
      </c>
      <c r="N123" s="2">
        <v>191.6</v>
      </c>
      <c r="O123" s="2">
        <v>60634.5</v>
      </c>
      <c r="P123" s="2">
        <v>183.4</v>
      </c>
      <c r="Q123" s="2">
        <v>1.37</v>
      </c>
      <c r="R123" s="2">
        <v>721.32</v>
      </c>
      <c r="S123" s="5">
        <f t="shared" si="9"/>
        <v>0.56201780415430269</v>
      </c>
      <c r="T123" s="5">
        <f t="shared" si="10"/>
        <v>0.63874999999999993</v>
      </c>
      <c r="U123" s="5">
        <f t="shared" si="11"/>
        <v>0.87987131765839965</v>
      </c>
      <c r="V123" s="5">
        <f t="shared" si="12"/>
        <v>0.97448081661386832</v>
      </c>
      <c r="W123" s="5">
        <f t="shared" si="13"/>
        <v>0.54767556874381795</v>
      </c>
      <c r="X123" s="5">
        <f t="shared" si="14"/>
        <v>2.5519183386131641E-2</v>
      </c>
      <c r="Y123" s="6">
        <f t="shared" si="15"/>
        <v>0.48477092398259541</v>
      </c>
      <c r="Z123" s="6">
        <f t="shared" si="16"/>
        <v>106.71330517423442</v>
      </c>
      <c r="AA123" s="2" t="str">
        <f t="shared" si="17"/>
        <v>Breakdown</v>
      </c>
    </row>
    <row r="124" spans="1:27" x14ac:dyDescent="0.25">
      <c r="A124" s="2">
        <v>120</v>
      </c>
      <c r="B124" s="4">
        <v>46062</v>
      </c>
      <c r="C124" s="2" t="s">
        <v>36</v>
      </c>
      <c r="D124" s="2" t="s">
        <v>30</v>
      </c>
      <c r="E124" s="2" t="s">
        <v>31</v>
      </c>
      <c r="F124" s="2">
        <v>973</v>
      </c>
      <c r="G124" s="2">
        <v>706.5</v>
      </c>
      <c r="H124" s="2">
        <v>698.2</v>
      </c>
      <c r="I124" s="2">
        <v>8.3000000000000007</v>
      </c>
      <c r="J124" s="2">
        <v>1.52</v>
      </c>
      <c r="K124" s="2" t="s">
        <v>47</v>
      </c>
      <c r="L124" s="2" t="s">
        <v>38</v>
      </c>
      <c r="M124" s="2">
        <v>1406.2</v>
      </c>
      <c r="N124" s="2">
        <v>217.6</v>
      </c>
      <c r="O124" s="2">
        <v>92642.3</v>
      </c>
      <c r="P124" s="2">
        <v>176.8</v>
      </c>
      <c r="Q124" s="2">
        <v>1.57</v>
      </c>
      <c r="R124" s="2">
        <v>303.23</v>
      </c>
      <c r="S124" s="5">
        <f t="shared" si="9"/>
        <v>0.72610483042137719</v>
      </c>
      <c r="T124" s="5">
        <f t="shared" si="10"/>
        <v>0.81</v>
      </c>
      <c r="U124" s="5">
        <f t="shared" si="11"/>
        <v>0.89642571656960146</v>
      </c>
      <c r="V124" s="5">
        <f t="shared" si="12"/>
        <v>0.98825194621372969</v>
      </c>
      <c r="W124" s="5">
        <f t="shared" si="13"/>
        <v>0.71757451181911613</v>
      </c>
      <c r="X124" s="5">
        <f t="shared" si="14"/>
        <v>1.1748053786270347E-2</v>
      </c>
      <c r="Y124" s="6">
        <f t="shared" si="15"/>
        <v>0.50241786374626651</v>
      </c>
      <c r="Z124" s="6">
        <f t="shared" si="16"/>
        <v>131.12852087756548</v>
      </c>
      <c r="AA124" s="2" t="str">
        <f t="shared" si="17"/>
        <v>Breakdown</v>
      </c>
    </row>
    <row r="125" spans="1:27" x14ac:dyDescent="0.25">
      <c r="A125" s="2">
        <v>121</v>
      </c>
      <c r="B125" s="4">
        <v>46063</v>
      </c>
      <c r="C125" s="2" t="s">
        <v>29</v>
      </c>
      <c r="D125" s="2" t="s">
        <v>30</v>
      </c>
      <c r="E125" s="2" t="s">
        <v>45</v>
      </c>
      <c r="F125" s="2">
        <v>913</v>
      </c>
      <c r="G125" s="2">
        <v>807.2</v>
      </c>
      <c r="H125" s="2">
        <v>793.8</v>
      </c>
      <c r="I125" s="2">
        <v>13.4</v>
      </c>
      <c r="J125" s="2">
        <v>0.1</v>
      </c>
      <c r="K125" s="2" t="s">
        <v>32</v>
      </c>
      <c r="L125" s="2" t="s">
        <v>33</v>
      </c>
      <c r="M125" s="2">
        <v>1640.9</v>
      </c>
      <c r="N125" s="2">
        <v>270.89999999999998</v>
      </c>
      <c r="O125" s="2">
        <v>93272.7</v>
      </c>
      <c r="P125" s="2">
        <v>174.1</v>
      </c>
      <c r="Q125" s="2">
        <v>1.84</v>
      </c>
      <c r="R125" s="2">
        <v>0</v>
      </c>
      <c r="S125" s="5">
        <f t="shared" si="9"/>
        <v>0.8841182913472071</v>
      </c>
      <c r="T125" s="5">
        <f t="shared" si="10"/>
        <v>0.98750000000000004</v>
      </c>
      <c r="U125" s="5">
        <f t="shared" si="11"/>
        <v>0.89530966212375385</v>
      </c>
      <c r="V125" s="5">
        <f t="shared" si="12"/>
        <v>0.98339940535183334</v>
      </c>
      <c r="W125" s="5">
        <f t="shared" si="13"/>
        <v>0.86944140197152231</v>
      </c>
      <c r="X125" s="5">
        <f t="shared" si="14"/>
        <v>1.6600594648166499E-2</v>
      </c>
      <c r="Y125" s="6">
        <f t="shared" si="15"/>
        <v>0.49192516302029377</v>
      </c>
      <c r="Z125" s="6">
        <f t="shared" si="16"/>
        <v>115.55091674925669</v>
      </c>
      <c r="AA125" s="2" t="str">
        <f t="shared" si="17"/>
        <v>No Maintenance</v>
      </c>
    </row>
    <row r="126" spans="1:27" x14ac:dyDescent="0.25">
      <c r="A126" s="2">
        <v>122</v>
      </c>
      <c r="B126" s="4">
        <v>46063</v>
      </c>
      <c r="C126" s="2" t="s">
        <v>34</v>
      </c>
      <c r="D126" s="2" t="s">
        <v>35</v>
      </c>
      <c r="E126" s="2" t="s">
        <v>39</v>
      </c>
      <c r="F126" s="2">
        <v>918</v>
      </c>
      <c r="G126" s="2">
        <v>785.8</v>
      </c>
      <c r="H126" s="2">
        <v>781</v>
      </c>
      <c r="I126" s="2">
        <v>4.8</v>
      </c>
      <c r="J126" s="2">
        <v>0.35</v>
      </c>
      <c r="K126" s="2" t="s">
        <v>32</v>
      </c>
      <c r="L126" s="2" t="s">
        <v>33</v>
      </c>
      <c r="M126" s="2">
        <v>1638.1</v>
      </c>
      <c r="N126" s="2">
        <v>260.5</v>
      </c>
      <c r="O126" s="2">
        <v>88995</v>
      </c>
      <c r="P126" s="2">
        <v>174</v>
      </c>
      <c r="Q126" s="2">
        <v>2.0299999999999998</v>
      </c>
      <c r="R126" s="2">
        <v>0</v>
      </c>
      <c r="S126" s="5">
        <f t="shared" si="9"/>
        <v>0.85599128540305003</v>
      </c>
      <c r="T126" s="5">
        <f t="shared" si="10"/>
        <v>0.95625000000000004</v>
      </c>
      <c r="U126" s="5">
        <f t="shared" si="11"/>
        <v>0.89515428538881048</v>
      </c>
      <c r="V126" s="5">
        <f t="shared" si="12"/>
        <v>0.9938915754644948</v>
      </c>
      <c r="W126" s="5">
        <f t="shared" si="13"/>
        <v>0.85076252723311541</v>
      </c>
      <c r="X126" s="5">
        <f t="shared" si="14"/>
        <v>6.1084245355052177E-3</v>
      </c>
      <c r="Y126" s="6">
        <f t="shared" si="15"/>
        <v>0.47970209388926194</v>
      </c>
      <c r="Z126" s="6">
        <f t="shared" si="16"/>
        <v>113.25400865360143</v>
      </c>
      <c r="AA126" s="2" t="str">
        <f t="shared" si="17"/>
        <v>No Maintenance</v>
      </c>
    </row>
    <row r="127" spans="1:27" x14ac:dyDescent="0.25">
      <c r="A127" s="2">
        <v>123</v>
      </c>
      <c r="B127" s="4">
        <v>46063</v>
      </c>
      <c r="C127" s="2" t="s">
        <v>36</v>
      </c>
      <c r="D127" s="2" t="s">
        <v>30</v>
      </c>
      <c r="E127" s="2" t="s">
        <v>31</v>
      </c>
      <c r="F127" s="2">
        <v>964</v>
      </c>
      <c r="G127" s="2">
        <v>795.1</v>
      </c>
      <c r="H127" s="2">
        <v>782.7</v>
      </c>
      <c r="I127" s="2">
        <v>12.4</v>
      </c>
      <c r="J127" s="2">
        <v>0.34</v>
      </c>
      <c r="K127" s="2" t="s">
        <v>32</v>
      </c>
      <c r="L127" s="2" t="s">
        <v>33</v>
      </c>
      <c r="M127" s="2">
        <v>1676.2</v>
      </c>
      <c r="N127" s="2">
        <v>241.5</v>
      </c>
      <c r="O127" s="2">
        <v>98317.6</v>
      </c>
      <c r="P127" s="2">
        <v>182.2</v>
      </c>
      <c r="Q127" s="2">
        <v>1.65</v>
      </c>
      <c r="R127" s="2">
        <v>0</v>
      </c>
      <c r="S127" s="5">
        <f t="shared" si="9"/>
        <v>0.82479253112033202</v>
      </c>
      <c r="T127" s="5">
        <f t="shared" si="10"/>
        <v>0.95750000000000002</v>
      </c>
      <c r="U127" s="5">
        <f t="shared" si="11"/>
        <v>0.86140212127449822</v>
      </c>
      <c r="V127" s="5">
        <f t="shared" si="12"/>
        <v>0.98440447742422343</v>
      </c>
      <c r="W127" s="5">
        <f t="shared" si="13"/>
        <v>0.81192946058091298</v>
      </c>
      <c r="X127" s="5">
        <f t="shared" si="14"/>
        <v>1.5595522575776632E-2</v>
      </c>
      <c r="Y127" s="6">
        <f t="shared" si="15"/>
        <v>0.47434673666626892</v>
      </c>
      <c r="Z127" s="6">
        <f t="shared" si="16"/>
        <v>123.65438309646586</v>
      </c>
      <c r="AA127" s="2" t="str">
        <f t="shared" si="17"/>
        <v>No Maintenance</v>
      </c>
    </row>
    <row r="128" spans="1:27" x14ac:dyDescent="0.25">
      <c r="A128" s="2">
        <v>124</v>
      </c>
      <c r="B128" s="4">
        <v>46064</v>
      </c>
      <c r="C128" s="2" t="s">
        <v>29</v>
      </c>
      <c r="D128" s="2" t="s">
        <v>30</v>
      </c>
      <c r="E128" s="2" t="s">
        <v>31</v>
      </c>
      <c r="F128" s="2">
        <v>977</v>
      </c>
      <c r="G128" s="2">
        <v>857.1</v>
      </c>
      <c r="H128" s="2">
        <v>848.7</v>
      </c>
      <c r="I128" s="2">
        <v>8.4</v>
      </c>
      <c r="J128" s="2">
        <v>0.11</v>
      </c>
      <c r="K128" s="2" t="s">
        <v>32</v>
      </c>
      <c r="L128" s="2" t="s">
        <v>33</v>
      </c>
      <c r="M128" s="2">
        <v>1721</v>
      </c>
      <c r="N128" s="2">
        <v>280</v>
      </c>
      <c r="O128" s="2">
        <v>95935.1</v>
      </c>
      <c r="P128" s="2">
        <v>180.7</v>
      </c>
      <c r="Q128" s="2">
        <v>1.74</v>
      </c>
      <c r="R128" s="2">
        <v>0</v>
      </c>
      <c r="S128" s="5">
        <f t="shared" si="9"/>
        <v>0.8772773797338792</v>
      </c>
      <c r="T128" s="5">
        <f t="shared" si="10"/>
        <v>0.98624999999999996</v>
      </c>
      <c r="U128" s="5">
        <f t="shared" si="11"/>
        <v>0.88950811633346438</v>
      </c>
      <c r="V128" s="5">
        <f t="shared" si="12"/>
        <v>0.99019950997549877</v>
      </c>
      <c r="W128" s="5">
        <f t="shared" si="13"/>
        <v>0.86867963152507677</v>
      </c>
      <c r="X128" s="5">
        <f t="shared" si="14"/>
        <v>9.8004900245012259E-3</v>
      </c>
      <c r="Y128" s="6">
        <f t="shared" si="15"/>
        <v>0.49802440441603718</v>
      </c>
      <c r="Z128" s="6">
        <f t="shared" si="16"/>
        <v>111.9298798273247</v>
      </c>
      <c r="AA128" s="2" t="str">
        <f t="shared" si="17"/>
        <v>No Maintenance</v>
      </c>
    </row>
    <row r="129" spans="1:27" x14ac:dyDescent="0.25">
      <c r="A129" s="2">
        <v>125</v>
      </c>
      <c r="B129" s="4">
        <v>46064</v>
      </c>
      <c r="C129" s="2" t="s">
        <v>34</v>
      </c>
      <c r="D129" s="2" t="s">
        <v>35</v>
      </c>
      <c r="E129" s="2" t="s">
        <v>31</v>
      </c>
      <c r="F129" s="2">
        <v>934</v>
      </c>
      <c r="G129" s="2">
        <v>580.29999999999995</v>
      </c>
      <c r="H129" s="2">
        <v>573.29999999999995</v>
      </c>
      <c r="I129" s="2">
        <v>7</v>
      </c>
      <c r="J129" s="2">
        <v>2.77</v>
      </c>
      <c r="K129" s="2" t="s">
        <v>46</v>
      </c>
      <c r="L129" s="2" t="s">
        <v>38</v>
      </c>
      <c r="M129" s="2">
        <v>1197.3</v>
      </c>
      <c r="N129" s="2">
        <v>193.3</v>
      </c>
      <c r="O129" s="2">
        <v>65214.8</v>
      </c>
      <c r="P129" s="2">
        <v>173.3</v>
      </c>
      <c r="Q129" s="2">
        <v>1.45</v>
      </c>
      <c r="R129" s="2">
        <v>383.09</v>
      </c>
      <c r="S129" s="5">
        <f t="shared" si="9"/>
        <v>0.62130620985010698</v>
      </c>
      <c r="T129" s="5">
        <f t="shared" si="10"/>
        <v>0.65375000000000005</v>
      </c>
      <c r="U129" s="5">
        <f t="shared" si="11"/>
        <v>0.95037278753362442</v>
      </c>
      <c r="V129" s="5">
        <f t="shared" si="12"/>
        <v>0.98793727382388419</v>
      </c>
      <c r="W129" s="5">
        <f t="shared" si="13"/>
        <v>0.61381156316916474</v>
      </c>
      <c r="X129" s="5">
        <f t="shared" si="14"/>
        <v>1.2062726176115804E-2</v>
      </c>
      <c r="Y129" s="6">
        <f t="shared" si="15"/>
        <v>0.48467384949469638</v>
      </c>
      <c r="Z129" s="6">
        <f t="shared" si="16"/>
        <v>112.38118214716528</v>
      </c>
      <c r="AA129" s="2" t="str">
        <f t="shared" si="17"/>
        <v>Breakdown</v>
      </c>
    </row>
    <row r="130" spans="1:27" x14ac:dyDescent="0.25">
      <c r="A130" s="2">
        <v>126</v>
      </c>
      <c r="B130" s="4">
        <v>46064</v>
      </c>
      <c r="C130" s="2" t="s">
        <v>36</v>
      </c>
      <c r="D130" s="2" t="s">
        <v>30</v>
      </c>
      <c r="E130" s="2" t="s">
        <v>31</v>
      </c>
      <c r="F130" s="2">
        <v>946</v>
      </c>
      <c r="G130" s="2">
        <v>751.7</v>
      </c>
      <c r="H130" s="2">
        <v>730.5</v>
      </c>
      <c r="I130" s="2">
        <v>21.2</v>
      </c>
      <c r="J130" s="2">
        <v>0.14000000000000001</v>
      </c>
      <c r="K130" s="2" t="s">
        <v>32</v>
      </c>
      <c r="L130" s="2" t="s">
        <v>33</v>
      </c>
      <c r="M130" s="2">
        <v>1569.8</v>
      </c>
      <c r="N130" s="2">
        <v>266.3</v>
      </c>
      <c r="O130" s="2">
        <v>82843.3</v>
      </c>
      <c r="P130" s="2">
        <v>175.9</v>
      </c>
      <c r="Q130" s="2">
        <v>1.9</v>
      </c>
      <c r="R130" s="2">
        <v>0</v>
      </c>
      <c r="S130" s="5">
        <f t="shared" si="9"/>
        <v>0.79460887949260051</v>
      </c>
      <c r="T130" s="5">
        <f t="shared" si="10"/>
        <v>0.98250000000000004</v>
      </c>
      <c r="U130" s="5">
        <f t="shared" si="11"/>
        <v>0.80876221831307926</v>
      </c>
      <c r="V130" s="5">
        <f t="shared" si="12"/>
        <v>0.97179725954503116</v>
      </c>
      <c r="W130" s="5">
        <f t="shared" si="13"/>
        <v>0.772198731501057</v>
      </c>
      <c r="X130" s="5">
        <f t="shared" si="14"/>
        <v>2.8202740454968733E-2</v>
      </c>
      <c r="Y130" s="6">
        <f t="shared" si="15"/>
        <v>0.4788508090202574</v>
      </c>
      <c r="Z130" s="6">
        <f t="shared" si="16"/>
        <v>110.2079286949581</v>
      </c>
      <c r="AA130" s="2" t="str">
        <f t="shared" si="17"/>
        <v>No Maintenance</v>
      </c>
    </row>
    <row r="131" spans="1:27" x14ac:dyDescent="0.25">
      <c r="A131" s="2">
        <v>127</v>
      </c>
      <c r="B131" s="4">
        <v>46065</v>
      </c>
      <c r="C131" s="2" t="s">
        <v>29</v>
      </c>
      <c r="D131" s="2" t="s">
        <v>35</v>
      </c>
      <c r="E131" s="2" t="s">
        <v>39</v>
      </c>
      <c r="F131" s="2">
        <v>946</v>
      </c>
      <c r="G131" s="2">
        <v>717.4</v>
      </c>
      <c r="H131" s="2">
        <v>710.6</v>
      </c>
      <c r="I131" s="2">
        <v>6.9</v>
      </c>
      <c r="J131" s="2">
        <v>2.14</v>
      </c>
      <c r="K131" s="2" t="s">
        <v>42</v>
      </c>
      <c r="L131" s="2" t="s">
        <v>38</v>
      </c>
      <c r="M131" s="2">
        <v>1462.7</v>
      </c>
      <c r="N131" s="2">
        <v>241.3</v>
      </c>
      <c r="O131" s="2">
        <v>79952.600000000006</v>
      </c>
      <c r="P131" s="2">
        <v>180.7</v>
      </c>
      <c r="Q131" s="2">
        <v>1.75</v>
      </c>
      <c r="R131" s="2">
        <v>577.54999999999995</v>
      </c>
      <c r="S131" s="5">
        <f t="shared" si="9"/>
        <v>0.75835095137420716</v>
      </c>
      <c r="T131" s="5">
        <f t="shared" si="10"/>
        <v>0.73249999999999993</v>
      </c>
      <c r="U131" s="5">
        <f t="shared" si="11"/>
        <v>1.0352914011934571</v>
      </c>
      <c r="V131" s="5">
        <f t="shared" si="12"/>
        <v>0.99052132701421802</v>
      </c>
      <c r="W131" s="5">
        <f t="shared" si="13"/>
        <v>0.75116279069767455</v>
      </c>
      <c r="X131" s="5">
        <f t="shared" si="14"/>
        <v>9.6180652355729035E-3</v>
      </c>
      <c r="Y131" s="6">
        <f t="shared" si="15"/>
        <v>0.49046284268817936</v>
      </c>
      <c r="Z131" s="6">
        <f t="shared" si="16"/>
        <v>111.44772790632842</v>
      </c>
      <c r="AA131" s="2" t="str">
        <f t="shared" si="17"/>
        <v>Breakdown</v>
      </c>
    </row>
    <row r="132" spans="1:27" x14ac:dyDescent="0.25">
      <c r="A132" s="2">
        <v>128</v>
      </c>
      <c r="B132" s="4">
        <v>46065</v>
      </c>
      <c r="C132" s="2" t="s">
        <v>34</v>
      </c>
      <c r="D132" s="2" t="s">
        <v>30</v>
      </c>
      <c r="E132" s="2" t="s">
        <v>39</v>
      </c>
      <c r="F132" s="2">
        <v>1004</v>
      </c>
      <c r="G132" s="2">
        <v>637.20000000000005</v>
      </c>
      <c r="H132" s="2">
        <v>628.20000000000005</v>
      </c>
      <c r="I132" s="2">
        <v>9</v>
      </c>
      <c r="J132" s="2">
        <v>2.87</v>
      </c>
      <c r="K132" s="2" t="s">
        <v>44</v>
      </c>
      <c r="L132" s="2" t="s">
        <v>38</v>
      </c>
      <c r="M132" s="2">
        <v>1324.1</v>
      </c>
      <c r="N132" s="2">
        <v>193.4</v>
      </c>
      <c r="O132" s="2">
        <v>77912.600000000006</v>
      </c>
      <c r="P132" s="2">
        <v>175.9</v>
      </c>
      <c r="Q132" s="2">
        <v>1.78</v>
      </c>
      <c r="R132" s="2">
        <v>744.82</v>
      </c>
      <c r="S132" s="5">
        <f t="shared" si="9"/>
        <v>0.63466135458167339</v>
      </c>
      <c r="T132" s="5">
        <f t="shared" si="10"/>
        <v>0.64124999999999999</v>
      </c>
      <c r="U132" s="5">
        <f t="shared" si="11"/>
        <v>0.98972530928915936</v>
      </c>
      <c r="V132" s="5">
        <f t="shared" si="12"/>
        <v>0.98587570621468923</v>
      </c>
      <c r="W132" s="5">
        <f t="shared" si="13"/>
        <v>0.62569721115537857</v>
      </c>
      <c r="X132" s="5">
        <f t="shared" si="14"/>
        <v>1.4124293785310733E-2</v>
      </c>
      <c r="Y132" s="6">
        <f t="shared" si="15"/>
        <v>0.48123253530700105</v>
      </c>
      <c r="Z132" s="6">
        <f t="shared" si="16"/>
        <v>122.27338355304457</v>
      </c>
      <c r="AA132" s="2" t="str">
        <f t="shared" si="17"/>
        <v>Breakdown</v>
      </c>
    </row>
    <row r="133" spans="1:27" x14ac:dyDescent="0.25">
      <c r="A133" s="2">
        <v>129</v>
      </c>
      <c r="B133" s="4">
        <v>46065</v>
      </c>
      <c r="C133" s="2" t="s">
        <v>36</v>
      </c>
      <c r="D133" s="2" t="s">
        <v>30</v>
      </c>
      <c r="E133" s="2" t="s">
        <v>31</v>
      </c>
      <c r="F133" s="2">
        <v>930</v>
      </c>
      <c r="G133" s="2">
        <v>581.70000000000005</v>
      </c>
      <c r="H133" s="2">
        <v>570.5</v>
      </c>
      <c r="I133" s="2">
        <v>11.2</v>
      </c>
      <c r="J133" s="2">
        <v>3.67</v>
      </c>
      <c r="K133" s="2" t="s">
        <v>48</v>
      </c>
      <c r="L133" s="2" t="s">
        <v>43</v>
      </c>
      <c r="M133" s="2">
        <v>1224</v>
      </c>
      <c r="N133" s="2">
        <v>180.1</v>
      </c>
      <c r="O133" s="2">
        <v>63366.6</v>
      </c>
      <c r="P133" s="2">
        <v>186.5</v>
      </c>
      <c r="Q133" s="2">
        <v>1.66</v>
      </c>
      <c r="R133" s="2">
        <v>1431.37</v>
      </c>
      <c r="S133" s="5">
        <f t="shared" ref="S133:S196" si="18">G133/F133</f>
        <v>0.62548387096774194</v>
      </c>
      <c r="T133" s="5">
        <f t="shared" ref="T133:T196" si="19">MAX(0,1-J133/8)</f>
        <v>0.54125000000000001</v>
      </c>
      <c r="U133" s="5">
        <f t="shared" ref="U133:U196" si="20">IFERROR(G133/(F133*T133),0)</f>
        <v>1.1556283990166134</v>
      </c>
      <c r="V133" s="5">
        <f t="shared" ref="V133:V196" si="21">IFERROR(H133/G133,0)</f>
        <v>0.98074608904933802</v>
      </c>
      <c r="W133" s="5">
        <f t="shared" ref="W133:W196" si="22">T133*U133*V133</f>
        <v>0.61344086021505384</v>
      </c>
      <c r="X133" s="5">
        <f t="shared" ref="X133:X196" si="23">IFERROR(I133/G133,0)</f>
        <v>1.925391095066185E-2</v>
      </c>
      <c r="Y133" s="6">
        <f t="shared" ref="Y133:Y196" si="24">IFERROR(G133/M133,0)</f>
        <v>0.47524509803921572</v>
      </c>
      <c r="Z133" s="6">
        <f t="shared" ref="Z133:Z196" si="25">IFERROR(O133/G133,0)</f>
        <v>108.93347086126869</v>
      </c>
      <c r="AA133" s="2" t="str">
        <f t="shared" ref="AA133:AA196" si="26">IF(L133="None","No Maintenance",IF(L133="Preventive","Planned","Breakdown"))</f>
        <v>Breakdown</v>
      </c>
    </row>
    <row r="134" spans="1:27" x14ac:dyDescent="0.25">
      <c r="A134" s="2">
        <v>130</v>
      </c>
      <c r="B134" s="4">
        <v>46066</v>
      </c>
      <c r="C134" s="2" t="s">
        <v>29</v>
      </c>
      <c r="D134" s="2" t="s">
        <v>35</v>
      </c>
      <c r="E134" s="2" t="s">
        <v>39</v>
      </c>
      <c r="F134" s="2">
        <v>952</v>
      </c>
      <c r="G134" s="2">
        <v>663.2</v>
      </c>
      <c r="H134" s="2">
        <v>651.70000000000005</v>
      </c>
      <c r="I134" s="2">
        <v>11.5</v>
      </c>
      <c r="J134" s="2">
        <v>2.3199999999999998</v>
      </c>
      <c r="K134" s="2" t="s">
        <v>44</v>
      </c>
      <c r="L134" s="2" t="s">
        <v>38</v>
      </c>
      <c r="M134" s="2">
        <v>1408.7</v>
      </c>
      <c r="N134" s="2">
        <v>216.6</v>
      </c>
      <c r="O134" s="2">
        <v>86521.7</v>
      </c>
      <c r="P134" s="2">
        <v>178.4</v>
      </c>
      <c r="Q134" s="2">
        <v>1.55</v>
      </c>
      <c r="R134" s="2">
        <v>370.42</v>
      </c>
      <c r="S134" s="5">
        <f t="shared" si="18"/>
        <v>0.69663865546218495</v>
      </c>
      <c r="T134" s="5">
        <f t="shared" si="19"/>
        <v>0.71</v>
      </c>
      <c r="U134" s="5">
        <f t="shared" si="20"/>
        <v>0.98118120487631688</v>
      </c>
      <c r="V134" s="5">
        <f t="shared" si="21"/>
        <v>0.98265983112183353</v>
      </c>
      <c r="W134" s="5">
        <f t="shared" si="22"/>
        <v>0.68455882352941189</v>
      </c>
      <c r="X134" s="5">
        <f t="shared" si="23"/>
        <v>1.7340168878166463E-2</v>
      </c>
      <c r="Y134" s="6">
        <f t="shared" si="24"/>
        <v>0.47078867040533828</v>
      </c>
      <c r="Z134" s="6">
        <f t="shared" si="25"/>
        <v>130.46094692400482</v>
      </c>
      <c r="AA134" s="2" t="str">
        <f t="shared" si="26"/>
        <v>Breakdown</v>
      </c>
    </row>
    <row r="135" spans="1:27" x14ac:dyDescent="0.25">
      <c r="A135" s="2">
        <v>131</v>
      </c>
      <c r="B135" s="4">
        <v>46066</v>
      </c>
      <c r="C135" s="2" t="s">
        <v>34</v>
      </c>
      <c r="D135" s="2" t="s">
        <v>35</v>
      </c>
      <c r="E135" s="2" t="s">
        <v>31</v>
      </c>
      <c r="F135" s="2">
        <v>1020</v>
      </c>
      <c r="G135" s="2">
        <v>620.6</v>
      </c>
      <c r="H135" s="2">
        <v>617.70000000000005</v>
      </c>
      <c r="I135" s="2">
        <v>2.9</v>
      </c>
      <c r="J135" s="2">
        <v>4.32</v>
      </c>
      <c r="K135" s="2" t="s">
        <v>40</v>
      </c>
      <c r="L135" s="2" t="s">
        <v>41</v>
      </c>
      <c r="M135" s="2">
        <v>1289.9000000000001</v>
      </c>
      <c r="N135" s="2">
        <v>203</v>
      </c>
      <c r="O135" s="2">
        <v>72887.899999999994</v>
      </c>
      <c r="P135" s="2">
        <v>183.7</v>
      </c>
      <c r="Q135" s="2">
        <v>1.7</v>
      </c>
      <c r="R135" s="2">
        <v>151.24</v>
      </c>
      <c r="S135" s="5">
        <f t="shared" si="18"/>
        <v>0.60843137254901958</v>
      </c>
      <c r="T135" s="5">
        <f t="shared" si="19"/>
        <v>0.45999999999999996</v>
      </c>
      <c r="U135" s="5">
        <f t="shared" si="20"/>
        <v>1.3226768968456948</v>
      </c>
      <c r="V135" s="5">
        <f t="shared" si="21"/>
        <v>0.99532710280373837</v>
      </c>
      <c r="W135" s="5">
        <f t="shared" si="22"/>
        <v>0.60558823529411765</v>
      </c>
      <c r="X135" s="5">
        <f t="shared" si="23"/>
        <v>4.6728971962616819E-3</v>
      </c>
      <c r="Y135" s="6">
        <f t="shared" si="24"/>
        <v>0.48112256764090239</v>
      </c>
      <c r="Z135" s="6">
        <f t="shared" si="25"/>
        <v>117.44747019013856</v>
      </c>
      <c r="AA135" s="2" t="str">
        <f t="shared" si="26"/>
        <v>Planned</v>
      </c>
    </row>
    <row r="136" spans="1:27" x14ac:dyDescent="0.25">
      <c r="A136" s="2">
        <v>132</v>
      </c>
      <c r="B136" s="4">
        <v>46066</v>
      </c>
      <c r="C136" s="2" t="s">
        <v>36</v>
      </c>
      <c r="D136" s="2" t="s">
        <v>30</v>
      </c>
      <c r="E136" s="2" t="s">
        <v>31</v>
      </c>
      <c r="F136" s="2">
        <v>1039</v>
      </c>
      <c r="G136" s="2">
        <v>592.9</v>
      </c>
      <c r="H136" s="2">
        <v>585.9</v>
      </c>
      <c r="I136" s="2">
        <v>7.1</v>
      </c>
      <c r="J136" s="2">
        <v>3.73</v>
      </c>
      <c r="K136" s="2" t="s">
        <v>40</v>
      </c>
      <c r="L136" s="2" t="s">
        <v>41</v>
      </c>
      <c r="M136" s="2">
        <v>1223</v>
      </c>
      <c r="N136" s="2">
        <v>195.6</v>
      </c>
      <c r="O136" s="2">
        <v>67913.399999999994</v>
      </c>
      <c r="P136" s="2">
        <v>164.9</v>
      </c>
      <c r="Q136" s="2">
        <v>1.7</v>
      </c>
      <c r="R136" s="2">
        <v>123.39</v>
      </c>
      <c r="S136" s="5">
        <f t="shared" si="18"/>
        <v>0.57064485081809435</v>
      </c>
      <c r="T136" s="5">
        <f t="shared" si="19"/>
        <v>0.53374999999999995</v>
      </c>
      <c r="U136" s="5">
        <f t="shared" si="20"/>
        <v>1.0691238422821439</v>
      </c>
      <c r="V136" s="5">
        <f t="shared" si="21"/>
        <v>0.9881936245572609</v>
      </c>
      <c r="W136" s="5">
        <f t="shared" si="22"/>
        <v>0.56390760346487001</v>
      </c>
      <c r="X136" s="5">
        <f t="shared" si="23"/>
        <v>1.1975037949063924E-2</v>
      </c>
      <c r="Y136" s="6">
        <f t="shared" si="24"/>
        <v>0.48479149632052326</v>
      </c>
      <c r="Z136" s="6">
        <f t="shared" si="25"/>
        <v>114.54444257041659</v>
      </c>
      <c r="AA136" s="2" t="str">
        <f t="shared" si="26"/>
        <v>Planned</v>
      </c>
    </row>
    <row r="137" spans="1:27" x14ac:dyDescent="0.25">
      <c r="A137" s="2">
        <v>133</v>
      </c>
      <c r="B137" s="4">
        <v>46067</v>
      </c>
      <c r="C137" s="2" t="s">
        <v>29</v>
      </c>
      <c r="D137" s="2" t="s">
        <v>35</v>
      </c>
      <c r="E137" s="2" t="s">
        <v>45</v>
      </c>
      <c r="F137" s="2">
        <v>1046</v>
      </c>
      <c r="G137" s="2">
        <v>943.5</v>
      </c>
      <c r="H137" s="2">
        <v>929.6</v>
      </c>
      <c r="I137" s="2">
        <v>13.9</v>
      </c>
      <c r="J137" s="2">
        <v>0.33</v>
      </c>
      <c r="K137" s="2" t="s">
        <v>32</v>
      </c>
      <c r="L137" s="2" t="s">
        <v>33</v>
      </c>
      <c r="M137" s="2">
        <v>1889.9</v>
      </c>
      <c r="N137" s="2">
        <v>309.60000000000002</v>
      </c>
      <c r="O137" s="2">
        <v>116093.3</v>
      </c>
      <c r="P137" s="2">
        <v>173.3</v>
      </c>
      <c r="Q137" s="2">
        <v>1.9</v>
      </c>
      <c r="R137" s="2">
        <v>0</v>
      </c>
      <c r="S137" s="5">
        <f t="shared" si="18"/>
        <v>0.90200764818355639</v>
      </c>
      <c r="T137" s="5">
        <f t="shared" si="19"/>
        <v>0.95874999999999999</v>
      </c>
      <c r="U137" s="5">
        <f t="shared" si="20"/>
        <v>0.94081632144308369</v>
      </c>
      <c r="V137" s="5">
        <f t="shared" si="21"/>
        <v>0.98526762056173822</v>
      </c>
      <c r="W137" s="5">
        <f t="shared" si="22"/>
        <v>0.88871892925430218</v>
      </c>
      <c r="X137" s="5">
        <f t="shared" si="23"/>
        <v>1.4732379438261792E-2</v>
      </c>
      <c r="Y137" s="6">
        <f t="shared" si="24"/>
        <v>0.49923276363828772</v>
      </c>
      <c r="Z137" s="6">
        <f t="shared" si="25"/>
        <v>123.0453630100689</v>
      </c>
      <c r="AA137" s="2" t="str">
        <f t="shared" si="26"/>
        <v>No Maintenance</v>
      </c>
    </row>
    <row r="138" spans="1:27" x14ac:dyDescent="0.25">
      <c r="A138" s="2">
        <v>134</v>
      </c>
      <c r="B138" s="4">
        <v>46067</v>
      </c>
      <c r="C138" s="2" t="s">
        <v>34</v>
      </c>
      <c r="D138" s="2" t="s">
        <v>35</v>
      </c>
      <c r="E138" s="2" t="s">
        <v>31</v>
      </c>
      <c r="F138" s="2">
        <v>1035</v>
      </c>
      <c r="G138" s="2">
        <v>794.6</v>
      </c>
      <c r="H138" s="2">
        <v>783.4</v>
      </c>
      <c r="I138" s="2">
        <v>11.2</v>
      </c>
      <c r="J138" s="2">
        <v>1.36</v>
      </c>
      <c r="K138" s="2" t="s">
        <v>42</v>
      </c>
      <c r="L138" s="2" t="s">
        <v>43</v>
      </c>
      <c r="M138" s="2">
        <v>1637.6</v>
      </c>
      <c r="N138" s="2">
        <v>268</v>
      </c>
      <c r="O138" s="2">
        <v>95265.2</v>
      </c>
      <c r="P138" s="2">
        <v>182.3</v>
      </c>
      <c r="Q138" s="2">
        <v>1.46</v>
      </c>
      <c r="R138" s="2">
        <v>1049.48</v>
      </c>
      <c r="S138" s="5">
        <f t="shared" si="18"/>
        <v>0.76772946859903379</v>
      </c>
      <c r="T138" s="5">
        <f t="shared" si="19"/>
        <v>0.83</v>
      </c>
      <c r="U138" s="5">
        <f t="shared" si="20"/>
        <v>0.92497526337232994</v>
      </c>
      <c r="V138" s="5">
        <f t="shared" si="21"/>
        <v>0.98590485779008297</v>
      </c>
      <c r="W138" s="5">
        <f t="shared" si="22"/>
        <v>0.75690821256038643</v>
      </c>
      <c r="X138" s="5">
        <f t="shared" si="23"/>
        <v>1.4095142209916938E-2</v>
      </c>
      <c r="Y138" s="6">
        <f t="shared" si="24"/>
        <v>0.4852222765021984</v>
      </c>
      <c r="Z138" s="6">
        <f t="shared" si="25"/>
        <v>119.89076264787313</v>
      </c>
      <c r="AA138" s="2" t="str">
        <f t="shared" si="26"/>
        <v>Breakdown</v>
      </c>
    </row>
    <row r="139" spans="1:27" x14ac:dyDescent="0.25">
      <c r="A139" s="2">
        <v>135</v>
      </c>
      <c r="B139" s="4">
        <v>46067</v>
      </c>
      <c r="C139" s="2" t="s">
        <v>36</v>
      </c>
      <c r="D139" s="2" t="s">
        <v>35</v>
      </c>
      <c r="E139" s="2" t="s">
        <v>31</v>
      </c>
      <c r="F139" s="2">
        <v>915</v>
      </c>
      <c r="G139" s="2">
        <v>856.3</v>
      </c>
      <c r="H139" s="2">
        <v>845.2</v>
      </c>
      <c r="I139" s="2">
        <v>11.1</v>
      </c>
      <c r="J139" s="2">
        <v>0.15</v>
      </c>
      <c r="K139" s="2" t="s">
        <v>32</v>
      </c>
      <c r="L139" s="2" t="s">
        <v>33</v>
      </c>
      <c r="M139" s="2">
        <v>1720.5</v>
      </c>
      <c r="N139" s="2">
        <v>292.10000000000002</v>
      </c>
      <c r="O139" s="2">
        <v>112703.5</v>
      </c>
      <c r="P139" s="2">
        <v>177.8</v>
      </c>
      <c r="Q139" s="2">
        <v>1.58</v>
      </c>
      <c r="R139" s="2">
        <v>0</v>
      </c>
      <c r="S139" s="5">
        <f t="shared" si="18"/>
        <v>0.93584699453551912</v>
      </c>
      <c r="T139" s="5">
        <f t="shared" si="19"/>
        <v>0.98124999999999996</v>
      </c>
      <c r="U139" s="5">
        <f t="shared" si="20"/>
        <v>0.95372942118269455</v>
      </c>
      <c r="V139" s="5">
        <f t="shared" si="21"/>
        <v>0.98703725329907754</v>
      </c>
      <c r="W139" s="5">
        <f t="shared" si="22"/>
        <v>0.92371584699453546</v>
      </c>
      <c r="X139" s="5">
        <f t="shared" si="23"/>
        <v>1.2962746700922574E-2</v>
      </c>
      <c r="Y139" s="6">
        <f t="shared" si="24"/>
        <v>0.49770415576867189</v>
      </c>
      <c r="Z139" s="6">
        <f t="shared" si="25"/>
        <v>131.61683989256102</v>
      </c>
      <c r="AA139" s="2" t="str">
        <f t="shared" si="26"/>
        <v>No Maintenance</v>
      </c>
    </row>
    <row r="140" spans="1:27" x14ac:dyDescent="0.25">
      <c r="A140" s="2">
        <v>136</v>
      </c>
      <c r="B140" s="4">
        <v>46068</v>
      </c>
      <c r="C140" s="2" t="s">
        <v>29</v>
      </c>
      <c r="D140" s="2" t="s">
        <v>30</v>
      </c>
      <c r="E140" s="2" t="s">
        <v>31</v>
      </c>
      <c r="F140" s="2">
        <v>965</v>
      </c>
      <c r="G140" s="2">
        <v>639.29999999999995</v>
      </c>
      <c r="H140" s="2">
        <v>633.1</v>
      </c>
      <c r="I140" s="2">
        <v>6.2</v>
      </c>
      <c r="J140" s="2">
        <v>2.84</v>
      </c>
      <c r="K140" s="2" t="s">
        <v>42</v>
      </c>
      <c r="L140" s="2" t="s">
        <v>38</v>
      </c>
      <c r="M140" s="2">
        <v>1316.5</v>
      </c>
      <c r="N140" s="2">
        <v>180.4</v>
      </c>
      <c r="O140" s="2">
        <v>74537</v>
      </c>
      <c r="P140" s="2">
        <v>173.3</v>
      </c>
      <c r="Q140" s="2">
        <v>1.73</v>
      </c>
      <c r="R140" s="2">
        <v>347.9</v>
      </c>
      <c r="S140" s="5">
        <f t="shared" si="18"/>
        <v>0.66248704663212432</v>
      </c>
      <c r="T140" s="5">
        <f t="shared" si="19"/>
        <v>0.64500000000000002</v>
      </c>
      <c r="U140" s="5">
        <f t="shared" si="20"/>
        <v>1.0271117002048438</v>
      </c>
      <c r="V140" s="5">
        <f t="shared" si="21"/>
        <v>0.99030189269513536</v>
      </c>
      <c r="W140" s="5">
        <f t="shared" si="22"/>
        <v>0.65606217616580298</v>
      </c>
      <c r="X140" s="5">
        <f t="shared" si="23"/>
        <v>9.6981073048646969E-3</v>
      </c>
      <c r="Y140" s="6">
        <f t="shared" si="24"/>
        <v>0.48560577288264334</v>
      </c>
      <c r="Z140" s="6">
        <f t="shared" si="25"/>
        <v>116.59158454559676</v>
      </c>
      <c r="AA140" s="2" t="str">
        <f t="shared" si="26"/>
        <v>Breakdown</v>
      </c>
    </row>
    <row r="141" spans="1:27" x14ac:dyDescent="0.25">
      <c r="A141" s="2">
        <v>137</v>
      </c>
      <c r="B141" s="4">
        <v>46068</v>
      </c>
      <c r="C141" s="2" t="s">
        <v>34</v>
      </c>
      <c r="D141" s="2" t="s">
        <v>30</v>
      </c>
      <c r="E141" s="2" t="s">
        <v>31</v>
      </c>
      <c r="F141" s="2">
        <v>1027</v>
      </c>
      <c r="G141" s="2">
        <v>902.4</v>
      </c>
      <c r="H141" s="2">
        <v>890.5</v>
      </c>
      <c r="I141" s="2">
        <v>11.9</v>
      </c>
      <c r="J141" s="2">
        <v>0.35</v>
      </c>
      <c r="K141" s="2" t="s">
        <v>32</v>
      </c>
      <c r="L141" s="2" t="s">
        <v>33</v>
      </c>
      <c r="M141" s="2">
        <v>1864.7</v>
      </c>
      <c r="N141" s="2">
        <v>276.10000000000002</v>
      </c>
      <c r="O141" s="2">
        <v>107406.3</v>
      </c>
      <c r="P141" s="2">
        <v>171.7</v>
      </c>
      <c r="Q141" s="2">
        <v>1.63</v>
      </c>
      <c r="R141" s="2">
        <v>0</v>
      </c>
      <c r="S141" s="5">
        <f t="shared" si="18"/>
        <v>0.87867575462512171</v>
      </c>
      <c r="T141" s="5">
        <f t="shared" si="19"/>
        <v>0.95625000000000004</v>
      </c>
      <c r="U141" s="5">
        <f t="shared" si="20"/>
        <v>0.91887660614391808</v>
      </c>
      <c r="V141" s="5">
        <f t="shared" si="21"/>
        <v>0.98681294326241142</v>
      </c>
      <c r="W141" s="5">
        <f t="shared" si="22"/>
        <v>0.86708860759493678</v>
      </c>
      <c r="X141" s="5">
        <f t="shared" si="23"/>
        <v>1.3187056737588652E-2</v>
      </c>
      <c r="Y141" s="6">
        <f t="shared" si="24"/>
        <v>0.48393843513701934</v>
      </c>
      <c r="Z141" s="6">
        <f t="shared" si="25"/>
        <v>119.02293882978724</v>
      </c>
      <c r="AA141" s="2" t="str">
        <f t="shared" si="26"/>
        <v>No Maintenance</v>
      </c>
    </row>
    <row r="142" spans="1:27" x14ac:dyDescent="0.25">
      <c r="A142" s="2">
        <v>138</v>
      </c>
      <c r="B142" s="4">
        <v>46068</v>
      </c>
      <c r="C142" s="2" t="s">
        <v>36</v>
      </c>
      <c r="D142" s="2" t="s">
        <v>30</v>
      </c>
      <c r="E142" s="2" t="s">
        <v>31</v>
      </c>
      <c r="F142" s="2">
        <v>938</v>
      </c>
      <c r="G142" s="2">
        <v>544.4</v>
      </c>
      <c r="H142" s="2">
        <v>541</v>
      </c>
      <c r="I142" s="2">
        <v>3.4</v>
      </c>
      <c r="J142" s="2">
        <v>3.37</v>
      </c>
      <c r="K142" s="2" t="s">
        <v>42</v>
      </c>
      <c r="L142" s="2" t="s">
        <v>38</v>
      </c>
      <c r="M142" s="2">
        <v>1132.3</v>
      </c>
      <c r="N142" s="2">
        <v>170.7</v>
      </c>
      <c r="O142" s="2">
        <v>62881.3</v>
      </c>
      <c r="P142" s="2">
        <v>172.9</v>
      </c>
      <c r="Q142" s="2">
        <v>2.17</v>
      </c>
      <c r="R142" s="2">
        <v>798.77</v>
      </c>
      <c r="S142" s="5">
        <f t="shared" si="18"/>
        <v>0.58038379530916839</v>
      </c>
      <c r="T142" s="5">
        <f t="shared" si="19"/>
        <v>0.57874999999999999</v>
      </c>
      <c r="U142" s="5">
        <f t="shared" si="20"/>
        <v>1.0028229724564466</v>
      </c>
      <c r="V142" s="5">
        <f t="shared" si="21"/>
        <v>0.99375459221160911</v>
      </c>
      <c r="W142" s="5">
        <f t="shared" si="22"/>
        <v>0.57675906183368864</v>
      </c>
      <c r="X142" s="5">
        <f t="shared" si="23"/>
        <v>6.2454077883908887E-3</v>
      </c>
      <c r="Y142" s="6">
        <f t="shared" si="24"/>
        <v>0.48079130972357148</v>
      </c>
      <c r="Z142" s="6">
        <f t="shared" si="25"/>
        <v>115.5056943423953</v>
      </c>
      <c r="AA142" s="2" t="str">
        <f t="shared" si="26"/>
        <v>Breakdown</v>
      </c>
    </row>
    <row r="143" spans="1:27" x14ac:dyDescent="0.25">
      <c r="A143" s="2">
        <v>139</v>
      </c>
      <c r="B143" s="4">
        <v>46069</v>
      </c>
      <c r="C143" s="2" t="s">
        <v>29</v>
      </c>
      <c r="D143" s="2" t="s">
        <v>30</v>
      </c>
      <c r="E143" s="2" t="s">
        <v>31</v>
      </c>
      <c r="F143" s="2">
        <v>1024</v>
      </c>
      <c r="G143" s="2">
        <v>837</v>
      </c>
      <c r="H143" s="2">
        <v>829.7</v>
      </c>
      <c r="I143" s="2">
        <v>7.2</v>
      </c>
      <c r="J143" s="2">
        <v>0.52</v>
      </c>
      <c r="K143" s="2" t="s">
        <v>47</v>
      </c>
      <c r="L143" s="2" t="s">
        <v>38</v>
      </c>
      <c r="M143" s="2">
        <v>1709</v>
      </c>
      <c r="N143" s="2">
        <v>240.5</v>
      </c>
      <c r="O143" s="2">
        <v>96822.5</v>
      </c>
      <c r="P143" s="2">
        <v>180.3</v>
      </c>
      <c r="Q143" s="2">
        <v>1.64</v>
      </c>
      <c r="R143" s="2">
        <v>353.02</v>
      </c>
      <c r="S143" s="5">
        <f t="shared" si="18"/>
        <v>0.8173828125</v>
      </c>
      <c r="T143" s="5">
        <f t="shared" si="19"/>
        <v>0.93500000000000005</v>
      </c>
      <c r="U143" s="5">
        <f t="shared" si="20"/>
        <v>0.87420621657754005</v>
      </c>
      <c r="V143" s="5">
        <f t="shared" si="21"/>
        <v>0.99127837514934292</v>
      </c>
      <c r="W143" s="5">
        <f t="shared" si="22"/>
        <v>0.81025390625000004</v>
      </c>
      <c r="X143" s="5">
        <f t="shared" si="23"/>
        <v>8.6021505376344086E-3</v>
      </c>
      <c r="Y143" s="6">
        <f t="shared" si="24"/>
        <v>0.48976009362200118</v>
      </c>
      <c r="Z143" s="6">
        <f t="shared" si="25"/>
        <v>115.67801672640383</v>
      </c>
      <c r="AA143" s="2" t="str">
        <f t="shared" si="26"/>
        <v>Breakdown</v>
      </c>
    </row>
    <row r="144" spans="1:27" x14ac:dyDescent="0.25">
      <c r="A144" s="2">
        <v>140</v>
      </c>
      <c r="B144" s="4">
        <v>46069</v>
      </c>
      <c r="C144" s="2" t="s">
        <v>34</v>
      </c>
      <c r="D144" s="2" t="s">
        <v>30</v>
      </c>
      <c r="E144" s="2" t="s">
        <v>39</v>
      </c>
      <c r="F144" s="2">
        <v>963</v>
      </c>
      <c r="G144" s="2">
        <v>644.5</v>
      </c>
      <c r="H144" s="2">
        <v>642.6</v>
      </c>
      <c r="I144" s="2">
        <v>1.8</v>
      </c>
      <c r="J144" s="2">
        <v>3.18</v>
      </c>
      <c r="K144" s="2" t="s">
        <v>47</v>
      </c>
      <c r="L144" s="2" t="s">
        <v>38</v>
      </c>
      <c r="M144" s="2">
        <v>1314.1</v>
      </c>
      <c r="N144" s="2">
        <v>223</v>
      </c>
      <c r="O144" s="2">
        <v>79936.100000000006</v>
      </c>
      <c r="P144" s="2">
        <v>182.4</v>
      </c>
      <c r="Q144" s="2">
        <v>1.77</v>
      </c>
      <c r="R144" s="2">
        <v>420.17</v>
      </c>
      <c r="S144" s="5">
        <f t="shared" si="18"/>
        <v>0.66926272066458981</v>
      </c>
      <c r="T144" s="5">
        <f t="shared" si="19"/>
        <v>0.60250000000000004</v>
      </c>
      <c r="U144" s="5">
        <f t="shared" si="20"/>
        <v>1.1108094948789873</v>
      </c>
      <c r="V144" s="5">
        <f t="shared" si="21"/>
        <v>0.99705197827773473</v>
      </c>
      <c r="W144" s="5">
        <f t="shared" si="22"/>
        <v>0.66728971962616834</v>
      </c>
      <c r="X144" s="5">
        <f t="shared" si="23"/>
        <v>2.7928626842513575E-3</v>
      </c>
      <c r="Y144" s="6">
        <f t="shared" si="24"/>
        <v>0.49044973746290238</v>
      </c>
      <c r="Z144" s="6">
        <f t="shared" si="25"/>
        <v>124.02808378588054</v>
      </c>
      <c r="AA144" s="2" t="str">
        <f t="shared" si="26"/>
        <v>Breakdown</v>
      </c>
    </row>
    <row r="145" spans="1:27" x14ac:dyDescent="0.25">
      <c r="A145" s="2">
        <v>141</v>
      </c>
      <c r="B145" s="4">
        <v>46069</v>
      </c>
      <c r="C145" s="2" t="s">
        <v>36</v>
      </c>
      <c r="D145" s="2" t="s">
        <v>35</v>
      </c>
      <c r="E145" s="2" t="s">
        <v>45</v>
      </c>
      <c r="F145" s="2">
        <v>1028</v>
      </c>
      <c r="G145" s="2">
        <v>636.70000000000005</v>
      </c>
      <c r="H145" s="2">
        <v>624.20000000000005</v>
      </c>
      <c r="I145" s="2">
        <v>12.5</v>
      </c>
      <c r="J145" s="2">
        <v>3.68</v>
      </c>
      <c r="K145" s="2" t="s">
        <v>37</v>
      </c>
      <c r="L145" s="2" t="s">
        <v>38</v>
      </c>
      <c r="M145" s="2">
        <v>1276.9000000000001</v>
      </c>
      <c r="N145" s="2">
        <v>232.6</v>
      </c>
      <c r="O145" s="2">
        <v>81645.399999999994</v>
      </c>
      <c r="P145" s="2">
        <v>175.6</v>
      </c>
      <c r="Q145" s="2">
        <v>1.9</v>
      </c>
      <c r="R145" s="2">
        <v>498.54</v>
      </c>
      <c r="S145" s="5">
        <f t="shared" si="18"/>
        <v>0.61935797665369652</v>
      </c>
      <c r="T145" s="5">
        <f t="shared" si="19"/>
        <v>0.54</v>
      </c>
      <c r="U145" s="5">
        <f t="shared" si="20"/>
        <v>1.1469592160253639</v>
      </c>
      <c r="V145" s="5">
        <f t="shared" si="21"/>
        <v>0.98036752002512961</v>
      </c>
      <c r="W145" s="5">
        <f t="shared" si="22"/>
        <v>0.6071984435797666</v>
      </c>
      <c r="X145" s="5">
        <f t="shared" si="23"/>
        <v>1.9632479974870425E-2</v>
      </c>
      <c r="Y145" s="6">
        <f t="shared" si="24"/>
        <v>0.49862949330409584</v>
      </c>
      <c r="Z145" s="6">
        <f t="shared" si="25"/>
        <v>128.23213444322286</v>
      </c>
      <c r="AA145" s="2" t="str">
        <f t="shared" si="26"/>
        <v>Breakdown</v>
      </c>
    </row>
    <row r="146" spans="1:27" x14ac:dyDescent="0.25">
      <c r="A146" s="2">
        <v>142</v>
      </c>
      <c r="B146" s="4">
        <v>46070</v>
      </c>
      <c r="C146" s="2" t="s">
        <v>29</v>
      </c>
      <c r="D146" s="2" t="s">
        <v>35</v>
      </c>
      <c r="E146" s="2" t="s">
        <v>31</v>
      </c>
      <c r="F146" s="2">
        <v>998</v>
      </c>
      <c r="G146" s="2">
        <v>989.3</v>
      </c>
      <c r="H146" s="2">
        <v>971.5</v>
      </c>
      <c r="I146" s="2">
        <v>17.8</v>
      </c>
      <c r="J146" s="2">
        <v>0.11</v>
      </c>
      <c r="K146" s="2" t="s">
        <v>32</v>
      </c>
      <c r="L146" s="2" t="s">
        <v>33</v>
      </c>
      <c r="M146" s="2">
        <v>2042.3</v>
      </c>
      <c r="N146" s="2">
        <v>308.10000000000002</v>
      </c>
      <c r="O146" s="2">
        <v>112411.2</v>
      </c>
      <c r="P146" s="2">
        <v>182.9</v>
      </c>
      <c r="Q146" s="2">
        <v>1.67</v>
      </c>
      <c r="R146" s="2">
        <v>0</v>
      </c>
      <c r="S146" s="5">
        <f t="shared" si="18"/>
        <v>0.99128256513026047</v>
      </c>
      <c r="T146" s="5">
        <f t="shared" si="19"/>
        <v>0.98624999999999996</v>
      </c>
      <c r="U146" s="5">
        <f t="shared" si="20"/>
        <v>1.0051027276352451</v>
      </c>
      <c r="V146" s="5">
        <f t="shared" si="21"/>
        <v>0.98200748003638938</v>
      </c>
      <c r="W146" s="5">
        <f t="shared" si="22"/>
        <v>0.9734468937875751</v>
      </c>
      <c r="X146" s="5">
        <f t="shared" si="23"/>
        <v>1.7992519963610634E-2</v>
      </c>
      <c r="Y146" s="6">
        <f t="shared" si="24"/>
        <v>0.48440483768300446</v>
      </c>
      <c r="Z146" s="6">
        <f t="shared" si="25"/>
        <v>113.62700899625999</v>
      </c>
      <c r="AA146" s="2" t="str">
        <f t="shared" si="26"/>
        <v>No Maintenance</v>
      </c>
    </row>
    <row r="147" spans="1:27" x14ac:dyDescent="0.25">
      <c r="A147" s="2">
        <v>143</v>
      </c>
      <c r="B147" s="4">
        <v>46070</v>
      </c>
      <c r="C147" s="2" t="s">
        <v>34</v>
      </c>
      <c r="D147" s="2" t="s">
        <v>30</v>
      </c>
      <c r="E147" s="2" t="s">
        <v>31</v>
      </c>
      <c r="F147" s="2">
        <v>949</v>
      </c>
      <c r="G147" s="2">
        <v>824.3</v>
      </c>
      <c r="H147" s="2">
        <v>819.5</v>
      </c>
      <c r="I147" s="2">
        <v>4.8</v>
      </c>
      <c r="J147" s="2">
        <v>0.25</v>
      </c>
      <c r="K147" s="2" t="s">
        <v>32</v>
      </c>
      <c r="L147" s="2" t="s">
        <v>33</v>
      </c>
      <c r="M147" s="2">
        <v>1677</v>
      </c>
      <c r="N147" s="2">
        <v>268.3</v>
      </c>
      <c r="O147" s="2">
        <v>96724.2</v>
      </c>
      <c r="P147" s="2">
        <v>175.4</v>
      </c>
      <c r="Q147" s="2">
        <v>1.48</v>
      </c>
      <c r="R147" s="2">
        <v>0</v>
      </c>
      <c r="S147" s="5">
        <f t="shared" si="18"/>
        <v>0.86859852476290833</v>
      </c>
      <c r="T147" s="5">
        <f t="shared" si="19"/>
        <v>0.96875</v>
      </c>
      <c r="U147" s="5">
        <f t="shared" si="20"/>
        <v>0.89661783201332468</v>
      </c>
      <c r="V147" s="5">
        <f t="shared" si="21"/>
        <v>0.99417687735047922</v>
      </c>
      <c r="W147" s="5">
        <f t="shared" si="22"/>
        <v>0.86354056902002108</v>
      </c>
      <c r="X147" s="5">
        <f t="shared" si="23"/>
        <v>5.8231226495208052E-3</v>
      </c>
      <c r="Y147" s="6">
        <f t="shared" si="24"/>
        <v>0.49153249850924269</v>
      </c>
      <c r="Z147" s="6">
        <f t="shared" si="25"/>
        <v>117.34101662016256</v>
      </c>
      <c r="AA147" s="2" t="str">
        <f t="shared" si="26"/>
        <v>No Maintenance</v>
      </c>
    </row>
    <row r="148" spans="1:27" x14ac:dyDescent="0.25">
      <c r="A148" s="2">
        <v>144</v>
      </c>
      <c r="B148" s="4">
        <v>46070</v>
      </c>
      <c r="C148" s="2" t="s">
        <v>36</v>
      </c>
      <c r="D148" s="2" t="s">
        <v>35</v>
      </c>
      <c r="E148" s="2" t="s">
        <v>31</v>
      </c>
      <c r="F148" s="2">
        <v>933</v>
      </c>
      <c r="G148" s="2">
        <v>857.1</v>
      </c>
      <c r="H148" s="2">
        <v>843</v>
      </c>
      <c r="I148" s="2">
        <v>14.2</v>
      </c>
      <c r="J148" s="2">
        <v>0.12</v>
      </c>
      <c r="K148" s="2" t="s">
        <v>32</v>
      </c>
      <c r="L148" s="2" t="s">
        <v>33</v>
      </c>
      <c r="M148" s="2">
        <v>1678.9</v>
      </c>
      <c r="N148" s="2">
        <v>284.10000000000002</v>
      </c>
      <c r="O148" s="2">
        <v>101953.3</v>
      </c>
      <c r="P148" s="2">
        <v>173.8</v>
      </c>
      <c r="Q148" s="2">
        <v>1.59</v>
      </c>
      <c r="R148" s="2">
        <v>0</v>
      </c>
      <c r="S148" s="5">
        <f t="shared" si="18"/>
        <v>0.91864951768488745</v>
      </c>
      <c r="T148" s="5">
        <f t="shared" si="19"/>
        <v>0.98499999999999999</v>
      </c>
      <c r="U148" s="5">
        <f t="shared" si="20"/>
        <v>0.93263910424861673</v>
      </c>
      <c r="V148" s="5">
        <f t="shared" si="21"/>
        <v>0.98354917745887294</v>
      </c>
      <c r="W148" s="5">
        <f t="shared" si="22"/>
        <v>0.90353697749196138</v>
      </c>
      <c r="X148" s="5">
        <f t="shared" si="23"/>
        <v>1.6567495041418738E-2</v>
      </c>
      <c r="Y148" s="6">
        <f t="shared" si="24"/>
        <v>0.51051283578533557</v>
      </c>
      <c r="Z148" s="6">
        <f t="shared" si="25"/>
        <v>118.95146423987866</v>
      </c>
      <c r="AA148" s="2" t="str">
        <f t="shared" si="26"/>
        <v>No Maintenance</v>
      </c>
    </row>
    <row r="149" spans="1:27" x14ac:dyDescent="0.25">
      <c r="A149" s="2">
        <v>145</v>
      </c>
      <c r="B149" s="4">
        <v>46071</v>
      </c>
      <c r="C149" s="2" t="s">
        <v>29</v>
      </c>
      <c r="D149" s="2" t="s">
        <v>30</v>
      </c>
      <c r="E149" s="2" t="s">
        <v>45</v>
      </c>
      <c r="F149" s="2">
        <v>924</v>
      </c>
      <c r="G149" s="2">
        <v>759.3</v>
      </c>
      <c r="H149" s="2">
        <v>747.1</v>
      </c>
      <c r="I149" s="2">
        <v>12.2</v>
      </c>
      <c r="J149" s="2">
        <v>0.33</v>
      </c>
      <c r="K149" s="2" t="s">
        <v>32</v>
      </c>
      <c r="L149" s="2" t="s">
        <v>33</v>
      </c>
      <c r="M149" s="2">
        <v>1581.7</v>
      </c>
      <c r="N149" s="2">
        <v>232.8</v>
      </c>
      <c r="O149" s="2">
        <v>98522.2</v>
      </c>
      <c r="P149" s="2">
        <v>172.1</v>
      </c>
      <c r="Q149" s="2">
        <v>1.7</v>
      </c>
      <c r="R149" s="2">
        <v>0</v>
      </c>
      <c r="S149" s="5">
        <f t="shared" si="18"/>
        <v>0.82175324675324668</v>
      </c>
      <c r="T149" s="5">
        <f t="shared" si="19"/>
        <v>0.95874999999999999</v>
      </c>
      <c r="U149" s="5">
        <f t="shared" si="20"/>
        <v>0.85710899270221297</v>
      </c>
      <c r="V149" s="5">
        <f t="shared" si="21"/>
        <v>0.98393256947188212</v>
      </c>
      <c r="W149" s="5">
        <f t="shared" si="22"/>
        <v>0.80854978354978357</v>
      </c>
      <c r="X149" s="5">
        <f t="shared" si="23"/>
        <v>1.6067430528118005E-2</v>
      </c>
      <c r="Y149" s="6">
        <f t="shared" si="24"/>
        <v>0.48005310741607127</v>
      </c>
      <c r="Z149" s="6">
        <f t="shared" si="25"/>
        <v>129.75398393256947</v>
      </c>
      <c r="AA149" s="2" t="str">
        <f t="shared" si="26"/>
        <v>No Maintenance</v>
      </c>
    </row>
    <row r="150" spans="1:27" x14ac:dyDescent="0.25">
      <c r="A150" s="2">
        <v>146</v>
      </c>
      <c r="B150" s="4">
        <v>46071</v>
      </c>
      <c r="C150" s="2" t="s">
        <v>34</v>
      </c>
      <c r="D150" s="2" t="s">
        <v>30</v>
      </c>
      <c r="E150" s="2" t="s">
        <v>31</v>
      </c>
      <c r="F150" s="2">
        <v>907</v>
      </c>
      <c r="G150" s="2">
        <v>818.5</v>
      </c>
      <c r="H150" s="2">
        <v>803.3</v>
      </c>
      <c r="I150" s="2">
        <v>15.2</v>
      </c>
      <c r="J150" s="2">
        <v>0.18</v>
      </c>
      <c r="K150" s="2" t="s">
        <v>32</v>
      </c>
      <c r="L150" s="2" t="s">
        <v>33</v>
      </c>
      <c r="M150" s="2">
        <v>1712</v>
      </c>
      <c r="N150" s="2">
        <v>266.60000000000002</v>
      </c>
      <c r="O150" s="2">
        <v>96396.7</v>
      </c>
      <c r="P150" s="2">
        <v>185</v>
      </c>
      <c r="Q150" s="2">
        <v>1.82</v>
      </c>
      <c r="R150" s="2">
        <v>0</v>
      </c>
      <c r="S150" s="5">
        <f t="shared" si="18"/>
        <v>0.90242557883131203</v>
      </c>
      <c r="T150" s="5">
        <f t="shared" si="19"/>
        <v>0.97750000000000004</v>
      </c>
      <c r="U150" s="5">
        <f t="shared" si="20"/>
        <v>0.92319752310108638</v>
      </c>
      <c r="V150" s="5">
        <f t="shared" si="21"/>
        <v>0.98142944410507016</v>
      </c>
      <c r="W150" s="5">
        <f t="shared" si="22"/>
        <v>0.8856670341786107</v>
      </c>
      <c r="X150" s="5">
        <f t="shared" si="23"/>
        <v>1.8570555894929747E-2</v>
      </c>
      <c r="Y150" s="6">
        <f t="shared" si="24"/>
        <v>0.47809579439252337</v>
      </c>
      <c r="Z150" s="6">
        <f t="shared" si="25"/>
        <v>117.77238851557728</v>
      </c>
      <c r="AA150" s="2" t="str">
        <f t="shared" si="26"/>
        <v>No Maintenance</v>
      </c>
    </row>
    <row r="151" spans="1:27" x14ac:dyDescent="0.25">
      <c r="A151" s="2">
        <v>147</v>
      </c>
      <c r="B151" s="4">
        <v>46071</v>
      </c>
      <c r="C151" s="2" t="s">
        <v>36</v>
      </c>
      <c r="D151" s="2" t="s">
        <v>30</v>
      </c>
      <c r="E151" s="2" t="s">
        <v>39</v>
      </c>
      <c r="F151" s="2">
        <v>905</v>
      </c>
      <c r="G151" s="2">
        <v>716.9</v>
      </c>
      <c r="H151" s="2">
        <v>707.7</v>
      </c>
      <c r="I151" s="2">
        <v>9.1999999999999993</v>
      </c>
      <c r="J151" s="2">
        <v>0.16</v>
      </c>
      <c r="K151" s="2" t="s">
        <v>32</v>
      </c>
      <c r="L151" s="2" t="s">
        <v>33</v>
      </c>
      <c r="M151" s="2">
        <v>1452.3</v>
      </c>
      <c r="N151" s="2">
        <v>236.3</v>
      </c>
      <c r="O151" s="2">
        <v>84063.7</v>
      </c>
      <c r="P151" s="2">
        <v>176.5</v>
      </c>
      <c r="Q151" s="2">
        <v>1.64</v>
      </c>
      <c r="R151" s="2">
        <v>0</v>
      </c>
      <c r="S151" s="5">
        <f t="shared" si="18"/>
        <v>0.7921546961325967</v>
      </c>
      <c r="T151" s="5">
        <f t="shared" si="19"/>
        <v>0.98</v>
      </c>
      <c r="U151" s="5">
        <f t="shared" si="20"/>
        <v>0.80832111850264965</v>
      </c>
      <c r="V151" s="5">
        <f t="shared" si="21"/>
        <v>0.98716696889384858</v>
      </c>
      <c r="W151" s="5">
        <f t="shared" si="22"/>
        <v>0.78198895027624304</v>
      </c>
      <c r="X151" s="5">
        <f t="shared" si="23"/>
        <v>1.2833031106151485E-2</v>
      </c>
      <c r="Y151" s="6">
        <f t="shared" si="24"/>
        <v>0.49363079253597741</v>
      </c>
      <c r="Z151" s="6">
        <f t="shared" si="25"/>
        <v>117.26000836936811</v>
      </c>
      <c r="AA151" s="2" t="str">
        <f t="shared" si="26"/>
        <v>No Maintenance</v>
      </c>
    </row>
    <row r="152" spans="1:27" x14ac:dyDescent="0.25">
      <c r="A152" s="2">
        <v>148</v>
      </c>
      <c r="B152" s="4">
        <v>46072</v>
      </c>
      <c r="C152" s="2" t="s">
        <v>29</v>
      </c>
      <c r="D152" s="2" t="s">
        <v>30</v>
      </c>
      <c r="E152" s="2" t="s">
        <v>31</v>
      </c>
      <c r="F152" s="2">
        <v>941</v>
      </c>
      <c r="G152" s="2">
        <v>803.1</v>
      </c>
      <c r="H152" s="2">
        <v>796.9</v>
      </c>
      <c r="I152" s="2">
        <v>6.2</v>
      </c>
      <c r="J152" s="2">
        <v>0.09</v>
      </c>
      <c r="K152" s="2" t="s">
        <v>32</v>
      </c>
      <c r="L152" s="2" t="s">
        <v>33</v>
      </c>
      <c r="M152" s="2">
        <v>1729.4</v>
      </c>
      <c r="N152" s="2">
        <v>268.89999999999998</v>
      </c>
      <c r="O152" s="2">
        <v>95525.6</v>
      </c>
      <c r="P152" s="2">
        <v>183.5</v>
      </c>
      <c r="Q152" s="2">
        <v>1.57</v>
      </c>
      <c r="R152" s="2">
        <v>0</v>
      </c>
      <c r="S152" s="5">
        <f t="shared" si="18"/>
        <v>0.85345377258235922</v>
      </c>
      <c r="T152" s="5">
        <f t="shared" si="19"/>
        <v>0.98875000000000002</v>
      </c>
      <c r="U152" s="5">
        <f t="shared" si="20"/>
        <v>0.86316437176471217</v>
      </c>
      <c r="V152" s="5">
        <f t="shared" si="21"/>
        <v>0.99227991532810356</v>
      </c>
      <c r="W152" s="5">
        <f t="shared" si="22"/>
        <v>0.84686503719447392</v>
      </c>
      <c r="X152" s="5">
        <f t="shared" si="23"/>
        <v>7.7200846718964017E-3</v>
      </c>
      <c r="Y152" s="6">
        <f t="shared" si="24"/>
        <v>0.46438071007285764</v>
      </c>
      <c r="Z152" s="6">
        <f t="shared" si="25"/>
        <v>118.94608392479144</v>
      </c>
      <c r="AA152" s="2" t="str">
        <f t="shared" si="26"/>
        <v>No Maintenance</v>
      </c>
    </row>
    <row r="153" spans="1:27" x14ac:dyDescent="0.25">
      <c r="A153" s="2">
        <v>149</v>
      </c>
      <c r="B153" s="4">
        <v>46072</v>
      </c>
      <c r="C153" s="2" t="s">
        <v>34</v>
      </c>
      <c r="D153" s="2" t="s">
        <v>35</v>
      </c>
      <c r="E153" s="2" t="s">
        <v>31</v>
      </c>
      <c r="F153" s="2">
        <v>1006</v>
      </c>
      <c r="G153" s="2">
        <v>869.3</v>
      </c>
      <c r="H153" s="2">
        <v>855</v>
      </c>
      <c r="I153" s="2">
        <v>14.4</v>
      </c>
      <c r="J153" s="2">
        <v>0.2</v>
      </c>
      <c r="K153" s="2" t="s">
        <v>32</v>
      </c>
      <c r="L153" s="2" t="s">
        <v>33</v>
      </c>
      <c r="M153" s="2">
        <v>1839.2</v>
      </c>
      <c r="N153" s="2">
        <v>261.60000000000002</v>
      </c>
      <c r="O153" s="2">
        <v>104342.5</v>
      </c>
      <c r="P153" s="2">
        <v>175.6</v>
      </c>
      <c r="Q153" s="2">
        <v>1.45</v>
      </c>
      <c r="R153" s="2">
        <v>0</v>
      </c>
      <c r="S153" s="5">
        <f t="shared" si="18"/>
        <v>0.86411530815109339</v>
      </c>
      <c r="T153" s="5">
        <f t="shared" si="19"/>
        <v>0.97499999999999998</v>
      </c>
      <c r="U153" s="5">
        <f t="shared" si="20"/>
        <v>0.88627211092419833</v>
      </c>
      <c r="V153" s="5">
        <f t="shared" si="21"/>
        <v>0.98354998274473715</v>
      </c>
      <c r="W153" s="5">
        <f t="shared" si="22"/>
        <v>0.84990059642147109</v>
      </c>
      <c r="X153" s="5">
        <f t="shared" si="23"/>
        <v>1.6565052340963997E-2</v>
      </c>
      <c r="Y153" s="6">
        <f t="shared" si="24"/>
        <v>0.47265115267507607</v>
      </c>
      <c r="Z153" s="6">
        <f t="shared" si="25"/>
        <v>120.03048429771081</v>
      </c>
      <c r="AA153" s="2" t="str">
        <f t="shared" si="26"/>
        <v>No Maintenance</v>
      </c>
    </row>
    <row r="154" spans="1:27" x14ac:dyDescent="0.25">
      <c r="A154" s="2">
        <v>150</v>
      </c>
      <c r="B154" s="4">
        <v>46072</v>
      </c>
      <c r="C154" s="2" t="s">
        <v>36</v>
      </c>
      <c r="D154" s="2" t="s">
        <v>35</v>
      </c>
      <c r="E154" s="2" t="s">
        <v>39</v>
      </c>
      <c r="F154" s="2">
        <v>916</v>
      </c>
      <c r="G154" s="2">
        <v>576.29999999999995</v>
      </c>
      <c r="H154" s="2">
        <v>560.29999999999995</v>
      </c>
      <c r="I154" s="2">
        <v>16</v>
      </c>
      <c r="J154" s="2">
        <v>4.41</v>
      </c>
      <c r="K154" s="2" t="s">
        <v>40</v>
      </c>
      <c r="L154" s="2" t="s">
        <v>41</v>
      </c>
      <c r="M154" s="2">
        <v>1183.7</v>
      </c>
      <c r="N154" s="2">
        <v>196.5</v>
      </c>
      <c r="O154" s="2">
        <v>71649.2</v>
      </c>
      <c r="P154" s="2">
        <v>181.2</v>
      </c>
      <c r="Q154" s="2">
        <v>1.78</v>
      </c>
      <c r="R154" s="2">
        <v>179.21</v>
      </c>
      <c r="S154" s="5">
        <f t="shared" si="18"/>
        <v>0.62914847161572052</v>
      </c>
      <c r="T154" s="5">
        <f t="shared" si="19"/>
        <v>0.44874999999999998</v>
      </c>
      <c r="U154" s="5">
        <f t="shared" si="20"/>
        <v>1.4020021651603798</v>
      </c>
      <c r="V154" s="5">
        <f t="shared" si="21"/>
        <v>0.97223668228353288</v>
      </c>
      <c r="W154" s="5">
        <f t="shared" si="22"/>
        <v>0.61168122270742342</v>
      </c>
      <c r="X154" s="5">
        <f t="shared" si="23"/>
        <v>2.7763317716467121E-2</v>
      </c>
      <c r="Y154" s="6">
        <f t="shared" si="24"/>
        <v>0.48686322547942884</v>
      </c>
      <c r="Z154" s="6">
        <f t="shared" si="25"/>
        <v>124.32621898316849</v>
      </c>
      <c r="AA154" s="2" t="str">
        <f t="shared" si="26"/>
        <v>Planned</v>
      </c>
    </row>
    <row r="155" spans="1:27" x14ac:dyDescent="0.25">
      <c r="A155" s="2">
        <v>151</v>
      </c>
      <c r="B155" s="4">
        <v>46073</v>
      </c>
      <c r="C155" s="2" t="s">
        <v>29</v>
      </c>
      <c r="D155" s="2" t="s">
        <v>30</v>
      </c>
      <c r="E155" s="2" t="s">
        <v>39</v>
      </c>
      <c r="F155" s="2">
        <v>1016</v>
      </c>
      <c r="G155" s="2">
        <v>929.9</v>
      </c>
      <c r="H155" s="2">
        <v>918</v>
      </c>
      <c r="I155" s="2">
        <v>11.9</v>
      </c>
      <c r="J155" s="2">
        <v>0.17</v>
      </c>
      <c r="K155" s="2" t="s">
        <v>32</v>
      </c>
      <c r="L155" s="2" t="s">
        <v>33</v>
      </c>
      <c r="M155" s="2">
        <v>1921.3</v>
      </c>
      <c r="N155" s="2">
        <v>285</v>
      </c>
      <c r="O155" s="2">
        <v>94080.8</v>
      </c>
      <c r="P155" s="2">
        <v>180.8</v>
      </c>
      <c r="Q155" s="2">
        <v>1.99</v>
      </c>
      <c r="R155" s="2">
        <v>0</v>
      </c>
      <c r="S155" s="5">
        <f t="shared" si="18"/>
        <v>0.91525590551181102</v>
      </c>
      <c r="T155" s="5">
        <f t="shared" si="19"/>
        <v>0.97875000000000001</v>
      </c>
      <c r="U155" s="5">
        <f t="shared" si="20"/>
        <v>0.93512736195331903</v>
      </c>
      <c r="V155" s="5">
        <f t="shared" si="21"/>
        <v>0.98720292504570384</v>
      </c>
      <c r="W155" s="5">
        <f t="shared" si="22"/>
        <v>0.90354330708661412</v>
      </c>
      <c r="X155" s="5">
        <f t="shared" si="23"/>
        <v>1.2797074954296161E-2</v>
      </c>
      <c r="Y155" s="6">
        <f t="shared" si="24"/>
        <v>0.48399521157549574</v>
      </c>
      <c r="Z155" s="6">
        <f t="shared" si="25"/>
        <v>101.17302935799549</v>
      </c>
      <c r="AA155" s="2" t="str">
        <f t="shared" si="26"/>
        <v>No Maintenance</v>
      </c>
    </row>
    <row r="156" spans="1:27" x14ac:dyDescent="0.25">
      <c r="A156" s="2">
        <v>152</v>
      </c>
      <c r="B156" s="4">
        <v>46073</v>
      </c>
      <c r="C156" s="2" t="s">
        <v>34</v>
      </c>
      <c r="D156" s="2" t="s">
        <v>30</v>
      </c>
      <c r="E156" s="2" t="s">
        <v>45</v>
      </c>
      <c r="F156" s="2">
        <v>917</v>
      </c>
      <c r="G156" s="2">
        <v>719.6</v>
      </c>
      <c r="H156" s="2">
        <v>709.6</v>
      </c>
      <c r="I156" s="2">
        <v>10.1</v>
      </c>
      <c r="J156" s="2">
        <v>0.69</v>
      </c>
      <c r="K156" s="2" t="s">
        <v>42</v>
      </c>
      <c r="L156" s="2" t="s">
        <v>38</v>
      </c>
      <c r="M156" s="2">
        <v>1453.3</v>
      </c>
      <c r="N156" s="2">
        <v>232.7</v>
      </c>
      <c r="O156" s="2">
        <v>93547.7</v>
      </c>
      <c r="P156" s="2">
        <v>178.9</v>
      </c>
      <c r="Q156" s="2">
        <v>1.43</v>
      </c>
      <c r="R156" s="2">
        <v>365.66</v>
      </c>
      <c r="S156" s="5">
        <f t="shared" si="18"/>
        <v>0.78473282442748094</v>
      </c>
      <c r="T156" s="5">
        <f t="shared" si="19"/>
        <v>0.91375000000000006</v>
      </c>
      <c r="U156" s="5">
        <f t="shared" si="20"/>
        <v>0.85880473261557411</v>
      </c>
      <c r="V156" s="5">
        <f t="shared" si="21"/>
        <v>0.98610339077265152</v>
      </c>
      <c r="W156" s="5">
        <f t="shared" si="22"/>
        <v>0.77382769901853876</v>
      </c>
      <c r="X156" s="5">
        <f t="shared" si="23"/>
        <v>1.4035575319622011E-2</v>
      </c>
      <c r="Y156" s="6">
        <f t="shared" si="24"/>
        <v>0.4951489713066814</v>
      </c>
      <c r="Z156" s="6">
        <f t="shared" si="25"/>
        <v>129.99958310172318</v>
      </c>
      <c r="AA156" s="2" t="str">
        <f t="shared" si="26"/>
        <v>Breakdown</v>
      </c>
    </row>
    <row r="157" spans="1:27" x14ac:dyDescent="0.25">
      <c r="A157" s="2">
        <v>153</v>
      </c>
      <c r="B157" s="4">
        <v>46073</v>
      </c>
      <c r="C157" s="2" t="s">
        <v>36</v>
      </c>
      <c r="D157" s="2" t="s">
        <v>35</v>
      </c>
      <c r="E157" s="2" t="s">
        <v>39</v>
      </c>
      <c r="F157" s="2">
        <v>976</v>
      </c>
      <c r="G157" s="2">
        <v>579.1</v>
      </c>
      <c r="H157" s="2">
        <v>571.5</v>
      </c>
      <c r="I157" s="2">
        <v>7.6</v>
      </c>
      <c r="J157" s="2">
        <v>3.16</v>
      </c>
      <c r="K157" s="2" t="s">
        <v>37</v>
      </c>
      <c r="L157" s="2" t="s">
        <v>43</v>
      </c>
      <c r="M157" s="2">
        <v>1237.0999999999999</v>
      </c>
      <c r="N157" s="2">
        <v>191.4</v>
      </c>
      <c r="O157" s="2">
        <v>73904.800000000003</v>
      </c>
      <c r="P157" s="2">
        <v>177.1</v>
      </c>
      <c r="Q157" s="2">
        <v>1.6</v>
      </c>
      <c r="R157" s="2">
        <v>1399.56</v>
      </c>
      <c r="S157" s="5">
        <f t="shared" si="18"/>
        <v>0.59334016393442623</v>
      </c>
      <c r="T157" s="5">
        <f t="shared" si="19"/>
        <v>0.60499999999999998</v>
      </c>
      <c r="U157" s="5">
        <f t="shared" si="20"/>
        <v>0.98072754369326653</v>
      </c>
      <c r="V157" s="5">
        <f t="shared" si="21"/>
        <v>0.98687618718701431</v>
      </c>
      <c r="W157" s="5">
        <f t="shared" si="22"/>
        <v>0.58555327868852458</v>
      </c>
      <c r="X157" s="5">
        <f t="shared" si="23"/>
        <v>1.3123812812985667E-2</v>
      </c>
      <c r="Y157" s="6">
        <f t="shared" si="24"/>
        <v>0.4681109045347992</v>
      </c>
      <c r="Z157" s="6">
        <f t="shared" si="25"/>
        <v>127.62010015541357</v>
      </c>
      <c r="AA157" s="2" t="str">
        <f t="shared" si="26"/>
        <v>Breakdown</v>
      </c>
    </row>
    <row r="158" spans="1:27" x14ac:dyDescent="0.25">
      <c r="A158" s="2">
        <v>154</v>
      </c>
      <c r="B158" s="4">
        <v>46074</v>
      </c>
      <c r="C158" s="2" t="s">
        <v>29</v>
      </c>
      <c r="D158" s="2" t="s">
        <v>35</v>
      </c>
      <c r="E158" s="2" t="s">
        <v>31</v>
      </c>
      <c r="F158" s="2">
        <v>959</v>
      </c>
      <c r="G158" s="2">
        <v>883.4</v>
      </c>
      <c r="H158" s="2">
        <v>872.8</v>
      </c>
      <c r="I158" s="2">
        <v>10.6</v>
      </c>
      <c r="J158" s="2">
        <v>0.21</v>
      </c>
      <c r="K158" s="2" t="s">
        <v>32</v>
      </c>
      <c r="L158" s="2" t="s">
        <v>33</v>
      </c>
      <c r="M158" s="2">
        <v>1877.7</v>
      </c>
      <c r="N158" s="2">
        <v>276.60000000000002</v>
      </c>
      <c r="O158" s="2">
        <v>117028.5</v>
      </c>
      <c r="P158" s="2">
        <v>172</v>
      </c>
      <c r="Q158" s="2">
        <v>1.98</v>
      </c>
      <c r="R158" s="2">
        <v>0</v>
      </c>
      <c r="S158" s="5">
        <f t="shared" si="18"/>
        <v>0.92116788321167886</v>
      </c>
      <c r="T158" s="5">
        <f t="shared" si="19"/>
        <v>0.97375</v>
      </c>
      <c r="U158" s="5">
        <f t="shared" si="20"/>
        <v>0.94600039354216059</v>
      </c>
      <c r="V158" s="5">
        <f t="shared" si="21"/>
        <v>0.9880009055920308</v>
      </c>
      <c r="W158" s="5">
        <f t="shared" si="22"/>
        <v>0.91011470281543283</v>
      </c>
      <c r="X158" s="5">
        <f t="shared" si="23"/>
        <v>1.1999094407969211E-2</v>
      </c>
      <c r="Y158" s="6">
        <f t="shared" si="24"/>
        <v>0.47046919103158119</v>
      </c>
      <c r="Z158" s="6">
        <f t="shared" si="25"/>
        <v>132.47509621915327</v>
      </c>
      <c r="AA158" s="2" t="str">
        <f t="shared" si="26"/>
        <v>No Maintenance</v>
      </c>
    </row>
    <row r="159" spans="1:27" x14ac:dyDescent="0.25">
      <c r="A159" s="2">
        <v>155</v>
      </c>
      <c r="B159" s="4">
        <v>46074</v>
      </c>
      <c r="C159" s="2" t="s">
        <v>34</v>
      </c>
      <c r="D159" s="2" t="s">
        <v>35</v>
      </c>
      <c r="E159" s="2" t="s">
        <v>31</v>
      </c>
      <c r="F159" s="2">
        <v>916</v>
      </c>
      <c r="G159" s="2">
        <v>662.5</v>
      </c>
      <c r="H159" s="2">
        <v>660.3</v>
      </c>
      <c r="I159" s="2">
        <v>2.2000000000000002</v>
      </c>
      <c r="J159" s="2">
        <v>1.67</v>
      </c>
      <c r="K159" s="2" t="s">
        <v>46</v>
      </c>
      <c r="L159" s="2" t="s">
        <v>38</v>
      </c>
      <c r="M159" s="2">
        <v>1405.3</v>
      </c>
      <c r="N159" s="2">
        <v>215.9</v>
      </c>
      <c r="O159" s="2">
        <v>77989</v>
      </c>
      <c r="P159" s="2">
        <v>175.9</v>
      </c>
      <c r="Q159" s="2">
        <v>1.81</v>
      </c>
      <c r="R159" s="2">
        <v>518.99</v>
      </c>
      <c r="S159" s="5">
        <f t="shared" si="18"/>
        <v>0.72325327510917026</v>
      </c>
      <c r="T159" s="5">
        <f t="shared" si="19"/>
        <v>0.79125000000000001</v>
      </c>
      <c r="U159" s="5">
        <f t="shared" si="20"/>
        <v>0.91406417075408575</v>
      </c>
      <c r="V159" s="5">
        <f t="shared" si="21"/>
        <v>0.99667924528301877</v>
      </c>
      <c r="W159" s="5">
        <f t="shared" si="22"/>
        <v>0.72085152838427946</v>
      </c>
      <c r="X159" s="5">
        <f t="shared" si="23"/>
        <v>3.3207547169811324E-3</v>
      </c>
      <c r="Y159" s="6">
        <f t="shared" si="24"/>
        <v>0.4714295879883299</v>
      </c>
      <c r="Z159" s="6">
        <f t="shared" si="25"/>
        <v>117.71924528301886</v>
      </c>
      <c r="AA159" s="2" t="str">
        <f t="shared" si="26"/>
        <v>Breakdown</v>
      </c>
    </row>
    <row r="160" spans="1:27" x14ac:dyDescent="0.25">
      <c r="A160" s="2">
        <v>156</v>
      </c>
      <c r="B160" s="4">
        <v>46074</v>
      </c>
      <c r="C160" s="2" t="s">
        <v>36</v>
      </c>
      <c r="D160" s="2" t="s">
        <v>30</v>
      </c>
      <c r="E160" s="2" t="s">
        <v>39</v>
      </c>
      <c r="F160" s="2">
        <v>926</v>
      </c>
      <c r="G160" s="2">
        <v>805.1</v>
      </c>
      <c r="H160" s="2">
        <v>795.5</v>
      </c>
      <c r="I160" s="2">
        <v>9.5</v>
      </c>
      <c r="J160" s="2">
        <v>0</v>
      </c>
      <c r="K160" s="2" t="s">
        <v>32</v>
      </c>
      <c r="L160" s="2" t="s">
        <v>33</v>
      </c>
      <c r="M160" s="2">
        <v>1598.6</v>
      </c>
      <c r="N160" s="2">
        <v>249</v>
      </c>
      <c r="O160" s="2">
        <v>92380.7</v>
      </c>
      <c r="P160" s="2">
        <v>177.9</v>
      </c>
      <c r="Q160" s="2">
        <v>1.63</v>
      </c>
      <c r="R160" s="2">
        <v>0</v>
      </c>
      <c r="S160" s="5">
        <f t="shared" si="18"/>
        <v>0.86943844492440603</v>
      </c>
      <c r="T160" s="5">
        <f t="shared" si="19"/>
        <v>1</v>
      </c>
      <c r="U160" s="5">
        <f t="shared" si="20"/>
        <v>0.86943844492440603</v>
      </c>
      <c r="V160" s="5">
        <f t="shared" si="21"/>
        <v>0.98807601540181345</v>
      </c>
      <c r="W160" s="5">
        <f t="shared" si="22"/>
        <v>0.85907127429805619</v>
      </c>
      <c r="X160" s="5">
        <f t="shared" si="23"/>
        <v>1.1799776425288783E-2</v>
      </c>
      <c r="Y160" s="6">
        <f t="shared" si="24"/>
        <v>0.50362817465282128</v>
      </c>
      <c r="Z160" s="6">
        <f t="shared" si="25"/>
        <v>114.74437958017637</v>
      </c>
      <c r="AA160" s="2" t="str">
        <f t="shared" si="26"/>
        <v>No Maintenance</v>
      </c>
    </row>
    <row r="161" spans="1:27" x14ac:dyDescent="0.25">
      <c r="A161" s="2">
        <v>157</v>
      </c>
      <c r="B161" s="4">
        <v>46075</v>
      </c>
      <c r="C161" s="2" t="s">
        <v>29</v>
      </c>
      <c r="D161" s="2" t="s">
        <v>35</v>
      </c>
      <c r="E161" s="2" t="s">
        <v>31</v>
      </c>
      <c r="F161" s="2">
        <v>923</v>
      </c>
      <c r="G161" s="2">
        <v>633.29999999999995</v>
      </c>
      <c r="H161" s="2">
        <v>624.6</v>
      </c>
      <c r="I161" s="2">
        <v>8.6999999999999993</v>
      </c>
      <c r="J161" s="2">
        <v>1.94</v>
      </c>
      <c r="K161" s="2" t="s">
        <v>47</v>
      </c>
      <c r="L161" s="2" t="s">
        <v>38</v>
      </c>
      <c r="M161" s="2">
        <v>1263.9000000000001</v>
      </c>
      <c r="N161" s="2">
        <v>202.3</v>
      </c>
      <c r="O161" s="2">
        <v>75045.8</v>
      </c>
      <c r="P161" s="2">
        <v>178.5</v>
      </c>
      <c r="Q161" s="2">
        <v>1.56</v>
      </c>
      <c r="R161" s="2">
        <v>870.75</v>
      </c>
      <c r="S161" s="5">
        <f t="shared" si="18"/>
        <v>0.68613217768147339</v>
      </c>
      <c r="T161" s="5">
        <f t="shared" si="19"/>
        <v>0.75750000000000006</v>
      </c>
      <c r="U161" s="5">
        <f t="shared" si="20"/>
        <v>0.90578505304484935</v>
      </c>
      <c r="V161" s="5">
        <f t="shared" si="21"/>
        <v>0.98626243486499299</v>
      </c>
      <c r="W161" s="5">
        <f t="shared" si="22"/>
        <v>0.67670639219934992</v>
      </c>
      <c r="X161" s="5">
        <f t="shared" si="23"/>
        <v>1.3737565135007105E-2</v>
      </c>
      <c r="Y161" s="6">
        <f t="shared" si="24"/>
        <v>0.50106812247804411</v>
      </c>
      <c r="Z161" s="6">
        <f t="shared" si="25"/>
        <v>118.49960524238119</v>
      </c>
      <c r="AA161" s="2" t="str">
        <f t="shared" si="26"/>
        <v>Breakdown</v>
      </c>
    </row>
    <row r="162" spans="1:27" x14ac:dyDescent="0.25">
      <c r="A162" s="2">
        <v>158</v>
      </c>
      <c r="B162" s="4">
        <v>46075</v>
      </c>
      <c r="C162" s="2" t="s">
        <v>34</v>
      </c>
      <c r="D162" s="2" t="s">
        <v>35</v>
      </c>
      <c r="E162" s="2" t="s">
        <v>39</v>
      </c>
      <c r="F162" s="2">
        <v>1002</v>
      </c>
      <c r="G162" s="2">
        <v>800.6</v>
      </c>
      <c r="H162" s="2">
        <v>794.5</v>
      </c>
      <c r="I162" s="2">
        <v>6.1</v>
      </c>
      <c r="J162" s="2">
        <v>0.87</v>
      </c>
      <c r="K162" s="2" t="s">
        <v>48</v>
      </c>
      <c r="L162" s="2" t="s">
        <v>38</v>
      </c>
      <c r="M162" s="2">
        <v>1631.9</v>
      </c>
      <c r="N162" s="2">
        <v>272.60000000000002</v>
      </c>
      <c r="O162" s="2">
        <v>95039.9</v>
      </c>
      <c r="P162" s="2">
        <v>182.7</v>
      </c>
      <c r="Q162" s="2">
        <v>1.88</v>
      </c>
      <c r="R162" s="2">
        <v>661.89</v>
      </c>
      <c r="S162" s="5">
        <f t="shared" si="18"/>
        <v>0.79900199600798405</v>
      </c>
      <c r="T162" s="5">
        <f t="shared" si="19"/>
        <v>0.89124999999999999</v>
      </c>
      <c r="U162" s="5">
        <f t="shared" si="20"/>
        <v>0.89649592819970159</v>
      </c>
      <c r="V162" s="5">
        <f t="shared" si="21"/>
        <v>0.99238071446415188</v>
      </c>
      <c r="W162" s="5">
        <f t="shared" si="22"/>
        <v>0.79291417165668665</v>
      </c>
      <c r="X162" s="5">
        <f t="shared" si="23"/>
        <v>7.6192855358481132E-3</v>
      </c>
      <c r="Y162" s="6">
        <f t="shared" si="24"/>
        <v>0.49059378638396961</v>
      </c>
      <c r="Z162" s="6">
        <f t="shared" si="25"/>
        <v>118.71084186859854</v>
      </c>
      <c r="AA162" s="2" t="str">
        <f t="shared" si="26"/>
        <v>Breakdown</v>
      </c>
    </row>
    <row r="163" spans="1:27" x14ac:dyDescent="0.25">
      <c r="A163" s="2">
        <v>159</v>
      </c>
      <c r="B163" s="4">
        <v>46075</v>
      </c>
      <c r="C163" s="2" t="s">
        <v>36</v>
      </c>
      <c r="D163" s="2" t="s">
        <v>35</v>
      </c>
      <c r="E163" s="2" t="s">
        <v>39</v>
      </c>
      <c r="F163" s="2">
        <v>917</v>
      </c>
      <c r="G163" s="2">
        <v>788</v>
      </c>
      <c r="H163" s="2">
        <v>771.5</v>
      </c>
      <c r="I163" s="2">
        <v>16.5</v>
      </c>
      <c r="J163" s="2">
        <v>0.52</v>
      </c>
      <c r="K163" s="2" t="s">
        <v>44</v>
      </c>
      <c r="L163" s="2" t="s">
        <v>43</v>
      </c>
      <c r="M163" s="2">
        <v>1585.1</v>
      </c>
      <c r="N163" s="2">
        <v>223.1</v>
      </c>
      <c r="O163" s="2">
        <v>87416.7</v>
      </c>
      <c r="P163" s="2">
        <v>183.3</v>
      </c>
      <c r="Q163" s="2">
        <v>1.85</v>
      </c>
      <c r="R163" s="2">
        <v>1219.21</v>
      </c>
      <c r="S163" s="5">
        <f t="shared" si="18"/>
        <v>0.85932388222464562</v>
      </c>
      <c r="T163" s="5">
        <f t="shared" si="19"/>
        <v>0.93500000000000005</v>
      </c>
      <c r="U163" s="5">
        <f t="shared" si="20"/>
        <v>0.9190629756413321</v>
      </c>
      <c r="V163" s="5">
        <f t="shared" si="21"/>
        <v>0.97906091370558379</v>
      </c>
      <c r="W163" s="5">
        <f t="shared" si="22"/>
        <v>0.84133042529989099</v>
      </c>
      <c r="X163" s="5">
        <f t="shared" si="23"/>
        <v>2.0939086294416244E-2</v>
      </c>
      <c r="Y163" s="6">
        <f t="shared" si="24"/>
        <v>0.49712951864235699</v>
      </c>
      <c r="Z163" s="6">
        <f t="shared" si="25"/>
        <v>110.93489847715736</v>
      </c>
      <c r="AA163" s="2" t="str">
        <f t="shared" si="26"/>
        <v>Breakdown</v>
      </c>
    </row>
    <row r="164" spans="1:27" x14ac:dyDescent="0.25">
      <c r="A164" s="2">
        <v>160</v>
      </c>
      <c r="B164" s="4">
        <v>46076</v>
      </c>
      <c r="C164" s="2" t="s">
        <v>29</v>
      </c>
      <c r="D164" s="2" t="s">
        <v>35</v>
      </c>
      <c r="E164" s="2" t="s">
        <v>31</v>
      </c>
      <c r="F164" s="2">
        <v>1034</v>
      </c>
      <c r="G164" s="2">
        <v>1007.3</v>
      </c>
      <c r="H164" s="2">
        <v>982.6</v>
      </c>
      <c r="I164" s="2">
        <v>24.7</v>
      </c>
      <c r="J164" s="2">
        <v>0.32</v>
      </c>
      <c r="K164" s="2" t="s">
        <v>32</v>
      </c>
      <c r="L164" s="2" t="s">
        <v>33</v>
      </c>
      <c r="M164" s="2">
        <v>2117.5</v>
      </c>
      <c r="N164" s="2">
        <v>362</v>
      </c>
      <c r="O164" s="2">
        <v>122634.7</v>
      </c>
      <c r="P164" s="2">
        <v>182.5</v>
      </c>
      <c r="Q164" s="2">
        <v>1.83</v>
      </c>
      <c r="R164" s="2">
        <v>0</v>
      </c>
      <c r="S164" s="5">
        <f t="shared" si="18"/>
        <v>0.9741779497098646</v>
      </c>
      <c r="T164" s="5">
        <f t="shared" si="19"/>
        <v>0.96</v>
      </c>
      <c r="U164" s="5">
        <f t="shared" si="20"/>
        <v>1.0147686976144423</v>
      </c>
      <c r="V164" s="5">
        <f t="shared" si="21"/>
        <v>0.97547900327608461</v>
      </c>
      <c r="W164" s="5">
        <f t="shared" si="22"/>
        <v>0.95029013539651841</v>
      </c>
      <c r="X164" s="5">
        <f t="shared" si="23"/>
        <v>2.4520996723915417E-2</v>
      </c>
      <c r="Y164" s="6">
        <f t="shared" si="24"/>
        <v>0.47570247933884297</v>
      </c>
      <c r="Z164" s="6">
        <f t="shared" si="25"/>
        <v>121.74595453191701</v>
      </c>
      <c r="AA164" s="2" t="str">
        <f t="shared" si="26"/>
        <v>No Maintenance</v>
      </c>
    </row>
    <row r="165" spans="1:27" x14ac:dyDescent="0.25">
      <c r="A165" s="2">
        <v>161</v>
      </c>
      <c r="B165" s="4">
        <v>46076</v>
      </c>
      <c r="C165" s="2" t="s">
        <v>34</v>
      </c>
      <c r="D165" s="2" t="s">
        <v>30</v>
      </c>
      <c r="E165" s="2" t="s">
        <v>31</v>
      </c>
      <c r="F165" s="2">
        <v>946</v>
      </c>
      <c r="G165" s="2">
        <v>610.5</v>
      </c>
      <c r="H165" s="2">
        <v>600.79999999999995</v>
      </c>
      <c r="I165" s="2">
        <v>9.6999999999999993</v>
      </c>
      <c r="J165" s="2">
        <v>2.19</v>
      </c>
      <c r="K165" s="2" t="s">
        <v>40</v>
      </c>
      <c r="L165" s="2" t="s">
        <v>41</v>
      </c>
      <c r="M165" s="2">
        <v>1225.7</v>
      </c>
      <c r="N165" s="2">
        <v>186.1</v>
      </c>
      <c r="O165" s="2">
        <v>76456.600000000006</v>
      </c>
      <c r="P165" s="2">
        <v>175.7</v>
      </c>
      <c r="Q165" s="2">
        <v>1.71</v>
      </c>
      <c r="R165" s="2">
        <v>286.5</v>
      </c>
      <c r="S165" s="5">
        <f t="shared" si="18"/>
        <v>0.64534883720930236</v>
      </c>
      <c r="T165" s="5">
        <f t="shared" si="19"/>
        <v>0.72625000000000006</v>
      </c>
      <c r="U165" s="5">
        <f t="shared" si="20"/>
        <v>0.88860425089060557</v>
      </c>
      <c r="V165" s="5">
        <f t="shared" si="21"/>
        <v>0.98411138411138399</v>
      </c>
      <c r="W165" s="5">
        <f t="shared" si="22"/>
        <v>0.63509513742071877</v>
      </c>
      <c r="X165" s="5">
        <f t="shared" si="23"/>
        <v>1.5888615888615888E-2</v>
      </c>
      <c r="Y165" s="6">
        <f t="shared" si="24"/>
        <v>0.49808272823692584</v>
      </c>
      <c r="Z165" s="6">
        <f t="shared" si="25"/>
        <v>125.23603603603604</v>
      </c>
      <c r="AA165" s="2" t="str">
        <f t="shared" si="26"/>
        <v>Planned</v>
      </c>
    </row>
    <row r="166" spans="1:27" x14ac:dyDescent="0.25">
      <c r="A166" s="2">
        <v>162</v>
      </c>
      <c r="B166" s="4">
        <v>46076</v>
      </c>
      <c r="C166" s="2" t="s">
        <v>36</v>
      </c>
      <c r="D166" s="2" t="s">
        <v>35</v>
      </c>
      <c r="E166" s="2" t="s">
        <v>45</v>
      </c>
      <c r="F166" s="2">
        <v>975</v>
      </c>
      <c r="G166" s="2">
        <v>846</v>
      </c>
      <c r="H166" s="2">
        <v>834.9</v>
      </c>
      <c r="I166" s="2">
        <v>11.1</v>
      </c>
      <c r="J166" s="2">
        <v>0.04</v>
      </c>
      <c r="K166" s="2" t="s">
        <v>32</v>
      </c>
      <c r="L166" s="2" t="s">
        <v>33</v>
      </c>
      <c r="M166" s="2">
        <v>1794</v>
      </c>
      <c r="N166" s="2">
        <v>255.8</v>
      </c>
      <c r="O166" s="2">
        <v>99227.1</v>
      </c>
      <c r="P166" s="2">
        <v>177.7</v>
      </c>
      <c r="Q166" s="2">
        <v>1.4</v>
      </c>
      <c r="R166" s="2">
        <v>0</v>
      </c>
      <c r="S166" s="5">
        <f t="shared" si="18"/>
        <v>0.86769230769230765</v>
      </c>
      <c r="T166" s="5">
        <f t="shared" si="19"/>
        <v>0.995</v>
      </c>
      <c r="U166" s="5">
        <f t="shared" si="20"/>
        <v>0.87205257054503282</v>
      </c>
      <c r="V166" s="5">
        <f t="shared" si="21"/>
        <v>0.98687943262411348</v>
      </c>
      <c r="W166" s="5">
        <f t="shared" si="22"/>
        <v>0.85630769230769233</v>
      </c>
      <c r="X166" s="5">
        <f t="shared" si="23"/>
        <v>1.3120567375886525E-2</v>
      </c>
      <c r="Y166" s="6">
        <f t="shared" si="24"/>
        <v>0.47157190635451507</v>
      </c>
      <c r="Z166" s="6">
        <f t="shared" si="25"/>
        <v>117.28971631205674</v>
      </c>
      <c r="AA166" s="2" t="str">
        <f t="shared" si="26"/>
        <v>No Maintenance</v>
      </c>
    </row>
    <row r="167" spans="1:27" x14ac:dyDescent="0.25">
      <c r="A167" s="2">
        <v>163</v>
      </c>
      <c r="B167" s="4">
        <v>46077</v>
      </c>
      <c r="C167" s="2" t="s">
        <v>29</v>
      </c>
      <c r="D167" s="2" t="s">
        <v>35</v>
      </c>
      <c r="E167" s="2" t="s">
        <v>39</v>
      </c>
      <c r="F167" s="2">
        <v>1003</v>
      </c>
      <c r="G167" s="2">
        <v>941.4</v>
      </c>
      <c r="H167" s="2">
        <v>926.1</v>
      </c>
      <c r="I167" s="2">
        <v>15.3</v>
      </c>
      <c r="J167" s="2">
        <v>7.0000000000000007E-2</v>
      </c>
      <c r="K167" s="2" t="s">
        <v>32</v>
      </c>
      <c r="L167" s="2" t="s">
        <v>33</v>
      </c>
      <c r="M167" s="2">
        <v>1928.8</v>
      </c>
      <c r="N167" s="2">
        <v>297.60000000000002</v>
      </c>
      <c r="O167" s="2">
        <v>111462.2</v>
      </c>
      <c r="P167" s="2">
        <v>181.7</v>
      </c>
      <c r="Q167" s="2">
        <v>1.85</v>
      </c>
      <c r="R167" s="2">
        <v>0</v>
      </c>
      <c r="S167" s="5">
        <f t="shared" si="18"/>
        <v>0.93858424725822531</v>
      </c>
      <c r="T167" s="5">
        <f t="shared" si="19"/>
        <v>0.99124999999999996</v>
      </c>
      <c r="U167" s="5">
        <f t="shared" si="20"/>
        <v>0.94686935410665862</v>
      </c>
      <c r="V167" s="5">
        <f t="shared" si="21"/>
        <v>0.98374760994263866</v>
      </c>
      <c r="W167" s="5">
        <f t="shared" si="22"/>
        <v>0.92333000997008974</v>
      </c>
      <c r="X167" s="5">
        <f t="shared" si="23"/>
        <v>1.6252390057361378E-2</v>
      </c>
      <c r="Y167" s="6">
        <f t="shared" si="24"/>
        <v>0.48807548734964745</v>
      </c>
      <c r="Z167" s="6">
        <f t="shared" si="25"/>
        <v>118.40046738899511</v>
      </c>
      <c r="AA167" s="2" t="str">
        <f t="shared" si="26"/>
        <v>No Maintenance</v>
      </c>
    </row>
    <row r="168" spans="1:27" x14ac:dyDescent="0.25">
      <c r="A168" s="2">
        <v>164</v>
      </c>
      <c r="B168" s="4">
        <v>46077</v>
      </c>
      <c r="C168" s="2" t="s">
        <v>34</v>
      </c>
      <c r="D168" s="2" t="s">
        <v>35</v>
      </c>
      <c r="E168" s="2" t="s">
        <v>39</v>
      </c>
      <c r="F168" s="2">
        <v>1036</v>
      </c>
      <c r="G168" s="2">
        <v>710.7</v>
      </c>
      <c r="H168" s="2">
        <v>698.6</v>
      </c>
      <c r="I168" s="2">
        <v>12</v>
      </c>
      <c r="J168" s="2">
        <v>4.68</v>
      </c>
      <c r="K168" s="2" t="s">
        <v>40</v>
      </c>
      <c r="L168" s="2" t="s">
        <v>41</v>
      </c>
      <c r="M168" s="2">
        <v>1479.1</v>
      </c>
      <c r="N168" s="2">
        <v>233.3</v>
      </c>
      <c r="O168" s="2">
        <v>89100.2</v>
      </c>
      <c r="P168" s="2">
        <v>180.4</v>
      </c>
      <c r="Q168" s="2">
        <v>1.69</v>
      </c>
      <c r="R168" s="2">
        <v>117.81</v>
      </c>
      <c r="S168" s="5">
        <f t="shared" si="18"/>
        <v>0.68600386100386102</v>
      </c>
      <c r="T168" s="5">
        <f t="shared" si="19"/>
        <v>0.41500000000000004</v>
      </c>
      <c r="U168" s="5">
        <f t="shared" si="20"/>
        <v>1.6530213518165324</v>
      </c>
      <c r="V168" s="5">
        <f t="shared" si="21"/>
        <v>0.98297453215139996</v>
      </c>
      <c r="W168" s="5">
        <f t="shared" si="22"/>
        <v>0.67432432432432432</v>
      </c>
      <c r="X168" s="5">
        <f t="shared" si="23"/>
        <v>1.6884761502743772E-2</v>
      </c>
      <c r="Y168" s="6">
        <f t="shared" si="24"/>
        <v>0.48049489554458796</v>
      </c>
      <c r="Z168" s="6">
        <f t="shared" si="25"/>
        <v>125.36963557056421</v>
      </c>
      <c r="AA168" s="2" t="str">
        <f t="shared" si="26"/>
        <v>Planned</v>
      </c>
    </row>
    <row r="169" spans="1:27" x14ac:dyDescent="0.25">
      <c r="A169" s="2">
        <v>165</v>
      </c>
      <c r="B169" s="4">
        <v>46077</v>
      </c>
      <c r="C169" s="2" t="s">
        <v>36</v>
      </c>
      <c r="D169" s="2" t="s">
        <v>35</v>
      </c>
      <c r="E169" s="2" t="s">
        <v>39</v>
      </c>
      <c r="F169" s="2">
        <v>907</v>
      </c>
      <c r="G169" s="2">
        <v>715.4</v>
      </c>
      <c r="H169" s="2">
        <v>703.8</v>
      </c>
      <c r="I169" s="2">
        <v>11.7</v>
      </c>
      <c r="J169" s="2">
        <v>0.31</v>
      </c>
      <c r="K169" s="2" t="s">
        <v>32</v>
      </c>
      <c r="L169" s="2" t="s">
        <v>33</v>
      </c>
      <c r="M169" s="2">
        <v>1431.1</v>
      </c>
      <c r="N169" s="2">
        <v>220.8</v>
      </c>
      <c r="O169" s="2">
        <v>79545.399999999994</v>
      </c>
      <c r="P169" s="2">
        <v>176.9</v>
      </c>
      <c r="Q169" s="2">
        <v>2.0699999999999998</v>
      </c>
      <c r="R169" s="2">
        <v>0</v>
      </c>
      <c r="S169" s="5">
        <f t="shared" si="18"/>
        <v>0.78875413450937149</v>
      </c>
      <c r="T169" s="5">
        <f t="shared" si="19"/>
        <v>0.96125000000000005</v>
      </c>
      <c r="U169" s="5">
        <f t="shared" si="20"/>
        <v>0.82055046502925522</v>
      </c>
      <c r="V169" s="5">
        <f t="shared" si="21"/>
        <v>0.98378529493989375</v>
      </c>
      <c r="W169" s="5">
        <f t="shared" si="22"/>
        <v>0.77596471885336271</v>
      </c>
      <c r="X169" s="5">
        <f t="shared" si="23"/>
        <v>1.6354487000279562E-2</v>
      </c>
      <c r="Y169" s="6">
        <f t="shared" si="24"/>
        <v>0.49989518552162676</v>
      </c>
      <c r="Z169" s="6">
        <f t="shared" si="25"/>
        <v>111.19010343863572</v>
      </c>
      <c r="AA169" s="2" t="str">
        <f t="shared" si="26"/>
        <v>No Maintenance</v>
      </c>
    </row>
    <row r="170" spans="1:27" x14ac:dyDescent="0.25">
      <c r="A170" s="2">
        <v>166</v>
      </c>
      <c r="B170" s="4">
        <v>46078</v>
      </c>
      <c r="C170" s="2" t="s">
        <v>29</v>
      </c>
      <c r="D170" s="2" t="s">
        <v>30</v>
      </c>
      <c r="E170" s="2" t="s">
        <v>45</v>
      </c>
      <c r="F170" s="2">
        <v>1024</v>
      </c>
      <c r="G170" s="2">
        <v>644.20000000000005</v>
      </c>
      <c r="H170" s="2">
        <v>639</v>
      </c>
      <c r="I170" s="2">
        <v>5.2</v>
      </c>
      <c r="J170" s="2">
        <v>4.75</v>
      </c>
      <c r="K170" s="2" t="s">
        <v>40</v>
      </c>
      <c r="L170" s="2" t="s">
        <v>41</v>
      </c>
      <c r="M170" s="2">
        <v>1330.5</v>
      </c>
      <c r="N170" s="2">
        <v>204.2</v>
      </c>
      <c r="O170" s="2">
        <v>77978.2</v>
      </c>
      <c r="P170" s="2">
        <v>178.3</v>
      </c>
      <c r="Q170" s="2">
        <v>1.88</v>
      </c>
      <c r="R170" s="2">
        <v>189.67</v>
      </c>
      <c r="S170" s="5">
        <f t="shared" si="18"/>
        <v>0.62910156250000004</v>
      </c>
      <c r="T170" s="5">
        <f t="shared" si="19"/>
        <v>0.40625</v>
      </c>
      <c r="U170" s="5">
        <f t="shared" si="20"/>
        <v>1.5485576923076925</v>
      </c>
      <c r="V170" s="5">
        <f t="shared" si="21"/>
        <v>0.99192797267929211</v>
      </c>
      <c r="W170" s="5">
        <f t="shared" si="22"/>
        <v>0.6240234375</v>
      </c>
      <c r="X170" s="5">
        <f t="shared" si="23"/>
        <v>8.0720273207078551E-3</v>
      </c>
      <c r="Y170" s="6">
        <f t="shared" si="24"/>
        <v>0.48417888012025556</v>
      </c>
      <c r="Z170" s="6">
        <f t="shared" si="25"/>
        <v>121.04656938838869</v>
      </c>
      <c r="AA170" s="2" t="str">
        <f t="shared" si="26"/>
        <v>Planned</v>
      </c>
    </row>
    <row r="171" spans="1:27" x14ac:dyDescent="0.25">
      <c r="A171" s="2">
        <v>167</v>
      </c>
      <c r="B171" s="4">
        <v>46078</v>
      </c>
      <c r="C171" s="2" t="s">
        <v>34</v>
      </c>
      <c r="D171" s="2" t="s">
        <v>35</v>
      </c>
      <c r="E171" s="2" t="s">
        <v>31</v>
      </c>
      <c r="F171" s="2">
        <v>1037</v>
      </c>
      <c r="G171" s="2">
        <v>894.3</v>
      </c>
      <c r="H171" s="2">
        <v>887.8</v>
      </c>
      <c r="I171" s="2">
        <v>6.5</v>
      </c>
      <c r="J171" s="2">
        <v>0.36</v>
      </c>
      <c r="K171" s="2" t="s">
        <v>32</v>
      </c>
      <c r="L171" s="2" t="s">
        <v>33</v>
      </c>
      <c r="M171" s="2">
        <v>1824.1</v>
      </c>
      <c r="N171" s="2">
        <v>281.39999999999998</v>
      </c>
      <c r="O171" s="2">
        <v>106252.2</v>
      </c>
      <c r="P171" s="2">
        <v>177.6</v>
      </c>
      <c r="Q171" s="2">
        <v>1.56</v>
      </c>
      <c r="R171" s="2">
        <v>0</v>
      </c>
      <c r="S171" s="5">
        <f t="shared" si="18"/>
        <v>0.86239151398264224</v>
      </c>
      <c r="T171" s="5">
        <f t="shared" si="19"/>
        <v>0.95499999999999996</v>
      </c>
      <c r="U171" s="5">
        <f t="shared" si="20"/>
        <v>0.9030277633326097</v>
      </c>
      <c r="V171" s="5">
        <f t="shared" si="21"/>
        <v>0.99273174549927312</v>
      </c>
      <c r="W171" s="5">
        <f t="shared" si="22"/>
        <v>0.85612343297974924</v>
      </c>
      <c r="X171" s="5">
        <f t="shared" si="23"/>
        <v>7.2682545007268255E-3</v>
      </c>
      <c r="Y171" s="6">
        <f t="shared" si="24"/>
        <v>0.49026917383915353</v>
      </c>
      <c r="Z171" s="6">
        <f t="shared" si="25"/>
        <v>118.81046628648105</v>
      </c>
      <c r="AA171" s="2" t="str">
        <f t="shared" si="26"/>
        <v>No Maintenance</v>
      </c>
    </row>
    <row r="172" spans="1:27" x14ac:dyDescent="0.25">
      <c r="A172" s="2">
        <v>168</v>
      </c>
      <c r="B172" s="4">
        <v>46078</v>
      </c>
      <c r="C172" s="2" t="s">
        <v>36</v>
      </c>
      <c r="D172" s="2" t="s">
        <v>35</v>
      </c>
      <c r="E172" s="2" t="s">
        <v>45</v>
      </c>
      <c r="F172" s="2">
        <v>978</v>
      </c>
      <c r="G172" s="2">
        <v>602.29999999999995</v>
      </c>
      <c r="H172" s="2">
        <v>591.9</v>
      </c>
      <c r="I172" s="2">
        <v>10.4</v>
      </c>
      <c r="J172" s="2">
        <v>4.47</v>
      </c>
      <c r="K172" s="2" t="s">
        <v>40</v>
      </c>
      <c r="L172" s="2" t="s">
        <v>41</v>
      </c>
      <c r="M172" s="2">
        <v>1202.7</v>
      </c>
      <c r="N172" s="2">
        <v>187.6</v>
      </c>
      <c r="O172" s="2">
        <v>65654.100000000006</v>
      </c>
      <c r="P172" s="2">
        <v>180</v>
      </c>
      <c r="Q172" s="2">
        <v>1.65</v>
      </c>
      <c r="R172" s="2">
        <v>229.07</v>
      </c>
      <c r="S172" s="5">
        <f t="shared" si="18"/>
        <v>0.61584867075664618</v>
      </c>
      <c r="T172" s="5">
        <f t="shared" si="19"/>
        <v>0.44125000000000003</v>
      </c>
      <c r="U172" s="5">
        <f t="shared" si="20"/>
        <v>1.3956910385419743</v>
      </c>
      <c r="V172" s="5">
        <f t="shared" si="21"/>
        <v>0.98273285738004323</v>
      </c>
      <c r="W172" s="5">
        <f t="shared" si="22"/>
        <v>0.60521472392638032</v>
      </c>
      <c r="X172" s="5">
        <f t="shared" si="23"/>
        <v>1.7267142619956835E-2</v>
      </c>
      <c r="Y172" s="6">
        <f t="shared" si="24"/>
        <v>0.50078988941548175</v>
      </c>
      <c r="Z172" s="6">
        <f t="shared" si="25"/>
        <v>109.005645027395</v>
      </c>
      <c r="AA172" s="2" t="str">
        <f t="shared" si="26"/>
        <v>Planned</v>
      </c>
    </row>
    <row r="173" spans="1:27" x14ac:dyDescent="0.25">
      <c r="A173" s="2">
        <v>169</v>
      </c>
      <c r="B173" s="4">
        <v>46079</v>
      </c>
      <c r="C173" s="2" t="s">
        <v>29</v>
      </c>
      <c r="D173" s="2" t="s">
        <v>35</v>
      </c>
      <c r="E173" s="2" t="s">
        <v>39</v>
      </c>
      <c r="F173" s="2">
        <v>963</v>
      </c>
      <c r="G173" s="2">
        <v>612.1</v>
      </c>
      <c r="H173" s="2">
        <v>597.9</v>
      </c>
      <c r="I173" s="2">
        <v>14.2</v>
      </c>
      <c r="J173" s="2">
        <v>2.87</v>
      </c>
      <c r="K173" s="2" t="s">
        <v>47</v>
      </c>
      <c r="L173" s="2" t="s">
        <v>43</v>
      </c>
      <c r="M173" s="2">
        <v>1292.4000000000001</v>
      </c>
      <c r="N173" s="2">
        <v>214.5</v>
      </c>
      <c r="O173" s="2">
        <v>70246.600000000006</v>
      </c>
      <c r="P173" s="2">
        <v>172.7</v>
      </c>
      <c r="Q173" s="2">
        <v>1.93</v>
      </c>
      <c r="R173" s="2">
        <v>1219.27</v>
      </c>
      <c r="S173" s="5">
        <f t="shared" si="18"/>
        <v>0.63561786085150573</v>
      </c>
      <c r="T173" s="5">
        <f t="shared" si="19"/>
        <v>0.64124999999999999</v>
      </c>
      <c r="U173" s="5">
        <f t="shared" si="20"/>
        <v>0.99121693700039892</v>
      </c>
      <c r="V173" s="5">
        <f t="shared" si="21"/>
        <v>0.97680117627838581</v>
      </c>
      <c r="W173" s="5">
        <f t="shared" si="22"/>
        <v>0.62087227414330226</v>
      </c>
      <c r="X173" s="5">
        <f t="shared" si="23"/>
        <v>2.3198823721614113E-2</v>
      </c>
      <c r="Y173" s="6">
        <f t="shared" si="24"/>
        <v>0.47361497988238932</v>
      </c>
      <c r="Z173" s="6">
        <f t="shared" si="25"/>
        <v>114.76327397484071</v>
      </c>
      <c r="AA173" s="2" t="str">
        <f t="shared" si="26"/>
        <v>Breakdown</v>
      </c>
    </row>
    <row r="174" spans="1:27" x14ac:dyDescent="0.25">
      <c r="A174" s="2">
        <v>170</v>
      </c>
      <c r="B174" s="4">
        <v>46079</v>
      </c>
      <c r="C174" s="2" t="s">
        <v>34</v>
      </c>
      <c r="D174" s="2" t="s">
        <v>30</v>
      </c>
      <c r="E174" s="2" t="s">
        <v>45</v>
      </c>
      <c r="F174" s="2">
        <v>996</v>
      </c>
      <c r="G174" s="2">
        <v>774.2</v>
      </c>
      <c r="H174" s="2">
        <v>764.3</v>
      </c>
      <c r="I174" s="2">
        <v>9.9</v>
      </c>
      <c r="J174" s="2">
        <v>0.31</v>
      </c>
      <c r="K174" s="2" t="s">
        <v>32</v>
      </c>
      <c r="L174" s="2" t="s">
        <v>33</v>
      </c>
      <c r="M174" s="2">
        <v>1642.4</v>
      </c>
      <c r="N174" s="2">
        <v>261.8</v>
      </c>
      <c r="O174" s="2">
        <v>91724.7</v>
      </c>
      <c r="P174" s="2">
        <v>181.5</v>
      </c>
      <c r="Q174" s="2">
        <v>1.86</v>
      </c>
      <c r="R174" s="2">
        <v>0</v>
      </c>
      <c r="S174" s="5">
        <f t="shared" si="18"/>
        <v>0.77730923694779119</v>
      </c>
      <c r="T174" s="5">
        <f t="shared" si="19"/>
        <v>0.96125000000000005</v>
      </c>
      <c r="U174" s="5">
        <f t="shared" si="20"/>
        <v>0.80864419968560852</v>
      </c>
      <c r="V174" s="5">
        <f t="shared" si="21"/>
        <v>0.98721260656161192</v>
      </c>
      <c r="W174" s="5">
        <f t="shared" si="22"/>
        <v>0.76736947791164656</v>
      </c>
      <c r="X174" s="5">
        <f t="shared" si="23"/>
        <v>1.2787393438388013E-2</v>
      </c>
      <c r="Y174" s="6">
        <f t="shared" si="24"/>
        <v>0.47138334145153432</v>
      </c>
      <c r="Z174" s="6">
        <f t="shared" si="25"/>
        <v>118.47675019374837</v>
      </c>
      <c r="AA174" s="2" t="str">
        <f t="shared" si="26"/>
        <v>No Maintenance</v>
      </c>
    </row>
    <row r="175" spans="1:27" x14ac:dyDescent="0.25">
      <c r="A175" s="2">
        <v>171</v>
      </c>
      <c r="B175" s="4">
        <v>46079</v>
      </c>
      <c r="C175" s="2" t="s">
        <v>36</v>
      </c>
      <c r="D175" s="2" t="s">
        <v>35</v>
      </c>
      <c r="E175" s="2" t="s">
        <v>31</v>
      </c>
      <c r="F175" s="2">
        <v>961</v>
      </c>
      <c r="G175" s="2">
        <v>564.5</v>
      </c>
      <c r="H175" s="2">
        <v>554.9</v>
      </c>
      <c r="I175" s="2">
        <v>9.6</v>
      </c>
      <c r="J175" s="2">
        <v>3.73</v>
      </c>
      <c r="K175" s="2" t="s">
        <v>42</v>
      </c>
      <c r="L175" s="2" t="s">
        <v>38</v>
      </c>
      <c r="M175" s="2">
        <v>1177.0999999999999</v>
      </c>
      <c r="N175" s="2">
        <v>166</v>
      </c>
      <c r="O175" s="2">
        <v>65611.3</v>
      </c>
      <c r="P175" s="2">
        <v>173</v>
      </c>
      <c r="Q175" s="2">
        <v>1.45</v>
      </c>
      <c r="R175" s="2">
        <v>544.12</v>
      </c>
      <c r="S175" s="5">
        <f t="shared" si="18"/>
        <v>0.58740894901144636</v>
      </c>
      <c r="T175" s="5">
        <f t="shared" si="19"/>
        <v>0.53374999999999995</v>
      </c>
      <c r="U175" s="5">
        <f t="shared" si="20"/>
        <v>1.1005319887802276</v>
      </c>
      <c r="V175" s="5">
        <f t="shared" si="21"/>
        <v>0.98299379982285207</v>
      </c>
      <c r="W175" s="5">
        <f t="shared" si="22"/>
        <v>0.57741935483870976</v>
      </c>
      <c r="X175" s="5">
        <f t="shared" si="23"/>
        <v>1.7006200177147917E-2</v>
      </c>
      <c r="Y175" s="6">
        <f t="shared" si="24"/>
        <v>0.47956843088947415</v>
      </c>
      <c r="Z175" s="6">
        <f t="shared" si="25"/>
        <v>116.22905225863596</v>
      </c>
      <c r="AA175" s="2" t="str">
        <f t="shared" si="26"/>
        <v>Breakdown</v>
      </c>
    </row>
    <row r="176" spans="1:27" x14ac:dyDescent="0.25">
      <c r="A176" s="2">
        <v>172</v>
      </c>
      <c r="B176" s="4">
        <v>46080</v>
      </c>
      <c r="C176" s="2" t="s">
        <v>29</v>
      </c>
      <c r="D176" s="2" t="s">
        <v>35</v>
      </c>
      <c r="E176" s="2" t="s">
        <v>39</v>
      </c>
      <c r="F176" s="2">
        <v>983</v>
      </c>
      <c r="G176" s="2">
        <v>730.8</v>
      </c>
      <c r="H176" s="2">
        <v>719.5</v>
      </c>
      <c r="I176" s="2">
        <v>11.3</v>
      </c>
      <c r="J176" s="2">
        <v>2.35</v>
      </c>
      <c r="K176" s="2" t="s">
        <v>46</v>
      </c>
      <c r="L176" s="2" t="s">
        <v>38</v>
      </c>
      <c r="M176" s="2">
        <v>1515.1</v>
      </c>
      <c r="N176" s="2">
        <v>238.6</v>
      </c>
      <c r="O176" s="2">
        <v>89231.9</v>
      </c>
      <c r="P176" s="2">
        <v>181.1</v>
      </c>
      <c r="Q176" s="2">
        <v>1.73</v>
      </c>
      <c r="R176" s="2">
        <v>786.99</v>
      </c>
      <c r="S176" s="5">
        <f t="shared" si="18"/>
        <v>0.743438453713123</v>
      </c>
      <c r="T176" s="5">
        <f t="shared" si="19"/>
        <v>0.70625000000000004</v>
      </c>
      <c r="U176" s="5">
        <f t="shared" si="20"/>
        <v>1.0526562176468997</v>
      </c>
      <c r="V176" s="5">
        <f t="shared" si="21"/>
        <v>0.98453749315818284</v>
      </c>
      <c r="W176" s="5">
        <f t="shared" si="22"/>
        <v>0.73194303153611373</v>
      </c>
      <c r="X176" s="5">
        <f t="shared" si="23"/>
        <v>1.5462506841817188E-2</v>
      </c>
      <c r="Y176" s="6">
        <f t="shared" si="24"/>
        <v>0.48234439970959014</v>
      </c>
      <c r="Z176" s="6">
        <f t="shared" si="25"/>
        <v>122.10166940339354</v>
      </c>
      <c r="AA176" s="2" t="str">
        <f t="shared" si="26"/>
        <v>Breakdown</v>
      </c>
    </row>
    <row r="177" spans="1:27" x14ac:dyDescent="0.25">
      <c r="A177" s="2">
        <v>173</v>
      </c>
      <c r="B177" s="4">
        <v>46080</v>
      </c>
      <c r="C177" s="2" t="s">
        <v>34</v>
      </c>
      <c r="D177" s="2" t="s">
        <v>35</v>
      </c>
      <c r="E177" s="2" t="s">
        <v>31</v>
      </c>
      <c r="F177" s="2">
        <v>923</v>
      </c>
      <c r="G177" s="2">
        <v>772.6</v>
      </c>
      <c r="H177" s="2">
        <v>762.4</v>
      </c>
      <c r="I177" s="2">
        <v>10.199999999999999</v>
      </c>
      <c r="J177" s="2">
        <v>0.55000000000000004</v>
      </c>
      <c r="K177" s="2" t="s">
        <v>42</v>
      </c>
      <c r="L177" s="2" t="s">
        <v>38</v>
      </c>
      <c r="M177" s="2">
        <v>1592.3</v>
      </c>
      <c r="N177" s="2">
        <v>250.8</v>
      </c>
      <c r="O177" s="2">
        <v>80065.5</v>
      </c>
      <c r="P177" s="2">
        <v>178.4</v>
      </c>
      <c r="Q177" s="2">
        <v>1.55</v>
      </c>
      <c r="R177" s="2">
        <v>774.46</v>
      </c>
      <c r="S177" s="5">
        <f t="shared" si="18"/>
        <v>0.83705308775731313</v>
      </c>
      <c r="T177" s="5">
        <f t="shared" si="19"/>
        <v>0.93125000000000002</v>
      </c>
      <c r="U177" s="5">
        <f t="shared" si="20"/>
        <v>0.89884895329644354</v>
      </c>
      <c r="V177" s="5">
        <f t="shared" si="21"/>
        <v>0.98679782552420392</v>
      </c>
      <c r="W177" s="5">
        <f t="shared" si="22"/>
        <v>0.82600216684723715</v>
      </c>
      <c r="X177" s="5">
        <f t="shared" si="23"/>
        <v>1.3202174475796013E-2</v>
      </c>
      <c r="Y177" s="6">
        <f t="shared" si="24"/>
        <v>0.48521007347861589</v>
      </c>
      <c r="Z177" s="6">
        <f t="shared" si="25"/>
        <v>103.63124514625937</v>
      </c>
      <c r="AA177" s="2" t="str">
        <f t="shared" si="26"/>
        <v>Breakdown</v>
      </c>
    </row>
    <row r="178" spans="1:27" x14ac:dyDescent="0.25">
      <c r="A178" s="2">
        <v>174</v>
      </c>
      <c r="B178" s="4">
        <v>46080</v>
      </c>
      <c r="C178" s="2" t="s">
        <v>36</v>
      </c>
      <c r="D178" s="2" t="s">
        <v>30</v>
      </c>
      <c r="E178" s="2" t="s">
        <v>45</v>
      </c>
      <c r="F178" s="2">
        <v>1000</v>
      </c>
      <c r="G178" s="2">
        <v>623.5</v>
      </c>
      <c r="H178" s="2">
        <v>611</v>
      </c>
      <c r="I178" s="2">
        <v>12.5</v>
      </c>
      <c r="J178" s="2">
        <v>2.41</v>
      </c>
      <c r="K178" s="2" t="s">
        <v>37</v>
      </c>
      <c r="L178" s="2" t="s">
        <v>38</v>
      </c>
      <c r="M178" s="2">
        <v>1278.7</v>
      </c>
      <c r="N178" s="2">
        <v>216.4</v>
      </c>
      <c r="O178" s="2">
        <v>68901.7</v>
      </c>
      <c r="P178" s="2">
        <v>175.8</v>
      </c>
      <c r="Q178" s="2">
        <v>1.75</v>
      </c>
      <c r="R178" s="2">
        <v>512.55999999999995</v>
      </c>
      <c r="S178" s="5">
        <f t="shared" si="18"/>
        <v>0.62350000000000005</v>
      </c>
      <c r="T178" s="5">
        <f t="shared" si="19"/>
        <v>0.69874999999999998</v>
      </c>
      <c r="U178" s="5">
        <f t="shared" si="20"/>
        <v>0.89230769230769236</v>
      </c>
      <c r="V178" s="5">
        <f t="shared" si="21"/>
        <v>0.97995188452285487</v>
      </c>
      <c r="W178" s="5">
        <f t="shared" si="22"/>
        <v>0.6110000000000001</v>
      </c>
      <c r="X178" s="5">
        <f t="shared" si="23"/>
        <v>2.0048115477145148E-2</v>
      </c>
      <c r="Y178" s="6">
        <f t="shared" si="24"/>
        <v>0.4876045984202706</v>
      </c>
      <c r="Z178" s="6">
        <f t="shared" si="25"/>
        <v>110.50793905372895</v>
      </c>
      <c r="AA178" s="2" t="str">
        <f t="shared" si="26"/>
        <v>Breakdown</v>
      </c>
    </row>
    <row r="179" spans="1:27" x14ac:dyDescent="0.25">
      <c r="A179" s="2">
        <v>175</v>
      </c>
      <c r="B179" s="4">
        <v>46081</v>
      </c>
      <c r="C179" s="2" t="s">
        <v>29</v>
      </c>
      <c r="D179" s="2" t="s">
        <v>35</v>
      </c>
      <c r="E179" s="2" t="s">
        <v>31</v>
      </c>
      <c r="F179" s="2">
        <v>967</v>
      </c>
      <c r="G179" s="2">
        <v>663.9</v>
      </c>
      <c r="H179" s="2">
        <v>660.7</v>
      </c>
      <c r="I179" s="2">
        <v>3.1</v>
      </c>
      <c r="J179" s="2">
        <v>3.25</v>
      </c>
      <c r="K179" s="2" t="s">
        <v>40</v>
      </c>
      <c r="L179" s="2" t="s">
        <v>41</v>
      </c>
      <c r="M179" s="2">
        <v>1363.5</v>
      </c>
      <c r="N179" s="2">
        <v>204.8</v>
      </c>
      <c r="O179" s="2">
        <v>72078.2</v>
      </c>
      <c r="P179" s="2">
        <v>176.5</v>
      </c>
      <c r="Q179" s="2">
        <v>1.69</v>
      </c>
      <c r="R179" s="2">
        <v>146.05000000000001</v>
      </c>
      <c r="S179" s="5">
        <f t="shared" si="18"/>
        <v>0.6865563598759048</v>
      </c>
      <c r="T179" s="5">
        <f t="shared" si="19"/>
        <v>0.59375</v>
      </c>
      <c r="U179" s="5">
        <f t="shared" si="20"/>
        <v>1.1563054482120503</v>
      </c>
      <c r="V179" s="5">
        <f t="shared" si="21"/>
        <v>0.99517999698749826</v>
      </c>
      <c r="W179" s="5">
        <f t="shared" si="22"/>
        <v>0.68324715615305076</v>
      </c>
      <c r="X179" s="5">
        <f t="shared" si="23"/>
        <v>4.6693779183611993E-3</v>
      </c>
      <c r="Y179" s="6">
        <f t="shared" si="24"/>
        <v>0.48690869086908689</v>
      </c>
      <c r="Z179" s="6">
        <f t="shared" si="25"/>
        <v>108.56785660491038</v>
      </c>
      <c r="AA179" s="2" t="str">
        <f t="shared" si="26"/>
        <v>Planned</v>
      </c>
    </row>
    <row r="180" spans="1:27" x14ac:dyDescent="0.25">
      <c r="A180" s="2">
        <v>176</v>
      </c>
      <c r="B180" s="4">
        <v>46081</v>
      </c>
      <c r="C180" s="2" t="s">
        <v>34</v>
      </c>
      <c r="D180" s="2" t="s">
        <v>35</v>
      </c>
      <c r="E180" s="2" t="s">
        <v>45</v>
      </c>
      <c r="F180" s="2">
        <v>980</v>
      </c>
      <c r="G180" s="2">
        <v>626.6</v>
      </c>
      <c r="H180" s="2">
        <v>616.4</v>
      </c>
      <c r="I180" s="2">
        <v>10.199999999999999</v>
      </c>
      <c r="J180" s="2">
        <v>3.21</v>
      </c>
      <c r="K180" s="2" t="s">
        <v>37</v>
      </c>
      <c r="L180" s="2" t="s">
        <v>38</v>
      </c>
      <c r="M180" s="2">
        <v>1374.3</v>
      </c>
      <c r="N180" s="2">
        <v>206.6</v>
      </c>
      <c r="O180" s="2">
        <v>77148.600000000006</v>
      </c>
      <c r="P180" s="2">
        <v>177.5</v>
      </c>
      <c r="Q180" s="2">
        <v>1.81</v>
      </c>
      <c r="R180" s="2">
        <v>656.01</v>
      </c>
      <c r="S180" s="5">
        <f t="shared" si="18"/>
        <v>0.63938775510204082</v>
      </c>
      <c r="T180" s="5">
        <f t="shared" si="19"/>
        <v>0.59875</v>
      </c>
      <c r="U180" s="5">
        <f t="shared" si="20"/>
        <v>1.0678709897320098</v>
      </c>
      <c r="V180" s="5">
        <f t="shared" si="21"/>
        <v>0.98372167251835296</v>
      </c>
      <c r="W180" s="5">
        <f t="shared" si="22"/>
        <v>0.62897959183673469</v>
      </c>
      <c r="X180" s="5">
        <f t="shared" si="23"/>
        <v>1.6278327481646981E-2</v>
      </c>
      <c r="Y180" s="6">
        <f t="shared" si="24"/>
        <v>0.45594120643236558</v>
      </c>
      <c r="Z180" s="6">
        <f t="shared" si="25"/>
        <v>123.12256623045005</v>
      </c>
      <c r="AA180" s="2" t="str">
        <f t="shared" si="26"/>
        <v>Breakdown</v>
      </c>
    </row>
    <row r="181" spans="1:27" x14ac:dyDescent="0.25">
      <c r="A181" s="2">
        <v>177</v>
      </c>
      <c r="B181" s="4">
        <v>46081</v>
      </c>
      <c r="C181" s="2" t="s">
        <v>36</v>
      </c>
      <c r="D181" s="2" t="s">
        <v>35</v>
      </c>
      <c r="E181" s="2" t="s">
        <v>45</v>
      </c>
      <c r="F181" s="2">
        <v>1045</v>
      </c>
      <c r="G181" s="2">
        <v>855.7</v>
      </c>
      <c r="H181" s="2">
        <v>833.4</v>
      </c>
      <c r="I181" s="2">
        <v>22.3</v>
      </c>
      <c r="J181" s="2">
        <v>0.88</v>
      </c>
      <c r="K181" s="2" t="s">
        <v>47</v>
      </c>
      <c r="L181" s="2" t="s">
        <v>38</v>
      </c>
      <c r="M181" s="2">
        <v>1781.8</v>
      </c>
      <c r="N181" s="2">
        <v>236.2</v>
      </c>
      <c r="O181" s="2">
        <v>97132</v>
      </c>
      <c r="P181" s="2">
        <v>173.2</v>
      </c>
      <c r="Q181" s="2">
        <v>1.7</v>
      </c>
      <c r="R181" s="2">
        <v>457.8</v>
      </c>
      <c r="S181" s="5">
        <f t="shared" si="18"/>
        <v>0.81885167464114839</v>
      </c>
      <c r="T181" s="5">
        <f t="shared" si="19"/>
        <v>0.89</v>
      </c>
      <c r="U181" s="5">
        <f t="shared" si="20"/>
        <v>0.92005806139454871</v>
      </c>
      <c r="V181" s="5">
        <f t="shared" si="21"/>
        <v>0.97393946476568882</v>
      </c>
      <c r="W181" s="5">
        <f t="shared" si="22"/>
        <v>0.79751196172248806</v>
      </c>
      <c r="X181" s="5">
        <f t="shared" si="23"/>
        <v>2.6060535234311091E-2</v>
      </c>
      <c r="Y181" s="6">
        <f t="shared" si="24"/>
        <v>0.48024469637445283</v>
      </c>
      <c r="Z181" s="6">
        <f t="shared" si="25"/>
        <v>113.51174477036344</v>
      </c>
      <c r="AA181" s="2" t="str">
        <f t="shared" si="26"/>
        <v>Breakdown</v>
      </c>
    </row>
    <row r="182" spans="1:27" x14ac:dyDescent="0.25">
      <c r="A182" s="2">
        <v>178</v>
      </c>
      <c r="B182" s="4">
        <v>46082</v>
      </c>
      <c r="C182" s="2" t="s">
        <v>29</v>
      </c>
      <c r="D182" s="2" t="s">
        <v>35</v>
      </c>
      <c r="E182" s="2" t="s">
        <v>39</v>
      </c>
      <c r="F182" s="2">
        <v>1017</v>
      </c>
      <c r="G182" s="2">
        <v>956.1</v>
      </c>
      <c r="H182" s="2">
        <v>948.7</v>
      </c>
      <c r="I182" s="2">
        <v>7.4</v>
      </c>
      <c r="J182" s="2">
        <v>0.64</v>
      </c>
      <c r="K182" s="2" t="s">
        <v>44</v>
      </c>
      <c r="L182" s="2" t="s">
        <v>38</v>
      </c>
      <c r="M182" s="2">
        <v>1936.4</v>
      </c>
      <c r="N182" s="2">
        <v>297.89999999999998</v>
      </c>
      <c r="O182" s="2">
        <v>109308.4</v>
      </c>
      <c r="P182" s="2">
        <v>177.4</v>
      </c>
      <c r="Q182" s="2">
        <v>1.43</v>
      </c>
      <c r="R182" s="2">
        <v>473.73</v>
      </c>
      <c r="S182" s="5">
        <f t="shared" si="18"/>
        <v>0.94011799410029506</v>
      </c>
      <c r="T182" s="5">
        <f t="shared" si="19"/>
        <v>0.92</v>
      </c>
      <c r="U182" s="5">
        <f t="shared" si="20"/>
        <v>1.0218673848916251</v>
      </c>
      <c r="V182" s="5">
        <f t="shared" si="21"/>
        <v>0.99226022382595969</v>
      </c>
      <c r="W182" s="5">
        <f t="shared" si="22"/>
        <v>0.93284169124877114</v>
      </c>
      <c r="X182" s="5">
        <f t="shared" si="23"/>
        <v>7.7397761740403727E-3</v>
      </c>
      <c r="Y182" s="6">
        <f t="shared" si="24"/>
        <v>0.49375129105556703</v>
      </c>
      <c r="Z182" s="6">
        <f t="shared" si="25"/>
        <v>114.32737161384792</v>
      </c>
      <c r="AA182" s="2" t="str">
        <f t="shared" si="26"/>
        <v>Breakdown</v>
      </c>
    </row>
    <row r="183" spans="1:27" x14ac:dyDescent="0.25">
      <c r="A183" s="2">
        <v>179</v>
      </c>
      <c r="B183" s="4">
        <v>46082</v>
      </c>
      <c r="C183" s="2" t="s">
        <v>34</v>
      </c>
      <c r="D183" s="2" t="s">
        <v>30</v>
      </c>
      <c r="E183" s="2" t="s">
        <v>31</v>
      </c>
      <c r="F183" s="2">
        <v>942</v>
      </c>
      <c r="G183" s="2">
        <v>556.9</v>
      </c>
      <c r="H183" s="2">
        <v>551.29999999999995</v>
      </c>
      <c r="I183" s="2">
        <v>5.6</v>
      </c>
      <c r="J183" s="2">
        <v>3.95</v>
      </c>
      <c r="K183" s="2" t="s">
        <v>40</v>
      </c>
      <c r="L183" s="2" t="s">
        <v>41</v>
      </c>
      <c r="M183" s="2">
        <v>1185</v>
      </c>
      <c r="N183" s="2">
        <v>172.1</v>
      </c>
      <c r="O183" s="2">
        <v>65128.2</v>
      </c>
      <c r="P183" s="2">
        <v>178.2</v>
      </c>
      <c r="Q183" s="2">
        <v>1.81</v>
      </c>
      <c r="R183" s="2">
        <v>125.04</v>
      </c>
      <c r="S183" s="5">
        <f t="shared" si="18"/>
        <v>0.59118895966029716</v>
      </c>
      <c r="T183" s="5">
        <f t="shared" si="19"/>
        <v>0.50624999999999998</v>
      </c>
      <c r="U183" s="5">
        <f t="shared" si="20"/>
        <v>1.1677806610573773</v>
      </c>
      <c r="V183" s="5">
        <f t="shared" si="21"/>
        <v>0.98994433471000176</v>
      </c>
      <c r="W183" s="5">
        <f t="shared" si="22"/>
        <v>0.58524416135881108</v>
      </c>
      <c r="X183" s="5">
        <f t="shared" si="23"/>
        <v>1.0055665289998204E-2</v>
      </c>
      <c r="Y183" s="6">
        <f t="shared" si="24"/>
        <v>0.46995780590717295</v>
      </c>
      <c r="Z183" s="6">
        <f t="shared" si="25"/>
        <v>116.94774645358233</v>
      </c>
      <c r="AA183" s="2" t="str">
        <f t="shared" si="26"/>
        <v>Planned</v>
      </c>
    </row>
    <row r="184" spans="1:27" x14ac:dyDescent="0.25">
      <c r="A184" s="2">
        <v>180</v>
      </c>
      <c r="B184" s="4">
        <v>46082</v>
      </c>
      <c r="C184" s="2" t="s">
        <v>36</v>
      </c>
      <c r="D184" s="2" t="s">
        <v>35</v>
      </c>
      <c r="E184" s="2" t="s">
        <v>39</v>
      </c>
      <c r="F184" s="2">
        <v>1021</v>
      </c>
      <c r="G184" s="2">
        <v>618.70000000000005</v>
      </c>
      <c r="H184" s="2">
        <v>606.9</v>
      </c>
      <c r="I184" s="2">
        <v>11.8</v>
      </c>
      <c r="J184" s="2">
        <v>2.66</v>
      </c>
      <c r="K184" s="2" t="s">
        <v>46</v>
      </c>
      <c r="L184" s="2" t="s">
        <v>38</v>
      </c>
      <c r="M184" s="2">
        <v>1270.8</v>
      </c>
      <c r="N184" s="2">
        <v>192</v>
      </c>
      <c r="O184" s="2">
        <v>71392.800000000003</v>
      </c>
      <c r="P184" s="2">
        <v>187.2</v>
      </c>
      <c r="Q184" s="2">
        <v>1.99</v>
      </c>
      <c r="R184" s="2">
        <v>673.87</v>
      </c>
      <c r="S184" s="5">
        <f t="shared" si="18"/>
        <v>0.60597453476983354</v>
      </c>
      <c r="T184" s="5">
        <f t="shared" si="19"/>
        <v>0.66749999999999998</v>
      </c>
      <c r="U184" s="5">
        <f t="shared" si="20"/>
        <v>0.90782701838177315</v>
      </c>
      <c r="V184" s="5">
        <f t="shared" si="21"/>
        <v>0.98092775173751401</v>
      </c>
      <c r="W184" s="5">
        <f t="shared" si="22"/>
        <v>0.59441723800195878</v>
      </c>
      <c r="X184" s="5">
        <f t="shared" si="23"/>
        <v>1.9072248262485856E-2</v>
      </c>
      <c r="Y184" s="6">
        <f t="shared" si="24"/>
        <v>0.4868586717028644</v>
      </c>
      <c r="Z184" s="6">
        <f t="shared" si="25"/>
        <v>115.39162760627121</v>
      </c>
      <c r="AA184" s="2" t="str">
        <f t="shared" si="26"/>
        <v>Breakdown</v>
      </c>
    </row>
    <row r="185" spans="1:27" x14ac:dyDescent="0.25">
      <c r="A185" s="2">
        <v>181</v>
      </c>
      <c r="B185" s="4">
        <v>46083</v>
      </c>
      <c r="C185" s="2" t="s">
        <v>29</v>
      </c>
      <c r="D185" s="2" t="s">
        <v>30</v>
      </c>
      <c r="E185" s="2" t="s">
        <v>39</v>
      </c>
      <c r="F185" s="2">
        <v>934</v>
      </c>
      <c r="G185" s="2">
        <v>857.7</v>
      </c>
      <c r="H185" s="2">
        <v>840.8</v>
      </c>
      <c r="I185" s="2">
        <v>16.899999999999999</v>
      </c>
      <c r="J185" s="2">
        <v>0.15</v>
      </c>
      <c r="K185" s="2" t="s">
        <v>32</v>
      </c>
      <c r="L185" s="2" t="s">
        <v>33</v>
      </c>
      <c r="M185" s="2">
        <v>1779.5</v>
      </c>
      <c r="N185" s="2">
        <v>269.3</v>
      </c>
      <c r="O185" s="2">
        <v>105983.1</v>
      </c>
      <c r="P185" s="2">
        <v>181.2</v>
      </c>
      <c r="Q185" s="2">
        <v>1.69</v>
      </c>
      <c r="R185" s="2">
        <v>0</v>
      </c>
      <c r="S185" s="5">
        <f t="shared" si="18"/>
        <v>0.91830835117773024</v>
      </c>
      <c r="T185" s="5">
        <f t="shared" si="19"/>
        <v>0.98124999999999996</v>
      </c>
      <c r="U185" s="5">
        <f t="shared" si="20"/>
        <v>0.9358556445123366</v>
      </c>
      <c r="V185" s="5">
        <f t="shared" si="21"/>
        <v>0.98029614084178607</v>
      </c>
      <c r="W185" s="5">
        <f t="shared" si="22"/>
        <v>0.90021413276231255</v>
      </c>
      <c r="X185" s="5">
        <f t="shared" si="23"/>
        <v>1.9703859158213825E-2</v>
      </c>
      <c r="Y185" s="6">
        <f t="shared" si="24"/>
        <v>0.48198932284349538</v>
      </c>
      <c r="Z185" s="6">
        <f t="shared" si="25"/>
        <v>123.56663168940189</v>
      </c>
      <c r="AA185" s="2" t="str">
        <f t="shared" si="26"/>
        <v>No Maintenance</v>
      </c>
    </row>
    <row r="186" spans="1:27" x14ac:dyDescent="0.25">
      <c r="A186" s="2">
        <v>182</v>
      </c>
      <c r="B186" s="4">
        <v>46083</v>
      </c>
      <c r="C186" s="2" t="s">
        <v>34</v>
      </c>
      <c r="D186" s="2" t="s">
        <v>35</v>
      </c>
      <c r="E186" s="2" t="s">
        <v>45</v>
      </c>
      <c r="F186" s="2">
        <v>954</v>
      </c>
      <c r="G186" s="2">
        <v>852.5</v>
      </c>
      <c r="H186" s="2">
        <v>835.7</v>
      </c>
      <c r="I186" s="2">
        <v>16.8</v>
      </c>
      <c r="J186" s="2">
        <v>0.36</v>
      </c>
      <c r="K186" s="2" t="s">
        <v>32</v>
      </c>
      <c r="L186" s="2" t="s">
        <v>33</v>
      </c>
      <c r="M186" s="2">
        <v>1724.3</v>
      </c>
      <c r="N186" s="2">
        <v>264.89999999999998</v>
      </c>
      <c r="O186" s="2">
        <v>103901.8</v>
      </c>
      <c r="P186" s="2">
        <v>178.2</v>
      </c>
      <c r="Q186" s="2">
        <v>1.69</v>
      </c>
      <c r="R186" s="2">
        <v>0</v>
      </c>
      <c r="S186" s="5">
        <f t="shared" si="18"/>
        <v>0.89360587002096437</v>
      </c>
      <c r="T186" s="5">
        <f t="shared" si="19"/>
        <v>0.95499999999999996</v>
      </c>
      <c r="U186" s="5">
        <f t="shared" si="20"/>
        <v>0.93571295290153345</v>
      </c>
      <c r="V186" s="5">
        <f t="shared" si="21"/>
        <v>0.98029325513196486</v>
      </c>
      <c r="W186" s="5">
        <f t="shared" si="22"/>
        <v>0.87599580712788261</v>
      </c>
      <c r="X186" s="5">
        <f t="shared" si="23"/>
        <v>1.9706744868035191E-2</v>
      </c>
      <c r="Y186" s="6">
        <f t="shared" si="24"/>
        <v>0.49440352606854959</v>
      </c>
      <c r="Z186" s="6">
        <f t="shared" si="25"/>
        <v>121.87894428152492</v>
      </c>
      <c r="AA186" s="2" t="str">
        <f t="shared" si="26"/>
        <v>No Maintenance</v>
      </c>
    </row>
    <row r="187" spans="1:27" x14ac:dyDescent="0.25">
      <c r="A187" s="2">
        <v>183</v>
      </c>
      <c r="B187" s="4">
        <v>46083</v>
      </c>
      <c r="C187" s="2" t="s">
        <v>36</v>
      </c>
      <c r="D187" s="2" t="s">
        <v>35</v>
      </c>
      <c r="E187" s="2" t="s">
        <v>31</v>
      </c>
      <c r="F187" s="2">
        <v>1027</v>
      </c>
      <c r="G187" s="2">
        <v>815.2</v>
      </c>
      <c r="H187" s="2">
        <v>803.7</v>
      </c>
      <c r="I187" s="2">
        <v>11.5</v>
      </c>
      <c r="J187" s="2">
        <v>0.66</v>
      </c>
      <c r="K187" s="2" t="s">
        <v>42</v>
      </c>
      <c r="L187" s="2" t="s">
        <v>38</v>
      </c>
      <c r="M187" s="2">
        <v>1615.2</v>
      </c>
      <c r="N187" s="2">
        <v>291.3</v>
      </c>
      <c r="O187" s="2">
        <v>92047.1</v>
      </c>
      <c r="P187" s="2">
        <v>178.3</v>
      </c>
      <c r="Q187" s="2">
        <v>1.58</v>
      </c>
      <c r="R187" s="2">
        <v>889.02</v>
      </c>
      <c r="S187" s="5">
        <f t="shared" si="18"/>
        <v>0.79376825705939635</v>
      </c>
      <c r="T187" s="5">
        <f t="shared" si="19"/>
        <v>0.91749999999999998</v>
      </c>
      <c r="U187" s="5">
        <f t="shared" si="20"/>
        <v>0.86514251450615398</v>
      </c>
      <c r="V187" s="5">
        <f t="shared" si="21"/>
        <v>0.98589303238469084</v>
      </c>
      <c r="W187" s="5">
        <f t="shared" si="22"/>
        <v>0.78257059396299899</v>
      </c>
      <c r="X187" s="5">
        <f t="shared" si="23"/>
        <v>1.4106967615309126E-2</v>
      </c>
      <c r="Y187" s="6">
        <f t="shared" si="24"/>
        <v>0.50470529965329369</v>
      </c>
      <c r="Z187" s="6">
        <f t="shared" si="25"/>
        <v>112.91351815505398</v>
      </c>
      <c r="AA187" s="2" t="str">
        <f t="shared" si="26"/>
        <v>Breakdown</v>
      </c>
    </row>
    <row r="188" spans="1:27" x14ac:dyDescent="0.25">
      <c r="A188" s="2">
        <v>184</v>
      </c>
      <c r="B188" s="4">
        <v>46084</v>
      </c>
      <c r="C188" s="2" t="s">
        <v>29</v>
      </c>
      <c r="D188" s="2" t="s">
        <v>30</v>
      </c>
      <c r="E188" s="2" t="s">
        <v>31</v>
      </c>
      <c r="F188" s="2">
        <v>998</v>
      </c>
      <c r="G188" s="2">
        <v>744.5</v>
      </c>
      <c r="H188" s="2">
        <v>731.5</v>
      </c>
      <c r="I188" s="2">
        <v>13</v>
      </c>
      <c r="J188" s="2">
        <v>0.87</v>
      </c>
      <c r="K188" s="2" t="s">
        <v>42</v>
      </c>
      <c r="L188" s="2" t="s">
        <v>38</v>
      </c>
      <c r="M188" s="2">
        <v>1546.9</v>
      </c>
      <c r="N188" s="2">
        <v>253.1</v>
      </c>
      <c r="O188" s="2">
        <v>80805.3</v>
      </c>
      <c r="P188" s="2">
        <v>178.9</v>
      </c>
      <c r="Q188" s="2">
        <v>1.85</v>
      </c>
      <c r="R188" s="2">
        <v>681.34</v>
      </c>
      <c r="S188" s="5">
        <f t="shared" si="18"/>
        <v>0.74599198396793587</v>
      </c>
      <c r="T188" s="5">
        <f t="shared" si="19"/>
        <v>0.89124999999999999</v>
      </c>
      <c r="U188" s="5">
        <f t="shared" si="20"/>
        <v>0.83701765382096593</v>
      </c>
      <c r="V188" s="5">
        <f t="shared" si="21"/>
        <v>0.98253861652115515</v>
      </c>
      <c r="W188" s="5">
        <f t="shared" si="22"/>
        <v>0.73296593186372749</v>
      </c>
      <c r="X188" s="5">
        <f t="shared" si="23"/>
        <v>1.7461383478844864E-2</v>
      </c>
      <c r="Y188" s="6">
        <f t="shared" si="24"/>
        <v>0.48128515094705537</v>
      </c>
      <c r="Z188" s="6">
        <f t="shared" si="25"/>
        <v>108.53633310946945</v>
      </c>
      <c r="AA188" s="2" t="str">
        <f t="shared" si="26"/>
        <v>Breakdown</v>
      </c>
    </row>
    <row r="189" spans="1:27" x14ac:dyDescent="0.25">
      <c r="A189" s="2">
        <v>185</v>
      </c>
      <c r="B189" s="4">
        <v>46084</v>
      </c>
      <c r="C189" s="2" t="s">
        <v>34</v>
      </c>
      <c r="D189" s="2" t="s">
        <v>30</v>
      </c>
      <c r="E189" s="2" t="s">
        <v>45</v>
      </c>
      <c r="F189" s="2">
        <v>912</v>
      </c>
      <c r="G189" s="2">
        <v>607.1</v>
      </c>
      <c r="H189" s="2">
        <v>600.1</v>
      </c>
      <c r="I189" s="2">
        <v>7</v>
      </c>
      <c r="J189" s="2">
        <v>1.9</v>
      </c>
      <c r="K189" s="2" t="s">
        <v>42</v>
      </c>
      <c r="L189" s="2" t="s">
        <v>38</v>
      </c>
      <c r="M189" s="2">
        <v>1271.0999999999999</v>
      </c>
      <c r="N189" s="2">
        <v>205.2</v>
      </c>
      <c r="O189" s="2">
        <v>75093.5</v>
      </c>
      <c r="P189" s="2">
        <v>173.2</v>
      </c>
      <c r="Q189" s="2">
        <v>1.66</v>
      </c>
      <c r="R189" s="2">
        <v>370.03</v>
      </c>
      <c r="S189" s="5">
        <f t="shared" si="18"/>
        <v>0.66567982456140351</v>
      </c>
      <c r="T189" s="5">
        <f t="shared" si="19"/>
        <v>0.76249999999999996</v>
      </c>
      <c r="U189" s="5">
        <f t="shared" si="20"/>
        <v>0.87302272073626697</v>
      </c>
      <c r="V189" s="5">
        <f t="shared" si="21"/>
        <v>0.988469774337012</v>
      </c>
      <c r="W189" s="5">
        <f t="shared" si="22"/>
        <v>0.65800438596491229</v>
      </c>
      <c r="X189" s="5">
        <f t="shared" si="23"/>
        <v>1.1530225662987975E-2</v>
      </c>
      <c r="Y189" s="6">
        <f t="shared" si="24"/>
        <v>0.47761781134450482</v>
      </c>
      <c r="Z189" s="6">
        <f t="shared" si="25"/>
        <v>123.69214297479822</v>
      </c>
      <c r="AA189" s="2" t="str">
        <f t="shared" si="26"/>
        <v>Breakdown</v>
      </c>
    </row>
    <row r="190" spans="1:27" x14ac:dyDescent="0.25">
      <c r="A190" s="2">
        <v>186</v>
      </c>
      <c r="B190" s="4">
        <v>46084</v>
      </c>
      <c r="C190" s="2" t="s">
        <v>36</v>
      </c>
      <c r="D190" s="2" t="s">
        <v>35</v>
      </c>
      <c r="E190" s="2" t="s">
        <v>45</v>
      </c>
      <c r="F190" s="2">
        <v>902</v>
      </c>
      <c r="G190" s="2">
        <v>715.2</v>
      </c>
      <c r="H190" s="2">
        <v>706.2</v>
      </c>
      <c r="I190" s="2">
        <v>9</v>
      </c>
      <c r="J190" s="2">
        <v>0.17</v>
      </c>
      <c r="K190" s="2" t="s">
        <v>32</v>
      </c>
      <c r="L190" s="2" t="s">
        <v>33</v>
      </c>
      <c r="M190" s="2">
        <v>1449.9</v>
      </c>
      <c r="N190" s="2">
        <v>241.1</v>
      </c>
      <c r="O190" s="2">
        <v>93101.1</v>
      </c>
      <c r="P190" s="2">
        <v>178.3</v>
      </c>
      <c r="Q190" s="2">
        <v>1.27</v>
      </c>
      <c r="R190" s="2">
        <v>0</v>
      </c>
      <c r="S190" s="5">
        <f t="shared" si="18"/>
        <v>0.79290465631929052</v>
      </c>
      <c r="T190" s="5">
        <f t="shared" si="19"/>
        <v>0.97875000000000001</v>
      </c>
      <c r="U190" s="5">
        <f t="shared" si="20"/>
        <v>0.81011969994308097</v>
      </c>
      <c r="V190" s="5">
        <f t="shared" si="21"/>
        <v>0.98741610738255037</v>
      </c>
      <c r="W190" s="5">
        <f t="shared" si="22"/>
        <v>0.78292682926829271</v>
      </c>
      <c r="X190" s="5">
        <f t="shared" si="23"/>
        <v>1.2583892617449664E-2</v>
      </c>
      <c r="Y190" s="6">
        <f t="shared" si="24"/>
        <v>0.49327539830333128</v>
      </c>
      <c r="Z190" s="6">
        <f t="shared" si="25"/>
        <v>130.17491610738256</v>
      </c>
      <c r="AA190" s="2" t="str">
        <f t="shared" si="26"/>
        <v>No Maintenance</v>
      </c>
    </row>
    <row r="191" spans="1:27" x14ac:dyDescent="0.25">
      <c r="A191" s="2">
        <v>187</v>
      </c>
      <c r="B191" s="4">
        <v>46085</v>
      </c>
      <c r="C191" s="2" t="s">
        <v>29</v>
      </c>
      <c r="D191" s="2" t="s">
        <v>30</v>
      </c>
      <c r="E191" s="2" t="s">
        <v>39</v>
      </c>
      <c r="F191" s="2">
        <v>1036</v>
      </c>
      <c r="G191" s="2">
        <v>673.9</v>
      </c>
      <c r="H191" s="2">
        <v>663.9</v>
      </c>
      <c r="I191" s="2">
        <v>10</v>
      </c>
      <c r="J191" s="2">
        <v>2.86</v>
      </c>
      <c r="K191" s="2" t="s">
        <v>46</v>
      </c>
      <c r="L191" s="2" t="s">
        <v>38</v>
      </c>
      <c r="M191" s="2">
        <v>1405.4</v>
      </c>
      <c r="N191" s="2">
        <v>218.5</v>
      </c>
      <c r="O191" s="2">
        <v>82082.7</v>
      </c>
      <c r="P191" s="2">
        <v>181.5</v>
      </c>
      <c r="Q191" s="2">
        <v>1.52</v>
      </c>
      <c r="R191" s="2">
        <v>397.68</v>
      </c>
      <c r="S191" s="5">
        <f t="shared" si="18"/>
        <v>0.65048262548262548</v>
      </c>
      <c r="T191" s="5">
        <f t="shared" si="19"/>
        <v>0.64250000000000007</v>
      </c>
      <c r="U191" s="5">
        <f t="shared" si="20"/>
        <v>1.0124243198173157</v>
      </c>
      <c r="V191" s="5">
        <f t="shared" si="21"/>
        <v>0.98516100311618937</v>
      </c>
      <c r="W191" s="5">
        <f t="shared" si="22"/>
        <v>0.64083011583011584</v>
      </c>
      <c r="X191" s="5">
        <f t="shared" si="23"/>
        <v>1.4838996883810655E-2</v>
      </c>
      <c r="Y191" s="6">
        <f t="shared" si="24"/>
        <v>0.47950761349082105</v>
      </c>
      <c r="Z191" s="6">
        <f t="shared" si="25"/>
        <v>121.80249295147648</v>
      </c>
      <c r="AA191" s="2" t="str">
        <f t="shared" si="26"/>
        <v>Breakdown</v>
      </c>
    </row>
    <row r="192" spans="1:27" x14ac:dyDescent="0.25">
      <c r="A192" s="2">
        <v>188</v>
      </c>
      <c r="B192" s="4">
        <v>46085</v>
      </c>
      <c r="C192" s="2" t="s">
        <v>34</v>
      </c>
      <c r="D192" s="2" t="s">
        <v>35</v>
      </c>
      <c r="E192" s="2" t="s">
        <v>39</v>
      </c>
      <c r="F192" s="2">
        <v>980</v>
      </c>
      <c r="G192" s="2">
        <v>644.4</v>
      </c>
      <c r="H192" s="2">
        <v>639.6</v>
      </c>
      <c r="I192" s="2">
        <v>4.8</v>
      </c>
      <c r="J192" s="2">
        <v>4.7300000000000004</v>
      </c>
      <c r="K192" s="2" t="s">
        <v>40</v>
      </c>
      <c r="L192" s="2" t="s">
        <v>41</v>
      </c>
      <c r="M192" s="2">
        <v>1352.7</v>
      </c>
      <c r="N192" s="2">
        <v>215.8</v>
      </c>
      <c r="O192" s="2">
        <v>76806.899999999994</v>
      </c>
      <c r="P192" s="2">
        <v>167.3</v>
      </c>
      <c r="Q192" s="2">
        <v>1.64</v>
      </c>
      <c r="R192" s="2">
        <v>160.24</v>
      </c>
      <c r="S192" s="5">
        <f t="shared" si="18"/>
        <v>0.65755102040816327</v>
      </c>
      <c r="T192" s="5">
        <f t="shared" si="19"/>
        <v>0.40874999999999995</v>
      </c>
      <c r="U192" s="5">
        <f t="shared" si="20"/>
        <v>1.6086875117019286</v>
      </c>
      <c r="V192" s="5">
        <f t="shared" si="21"/>
        <v>0.99255121042830552</v>
      </c>
      <c r="W192" s="5">
        <f t="shared" si="22"/>
        <v>0.65265306122448985</v>
      </c>
      <c r="X192" s="5">
        <f t="shared" si="23"/>
        <v>7.4487895716945996E-3</v>
      </c>
      <c r="Y192" s="6">
        <f t="shared" si="24"/>
        <v>0.47638057218895541</v>
      </c>
      <c r="Z192" s="6">
        <f t="shared" si="25"/>
        <v>119.19134078212291</v>
      </c>
      <c r="AA192" s="2" t="str">
        <f t="shared" si="26"/>
        <v>Planned</v>
      </c>
    </row>
    <row r="193" spans="1:27" x14ac:dyDescent="0.25">
      <c r="A193" s="2">
        <v>189</v>
      </c>
      <c r="B193" s="4">
        <v>46085</v>
      </c>
      <c r="C193" s="2" t="s">
        <v>36</v>
      </c>
      <c r="D193" s="2" t="s">
        <v>35</v>
      </c>
      <c r="E193" s="2" t="s">
        <v>31</v>
      </c>
      <c r="F193" s="2">
        <v>975</v>
      </c>
      <c r="G193" s="2">
        <v>798.4</v>
      </c>
      <c r="H193" s="2">
        <v>787.5</v>
      </c>
      <c r="I193" s="2">
        <v>10.9</v>
      </c>
      <c r="J193" s="2">
        <v>0.38</v>
      </c>
      <c r="K193" s="2" t="s">
        <v>32</v>
      </c>
      <c r="L193" s="2" t="s">
        <v>33</v>
      </c>
      <c r="M193" s="2">
        <v>1642.3</v>
      </c>
      <c r="N193" s="2">
        <v>276.10000000000002</v>
      </c>
      <c r="O193" s="2">
        <v>104546.2</v>
      </c>
      <c r="P193" s="2">
        <v>182.6</v>
      </c>
      <c r="Q193" s="2">
        <v>1.85</v>
      </c>
      <c r="R193" s="2">
        <v>0</v>
      </c>
      <c r="S193" s="5">
        <f t="shared" si="18"/>
        <v>0.81887179487179484</v>
      </c>
      <c r="T193" s="5">
        <f t="shared" si="19"/>
        <v>0.95250000000000001</v>
      </c>
      <c r="U193" s="5">
        <f t="shared" si="20"/>
        <v>0.85970792112524397</v>
      </c>
      <c r="V193" s="5">
        <f t="shared" si="21"/>
        <v>0.9863476953907816</v>
      </c>
      <c r="W193" s="5">
        <f t="shared" si="22"/>
        <v>0.80769230769230771</v>
      </c>
      <c r="X193" s="5">
        <f t="shared" si="23"/>
        <v>1.3652304609218438E-2</v>
      </c>
      <c r="Y193" s="6">
        <f t="shared" si="24"/>
        <v>0.48614747610059061</v>
      </c>
      <c r="Z193" s="6">
        <f t="shared" si="25"/>
        <v>130.9446392785571</v>
      </c>
      <c r="AA193" s="2" t="str">
        <f t="shared" si="26"/>
        <v>No Maintenance</v>
      </c>
    </row>
    <row r="194" spans="1:27" x14ac:dyDescent="0.25">
      <c r="A194" s="2">
        <v>190</v>
      </c>
      <c r="B194" s="4">
        <v>46086</v>
      </c>
      <c r="C194" s="2" t="s">
        <v>29</v>
      </c>
      <c r="D194" s="2" t="s">
        <v>35</v>
      </c>
      <c r="E194" s="2" t="s">
        <v>31</v>
      </c>
      <c r="F194" s="2">
        <v>1012</v>
      </c>
      <c r="G194" s="2">
        <v>727.7</v>
      </c>
      <c r="H194" s="2">
        <v>705.8</v>
      </c>
      <c r="I194" s="2">
        <v>21.9</v>
      </c>
      <c r="J194" s="2">
        <v>1.99</v>
      </c>
      <c r="K194" s="2" t="s">
        <v>44</v>
      </c>
      <c r="L194" s="2" t="s">
        <v>38</v>
      </c>
      <c r="M194" s="2">
        <v>1433.6</v>
      </c>
      <c r="N194" s="2">
        <v>246.3</v>
      </c>
      <c r="O194" s="2">
        <v>86296.7</v>
      </c>
      <c r="P194" s="2">
        <v>181.3</v>
      </c>
      <c r="Q194" s="2">
        <v>1.45</v>
      </c>
      <c r="R194" s="2">
        <v>429.45</v>
      </c>
      <c r="S194" s="5">
        <f t="shared" si="18"/>
        <v>0.7190711462450593</v>
      </c>
      <c r="T194" s="5">
        <f t="shared" si="19"/>
        <v>0.75124999999999997</v>
      </c>
      <c r="U194" s="5">
        <f t="shared" si="20"/>
        <v>0.95716625124134358</v>
      </c>
      <c r="V194" s="5">
        <f t="shared" si="21"/>
        <v>0.96990518070633491</v>
      </c>
      <c r="W194" s="5">
        <f t="shared" si="22"/>
        <v>0.69743083003952566</v>
      </c>
      <c r="X194" s="5">
        <f t="shared" si="23"/>
        <v>3.0094819293664969E-2</v>
      </c>
      <c r="Y194" s="6">
        <f t="shared" si="24"/>
        <v>0.5076032366071429</v>
      </c>
      <c r="Z194" s="6">
        <f t="shared" si="25"/>
        <v>118.58829187852136</v>
      </c>
      <c r="AA194" s="2" t="str">
        <f t="shared" si="26"/>
        <v>Breakdown</v>
      </c>
    </row>
    <row r="195" spans="1:27" x14ac:dyDescent="0.25">
      <c r="A195" s="2">
        <v>191</v>
      </c>
      <c r="B195" s="4">
        <v>46086</v>
      </c>
      <c r="C195" s="2" t="s">
        <v>34</v>
      </c>
      <c r="D195" s="2" t="s">
        <v>30</v>
      </c>
      <c r="E195" s="2" t="s">
        <v>45</v>
      </c>
      <c r="F195" s="2">
        <v>957</v>
      </c>
      <c r="G195" s="2">
        <v>604.6</v>
      </c>
      <c r="H195" s="2">
        <v>586.70000000000005</v>
      </c>
      <c r="I195" s="2">
        <v>18</v>
      </c>
      <c r="J195" s="2">
        <v>2.92</v>
      </c>
      <c r="K195" s="2" t="s">
        <v>40</v>
      </c>
      <c r="L195" s="2" t="s">
        <v>41</v>
      </c>
      <c r="M195" s="2">
        <v>1233.2</v>
      </c>
      <c r="N195" s="2">
        <v>184.6</v>
      </c>
      <c r="O195" s="2">
        <v>73922.3</v>
      </c>
      <c r="P195" s="2">
        <v>177.2</v>
      </c>
      <c r="Q195" s="2">
        <v>1.65</v>
      </c>
      <c r="R195" s="2">
        <v>227</v>
      </c>
      <c r="S195" s="5">
        <f t="shared" si="18"/>
        <v>0.63176593521421109</v>
      </c>
      <c r="T195" s="5">
        <f t="shared" si="19"/>
        <v>0.63500000000000001</v>
      </c>
      <c r="U195" s="5">
        <f t="shared" si="20"/>
        <v>0.99490698458930871</v>
      </c>
      <c r="V195" s="5">
        <f t="shared" si="21"/>
        <v>0.97039364869335099</v>
      </c>
      <c r="W195" s="5">
        <f t="shared" si="22"/>
        <v>0.61306165099268539</v>
      </c>
      <c r="X195" s="5">
        <f t="shared" si="23"/>
        <v>2.9771749917300694E-2</v>
      </c>
      <c r="Y195" s="6">
        <f t="shared" si="24"/>
        <v>0.4902692182938696</v>
      </c>
      <c r="Z195" s="6">
        <f t="shared" si="25"/>
        <v>122.26645716175985</v>
      </c>
      <c r="AA195" s="2" t="str">
        <f t="shared" si="26"/>
        <v>Planned</v>
      </c>
    </row>
    <row r="196" spans="1:27" x14ac:dyDescent="0.25">
      <c r="A196" s="2">
        <v>192</v>
      </c>
      <c r="B196" s="4">
        <v>46086</v>
      </c>
      <c r="C196" s="2" t="s">
        <v>36</v>
      </c>
      <c r="D196" s="2" t="s">
        <v>35</v>
      </c>
      <c r="E196" s="2" t="s">
        <v>39</v>
      </c>
      <c r="F196" s="2">
        <v>995</v>
      </c>
      <c r="G196" s="2">
        <v>616</v>
      </c>
      <c r="H196" s="2">
        <v>599.70000000000005</v>
      </c>
      <c r="I196" s="2">
        <v>16.2</v>
      </c>
      <c r="J196" s="2">
        <v>3.29</v>
      </c>
      <c r="K196" s="2" t="s">
        <v>37</v>
      </c>
      <c r="L196" s="2" t="s">
        <v>38</v>
      </c>
      <c r="M196" s="2">
        <v>1280.3</v>
      </c>
      <c r="N196" s="2">
        <v>190.4</v>
      </c>
      <c r="O196" s="2">
        <v>71296.100000000006</v>
      </c>
      <c r="P196" s="2">
        <v>180.5</v>
      </c>
      <c r="Q196" s="2">
        <v>1.38</v>
      </c>
      <c r="R196" s="2">
        <v>353.13</v>
      </c>
      <c r="S196" s="5">
        <f t="shared" si="18"/>
        <v>0.61909547738693471</v>
      </c>
      <c r="T196" s="5">
        <f t="shared" si="19"/>
        <v>0.58875</v>
      </c>
      <c r="U196" s="5">
        <f t="shared" si="20"/>
        <v>1.051542212122182</v>
      </c>
      <c r="V196" s="5">
        <f t="shared" si="21"/>
        <v>0.97353896103896109</v>
      </c>
      <c r="W196" s="5">
        <f t="shared" si="22"/>
        <v>0.60271356783919605</v>
      </c>
      <c r="X196" s="5">
        <f t="shared" si="23"/>
        <v>2.6298701298701297E-2</v>
      </c>
      <c r="Y196" s="6">
        <f t="shared" si="24"/>
        <v>0.48113723346090764</v>
      </c>
      <c r="Z196" s="6">
        <f t="shared" si="25"/>
        <v>115.74042207792209</v>
      </c>
      <c r="AA196" s="2" t="str">
        <f t="shared" si="26"/>
        <v>Breakdown</v>
      </c>
    </row>
    <row r="197" spans="1:27" x14ac:dyDescent="0.25">
      <c r="A197" s="2">
        <v>193</v>
      </c>
      <c r="B197" s="4">
        <v>46087</v>
      </c>
      <c r="C197" s="2" t="s">
        <v>29</v>
      </c>
      <c r="D197" s="2" t="s">
        <v>30</v>
      </c>
      <c r="E197" s="2" t="s">
        <v>39</v>
      </c>
      <c r="F197" s="2">
        <v>939</v>
      </c>
      <c r="G197" s="2">
        <v>862.8</v>
      </c>
      <c r="H197" s="2">
        <v>847.9</v>
      </c>
      <c r="I197" s="2">
        <v>15</v>
      </c>
      <c r="J197" s="2">
        <v>0.2</v>
      </c>
      <c r="K197" s="2" t="s">
        <v>32</v>
      </c>
      <c r="L197" s="2" t="s">
        <v>33</v>
      </c>
      <c r="M197" s="2">
        <v>1711.4</v>
      </c>
      <c r="N197" s="2">
        <v>286.10000000000002</v>
      </c>
      <c r="O197" s="2">
        <v>102756.8</v>
      </c>
      <c r="P197" s="2">
        <v>173.6</v>
      </c>
      <c r="Q197" s="2">
        <v>1.94</v>
      </c>
      <c r="R197" s="2">
        <v>0</v>
      </c>
      <c r="S197" s="5">
        <f t="shared" ref="S197:S260" si="27">G197/F197</f>
        <v>0.91884984025559102</v>
      </c>
      <c r="T197" s="5">
        <f t="shared" ref="T197:T260" si="28">MAX(0,1-J197/8)</f>
        <v>0.97499999999999998</v>
      </c>
      <c r="U197" s="5">
        <f t="shared" ref="U197:U260" si="29">IFERROR(G197/(F197*T197),0)</f>
        <v>0.94241009256983699</v>
      </c>
      <c r="V197" s="5">
        <f t="shared" ref="V197:V260" si="30">IFERROR(H197/G197,0)</f>
        <v>0.9827306444135373</v>
      </c>
      <c r="W197" s="5">
        <f t="shared" ref="W197:W260" si="31">T197*U197*V197</f>
        <v>0.90298189563365272</v>
      </c>
      <c r="X197" s="5">
        <f t="shared" ref="X197:X260" si="32">IFERROR(I197/G197,0)</f>
        <v>1.7385257301808069E-2</v>
      </c>
      <c r="Y197" s="6">
        <f t="shared" ref="Y197:Y260" si="33">IFERROR(G197/M197,0)</f>
        <v>0.50414865022788358</v>
      </c>
      <c r="Z197" s="6">
        <f t="shared" ref="Z197:Z260" si="34">IFERROR(O197/G197,0)</f>
        <v>119.09689383402875</v>
      </c>
      <c r="AA197" s="2" t="str">
        <f t="shared" ref="AA197:AA260" si="35">IF(L197="None","No Maintenance",IF(L197="Preventive","Planned","Breakdown"))</f>
        <v>No Maintenance</v>
      </c>
    </row>
    <row r="198" spans="1:27" x14ac:dyDescent="0.25">
      <c r="A198" s="2">
        <v>194</v>
      </c>
      <c r="B198" s="4">
        <v>46087</v>
      </c>
      <c r="C198" s="2" t="s">
        <v>34</v>
      </c>
      <c r="D198" s="2" t="s">
        <v>30</v>
      </c>
      <c r="E198" s="2" t="s">
        <v>45</v>
      </c>
      <c r="F198" s="2">
        <v>1011</v>
      </c>
      <c r="G198" s="2">
        <v>618.70000000000005</v>
      </c>
      <c r="H198" s="2">
        <v>604.70000000000005</v>
      </c>
      <c r="I198" s="2">
        <v>14</v>
      </c>
      <c r="J198" s="2">
        <v>2.85</v>
      </c>
      <c r="K198" s="2" t="s">
        <v>47</v>
      </c>
      <c r="L198" s="2" t="s">
        <v>43</v>
      </c>
      <c r="M198" s="2">
        <v>1277.0999999999999</v>
      </c>
      <c r="N198" s="2">
        <v>192.2</v>
      </c>
      <c r="O198" s="2">
        <v>81534.8</v>
      </c>
      <c r="P198" s="2">
        <v>178.8</v>
      </c>
      <c r="Q198" s="2">
        <v>1.82</v>
      </c>
      <c r="R198" s="2">
        <v>1026.47</v>
      </c>
      <c r="S198" s="5">
        <f t="shared" si="27"/>
        <v>0.61196834817012868</v>
      </c>
      <c r="T198" s="5">
        <f t="shared" si="28"/>
        <v>0.64375000000000004</v>
      </c>
      <c r="U198" s="5">
        <f t="shared" si="29"/>
        <v>0.95063044375942296</v>
      </c>
      <c r="V198" s="5">
        <f t="shared" si="30"/>
        <v>0.97737190884111846</v>
      </c>
      <c r="W198" s="5">
        <f t="shared" si="31"/>
        <v>0.5981206726013848</v>
      </c>
      <c r="X198" s="5">
        <f t="shared" si="32"/>
        <v>2.2628091158881525E-2</v>
      </c>
      <c r="Y198" s="6">
        <f t="shared" si="33"/>
        <v>0.48445697282906591</v>
      </c>
      <c r="Z198" s="6">
        <f t="shared" si="34"/>
        <v>131.78406335865523</v>
      </c>
      <c r="AA198" s="2" t="str">
        <f t="shared" si="35"/>
        <v>Breakdown</v>
      </c>
    </row>
    <row r="199" spans="1:27" x14ac:dyDescent="0.25">
      <c r="A199" s="2">
        <v>195</v>
      </c>
      <c r="B199" s="4">
        <v>46087</v>
      </c>
      <c r="C199" s="2" t="s">
        <v>36</v>
      </c>
      <c r="D199" s="2" t="s">
        <v>35</v>
      </c>
      <c r="E199" s="2" t="s">
        <v>45</v>
      </c>
      <c r="F199" s="2">
        <v>931</v>
      </c>
      <c r="G199" s="2">
        <v>769.3</v>
      </c>
      <c r="H199" s="2">
        <v>764.3</v>
      </c>
      <c r="I199" s="2">
        <v>4.9000000000000004</v>
      </c>
      <c r="J199" s="2">
        <v>0.21</v>
      </c>
      <c r="K199" s="2" t="s">
        <v>32</v>
      </c>
      <c r="L199" s="2" t="s">
        <v>33</v>
      </c>
      <c r="M199" s="2">
        <v>1583.9</v>
      </c>
      <c r="N199" s="2">
        <v>263.89999999999998</v>
      </c>
      <c r="O199" s="2">
        <v>96972.800000000003</v>
      </c>
      <c r="P199" s="2">
        <v>178.2</v>
      </c>
      <c r="Q199" s="2">
        <v>1.84</v>
      </c>
      <c r="R199" s="2">
        <v>0</v>
      </c>
      <c r="S199" s="5">
        <f t="shared" si="27"/>
        <v>0.82631578947368411</v>
      </c>
      <c r="T199" s="5">
        <f t="shared" si="28"/>
        <v>0.97375</v>
      </c>
      <c r="U199" s="5">
        <f t="shared" si="29"/>
        <v>0.84859131139787847</v>
      </c>
      <c r="V199" s="5">
        <f t="shared" si="30"/>
        <v>0.99350058494735471</v>
      </c>
      <c r="W199" s="5">
        <f t="shared" si="31"/>
        <v>0.82094522019334037</v>
      </c>
      <c r="X199" s="5">
        <f t="shared" si="32"/>
        <v>6.3694267515923579E-3</v>
      </c>
      <c r="Y199" s="6">
        <f t="shared" si="33"/>
        <v>0.48569985478881239</v>
      </c>
      <c r="Z199" s="6">
        <f t="shared" si="34"/>
        <v>126.0532952034317</v>
      </c>
      <c r="AA199" s="2" t="str">
        <f t="shared" si="35"/>
        <v>No Maintenance</v>
      </c>
    </row>
    <row r="200" spans="1:27" x14ac:dyDescent="0.25">
      <c r="A200" s="2">
        <v>196</v>
      </c>
      <c r="B200" s="4">
        <v>46088</v>
      </c>
      <c r="C200" s="2" t="s">
        <v>29</v>
      </c>
      <c r="D200" s="2" t="s">
        <v>30</v>
      </c>
      <c r="E200" s="2" t="s">
        <v>31</v>
      </c>
      <c r="F200" s="2">
        <v>930</v>
      </c>
      <c r="G200" s="2">
        <v>788.6</v>
      </c>
      <c r="H200" s="2">
        <v>779.5</v>
      </c>
      <c r="I200" s="2">
        <v>9.1</v>
      </c>
      <c r="J200" s="2">
        <v>0.15</v>
      </c>
      <c r="K200" s="2" t="s">
        <v>32</v>
      </c>
      <c r="L200" s="2" t="s">
        <v>33</v>
      </c>
      <c r="M200" s="2">
        <v>1601.3</v>
      </c>
      <c r="N200" s="2">
        <v>248.2</v>
      </c>
      <c r="O200" s="2">
        <v>93933.1</v>
      </c>
      <c r="P200" s="2">
        <v>176.6</v>
      </c>
      <c r="Q200" s="2">
        <v>1.73</v>
      </c>
      <c r="R200" s="2">
        <v>0</v>
      </c>
      <c r="S200" s="5">
        <f t="shared" si="27"/>
        <v>0.84795698924731189</v>
      </c>
      <c r="T200" s="5">
        <f t="shared" si="28"/>
        <v>0.98124999999999996</v>
      </c>
      <c r="U200" s="5">
        <f t="shared" si="29"/>
        <v>0.86415998904184643</v>
      </c>
      <c r="V200" s="5">
        <f t="shared" si="30"/>
        <v>0.98846056302307883</v>
      </c>
      <c r="W200" s="5">
        <f t="shared" si="31"/>
        <v>0.83817204301075265</v>
      </c>
      <c r="X200" s="5">
        <f t="shared" si="32"/>
        <v>1.1539436976921126E-2</v>
      </c>
      <c r="Y200" s="6">
        <f t="shared" si="33"/>
        <v>0.49247486417285957</v>
      </c>
      <c r="Z200" s="6">
        <f t="shared" si="34"/>
        <v>119.11374587877251</v>
      </c>
      <c r="AA200" s="2" t="str">
        <f t="shared" si="35"/>
        <v>No Maintenance</v>
      </c>
    </row>
    <row r="201" spans="1:27" x14ac:dyDescent="0.25">
      <c r="A201" s="2">
        <v>197</v>
      </c>
      <c r="B201" s="4">
        <v>46088</v>
      </c>
      <c r="C201" s="2" t="s">
        <v>34</v>
      </c>
      <c r="D201" s="2" t="s">
        <v>30</v>
      </c>
      <c r="E201" s="2" t="s">
        <v>31</v>
      </c>
      <c r="F201" s="2">
        <v>1006</v>
      </c>
      <c r="G201" s="2">
        <v>697.9</v>
      </c>
      <c r="H201" s="2">
        <v>686.3</v>
      </c>
      <c r="I201" s="2">
        <v>11.6</v>
      </c>
      <c r="J201" s="2">
        <v>1.48</v>
      </c>
      <c r="K201" s="2" t="s">
        <v>46</v>
      </c>
      <c r="L201" s="2" t="s">
        <v>38</v>
      </c>
      <c r="M201" s="2">
        <v>1456.7</v>
      </c>
      <c r="N201" s="2">
        <v>218.7</v>
      </c>
      <c r="O201" s="2">
        <v>80297.100000000006</v>
      </c>
      <c r="P201" s="2">
        <v>177.9</v>
      </c>
      <c r="Q201" s="2">
        <v>1.58</v>
      </c>
      <c r="R201" s="2">
        <v>735.87</v>
      </c>
      <c r="S201" s="5">
        <f t="shared" si="27"/>
        <v>0.69373757455268392</v>
      </c>
      <c r="T201" s="5">
        <f t="shared" si="28"/>
        <v>0.81499999999999995</v>
      </c>
      <c r="U201" s="5">
        <f t="shared" si="29"/>
        <v>0.85121174791740351</v>
      </c>
      <c r="V201" s="5">
        <f t="shared" si="30"/>
        <v>0.98337870755122503</v>
      </c>
      <c r="W201" s="5">
        <f t="shared" si="31"/>
        <v>0.68220675944333986</v>
      </c>
      <c r="X201" s="5">
        <f t="shared" si="32"/>
        <v>1.6621292448774895E-2</v>
      </c>
      <c r="Y201" s="6">
        <f t="shared" si="33"/>
        <v>0.47909658817876016</v>
      </c>
      <c r="Z201" s="6">
        <f t="shared" si="34"/>
        <v>115.05530878349335</v>
      </c>
      <c r="AA201" s="2" t="str">
        <f t="shared" si="35"/>
        <v>Breakdown</v>
      </c>
    </row>
    <row r="202" spans="1:27" x14ac:dyDescent="0.25">
      <c r="A202" s="2">
        <v>198</v>
      </c>
      <c r="B202" s="4">
        <v>46088</v>
      </c>
      <c r="C202" s="2" t="s">
        <v>36</v>
      </c>
      <c r="D202" s="2" t="s">
        <v>35</v>
      </c>
      <c r="E202" s="2" t="s">
        <v>31</v>
      </c>
      <c r="F202" s="2">
        <v>1025</v>
      </c>
      <c r="G202" s="2">
        <v>878.2</v>
      </c>
      <c r="H202" s="2">
        <v>858.2</v>
      </c>
      <c r="I202" s="2">
        <v>20</v>
      </c>
      <c r="J202" s="2">
        <v>0.19</v>
      </c>
      <c r="K202" s="2" t="s">
        <v>32</v>
      </c>
      <c r="L202" s="2" t="s">
        <v>33</v>
      </c>
      <c r="M202" s="2">
        <v>1816.6</v>
      </c>
      <c r="N202" s="2">
        <v>263</v>
      </c>
      <c r="O202" s="2">
        <v>98308.6</v>
      </c>
      <c r="P202" s="2">
        <v>183.3</v>
      </c>
      <c r="Q202" s="2">
        <v>1.7</v>
      </c>
      <c r="R202" s="2">
        <v>0</v>
      </c>
      <c r="S202" s="5">
        <f t="shared" si="27"/>
        <v>0.85678048780487814</v>
      </c>
      <c r="T202" s="5">
        <f t="shared" si="28"/>
        <v>0.97624999999999995</v>
      </c>
      <c r="U202" s="5">
        <f t="shared" si="29"/>
        <v>0.87762405921114273</v>
      </c>
      <c r="V202" s="5">
        <f t="shared" si="30"/>
        <v>0.97722614438624456</v>
      </c>
      <c r="W202" s="5">
        <f t="shared" si="31"/>
        <v>0.8372682926829268</v>
      </c>
      <c r="X202" s="5">
        <f t="shared" si="32"/>
        <v>2.2773855613755407E-2</v>
      </c>
      <c r="Y202" s="6">
        <f t="shared" si="33"/>
        <v>0.48343058460860955</v>
      </c>
      <c r="Z202" s="6">
        <f t="shared" si="34"/>
        <v>111.94329309952175</v>
      </c>
      <c r="AA202" s="2" t="str">
        <f t="shared" si="35"/>
        <v>No Maintenance</v>
      </c>
    </row>
    <row r="203" spans="1:27" x14ac:dyDescent="0.25">
      <c r="A203" s="2">
        <v>199</v>
      </c>
      <c r="B203" s="4">
        <v>46089</v>
      </c>
      <c r="C203" s="2" t="s">
        <v>29</v>
      </c>
      <c r="D203" s="2" t="s">
        <v>30</v>
      </c>
      <c r="E203" s="2" t="s">
        <v>31</v>
      </c>
      <c r="F203" s="2">
        <v>953</v>
      </c>
      <c r="G203" s="2">
        <v>819.9</v>
      </c>
      <c r="H203" s="2">
        <v>815.1</v>
      </c>
      <c r="I203" s="2">
        <v>4.9000000000000004</v>
      </c>
      <c r="J203" s="2">
        <v>7.0000000000000007E-2</v>
      </c>
      <c r="K203" s="2" t="s">
        <v>32</v>
      </c>
      <c r="L203" s="2" t="s">
        <v>33</v>
      </c>
      <c r="M203" s="2">
        <v>1758.7</v>
      </c>
      <c r="N203" s="2">
        <v>259.5</v>
      </c>
      <c r="O203" s="2">
        <v>98424</v>
      </c>
      <c r="P203" s="2">
        <v>176.1</v>
      </c>
      <c r="Q203" s="2">
        <v>1.54</v>
      </c>
      <c r="R203" s="2">
        <v>0</v>
      </c>
      <c r="S203" s="5">
        <f t="shared" si="27"/>
        <v>0.86033578174186776</v>
      </c>
      <c r="T203" s="5">
        <f t="shared" si="28"/>
        <v>0.99124999999999996</v>
      </c>
      <c r="U203" s="5">
        <f t="shared" si="29"/>
        <v>0.86793017073580603</v>
      </c>
      <c r="V203" s="5">
        <f t="shared" si="30"/>
        <v>0.99414562751555069</v>
      </c>
      <c r="W203" s="5">
        <f t="shared" si="31"/>
        <v>0.85529905561385089</v>
      </c>
      <c r="X203" s="5">
        <f t="shared" si="32"/>
        <v>5.9763385778753512E-3</v>
      </c>
      <c r="Y203" s="6">
        <f t="shared" si="33"/>
        <v>0.46619662250525956</v>
      </c>
      <c r="Z203" s="6">
        <f t="shared" si="34"/>
        <v>120.04390779363338</v>
      </c>
      <c r="AA203" s="2" t="str">
        <f t="shared" si="35"/>
        <v>No Maintenance</v>
      </c>
    </row>
    <row r="204" spans="1:27" x14ac:dyDescent="0.25">
      <c r="A204" s="2">
        <v>200</v>
      </c>
      <c r="B204" s="4">
        <v>46089</v>
      </c>
      <c r="C204" s="2" t="s">
        <v>34</v>
      </c>
      <c r="D204" s="2" t="s">
        <v>30</v>
      </c>
      <c r="E204" s="2" t="s">
        <v>31</v>
      </c>
      <c r="F204" s="2">
        <v>1025</v>
      </c>
      <c r="G204" s="2">
        <v>853.2</v>
      </c>
      <c r="H204" s="2">
        <v>848.6</v>
      </c>
      <c r="I204" s="2">
        <v>4.5</v>
      </c>
      <c r="J204" s="2">
        <v>0.28999999999999998</v>
      </c>
      <c r="K204" s="2" t="s">
        <v>32</v>
      </c>
      <c r="L204" s="2" t="s">
        <v>33</v>
      </c>
      <c r="M204" s="2">
        <v>1676.6</v>
      </c>
      <c r="N204" s="2">
        <v>295.89999999999998</v>
      </c>
      <c r="O204" s="2">
        <v>100834.8</v>
      </c>
      <c r="P204" s="2">
        <v>170.9</v>
      </c>
      <c r="Q204" s="2">
        <v>1.6</v>
      </c>
      <c r="R204" s="2">
        <v>0</v>
      </c>
      <c r="S204" s="5">
        <f t="shared" si="27"/>
        <v>0.8323902439024391</v>
      </c>
      <c r="T204" s="5">
        <f t="shared" si="28"/>
        <v>0.96375</v>
      </c>
      <c r="U204" s="5">
        <f t="shared" si="29"/>
        <v>0.86369934516465796</v>
      </c>
      <c r="V204" s="5">
        <f t="shared" si="30"/>
        <v>0.99460853258321613</v>
      </c>
      <c r="W204" s="5">
        <f t="shared" si="31"/>
        <v>0.82790243902439031</v>
      </c>
      <c r="X204" s="5">
        <f t="shared" si="32"/>
        <v>5.2742616033755272E-3</v>
      </c>
      <c r="Y204" s="6">
        <f t="shared" si="33"/>
        <v>0.50888703328164142</v>
      </c>
      <c r="Z204" s="6">
        <f t="shared" si="34"/>
        <v>118.18424753867791</v>
      </c>
      <c r="AA204" s="2" t="str">
        <f t="shared" si="35"/>
        <v>No Maintenance</v>
      </c>
    </row>
    <row r="205" spans="1:27" x14ac:dyDescent="0.25">
      <c r="A205" s="2">
        <v>201</v>
      </c>
      <c r="B205" s="4">
        <v>46089</v>
      </c>
      <c r="C205" s="2" t="s">
        <v>36</v>
      </c>
      <c r="D205" s="2" t="s">
        <v>35</v>
      </c>
      <c r="E205" s="2" t="s">
        <v>31</v>
      </c>
      <c r="F205" s="2">
        <v>958</v>
      </c>
      <c r="G205" s="2">
        <v>664.7</v>
      </c>
      <c r="H205" s="2">
        <v>654</v>
      </c>
      <c r="I205" s="2">
        <v>10.7</v>
      </c>
      <c r="J205" s="2">
        <v>1.63</v>
      </c>
      <c r="K205" s="2" t="s">
        <v>46</v>
      </c>
      <c r="L205" s="2" t="s">
        <v>43</v>
      </c>
      <c r="M205" s="2">
        <v>1419.3</v>
      </c>
      <c r="N205" s="2">
        <v>216.1</v>
      </c>
      <c r="O205" s="2">
        <v>88434.7</v>
      </c>
      <c r="P205" s="2">
        <v>176.5</v>
      </c>
      <c r="Q205" s="2">
        <v>1.77</v>
      </c>
      <c r="R205" s="2">
        <v>1432.21</v>
      </c>
      <c r="S205" s="5">
        <f t="shared" si="27"/>
        <v>0.69384133611691023</v>
      </c>
      <c r="T205" s="5">
        <f t="shared" si="28"/>
        <v>0.79625000000000001</v>
      </c>
      <c r="U205" s="5">
        <f t="shared" si="29"/>
        <v>0.87138629339643359</v>
      </c>
      <c r="V205" s="5">
        <f t="shared" si="30"/>
        <v>0.98390251241161419</v>
      </c>
      <c r="W205" s="5">
        <f t="shared" si="31"/>
        <v>0.68267223382045927</v>
      </c>
      <c r="X205" s="5">
        <f t="shared" si="32"/>
        <v>1.6097487588385737E-2</v>
      </c>
      <c r="Y205" s="6">
        <f t="shared" si="33"/>
        <v>0.46832945818361171</v>
      </c>
      <c r="Z205" s="6">
        <f t="shared" si="34"/>
        <v>133.0445313675342</v>
      </c>
      <c r="AA205" s="2" t="str">
        <f t="shared" si="35"/>
        <v>Breakdown</v>
      </c>
    </row>
    <row r="206" spans="1:27" x14ac:dyDescent="0.25">
      <c r="A206" s="2">
        <v>202</v>
      </c>
      <c r="B206" s="4">
        <v>46090</v>
      </c>
      <c r="C206" s="2" t="s">
        <v>29</v>
      </c>
      <c r="D206" s="2" t="s">
        <v>30</v>
      </c>
      <c r="E206" s="2" t="s">
        <v>45</v>
      </c>
      <c r="F206" s="2">
        <v>921</v>
      </c>
      <c r="G206" s="2">
        <v>830.6</v>
      </c>
      <c r="H206" s="2">
        <v>813.7</v>
      </c>
      <c r="I206" s="2">
        <v>16.899999999999999</v>
      </c>
      <c r="J206" s="2">
        <v>0.39</v>
      </c>
      <c r="K206" s="2" t="s">
        <v>32</v>
      </c>
      <c r="L206" s="2" t="s">
        <v>33</v>
      </c>
      <c r="M206" s="2">
        <v>1677.1</v>
      </c>
      <c r="N206" s="2">
        <v>277.60000000000002</v>
      </c>
      <c r="O206" s="2">
        <v>93695.9</v>
      </c>
      <c r="P206" s="2">
        <v>174.2</v>
      </c>
      <c r="Q206" s="2">
        <v>2.0099999999999998</v>
      </c>
      <c r="R206" s="2">
        <v>0</v>
      </c>
      <c r="S206" s="5">
        <f t="shared" si="27"/>
        <v>0.90184581976112921</v>
      </c>
      <c r="T206" s="5">
        <f t="shared" si="28"/>
        <v>0.95125000000000004</v>
      </c>
      <c r="U206" s="5">
        <f t="shared" si="29"/>
        <v>0.94806393667398603</v>
      </c>
      <c r="V206" s="5">
        <f t="shared" si="30"/>
        <v>0.97965326270166153</v>
      </c>
      <c r="W206" s="5">
        <f t="shared" si="31"/>
        <v>0.88349619978284477</v>
      </c>
      <c r="X206" s="5">
        <f t="shared" si="32"/>
        <v>2.0346737298338548E-2</v>
      </c>
      <c r="Y206" s="6">
        <f t="shared" si="33"/>
        <v>0.49525967443801805</v>
      </c>
      <c r="Z206" s="6">
        <f t="shared" si="34"/>
        <v>112.8050806645798</v>
      </c>
      <c r="AA206" s="2" t="str">
        <f t="shared" si="35"/>
        <v>No Maintenance</v>
      </c>
    </row>
    <row r="207" spans="1:27" x14ac:dyDescent="0.25">
      <c r="A207" s="2">
        <v>203</v>
      </c>
      <c r="B207" s="4">
        <v>46090</v>
      </c>
      <c r="C207" s="2" t="s">
        <v>34</v>
      </c>
      <c r="D207" s="2" t="s">
        <v>35</v>
      </c>
      <c r="E207" s="2" t="s">
        <v>45</v>
      </c>
      <c r="F207" s="2">
        <v>905</v>
      </c>
      <c r="G207" s="2">
        <v>599.70000000000005</v>
      </c>
      <c r="H207" s="2">
        <v>595.6</v>
      </c>
      <c r="I207" s="2">
        <v>4.0999999999999996</v>
      </c>
      <c r="J207" s="2">
        <v>3.6</v>
      </c>
      <c r="K207" s="2" t="s">
        <v>42</v>
      </c>
      <c r="L207" s="2" t="s">
        <v>38</v>
      </c>
      <c r="M207" s="2">
        <v>1234.7</v>
      </c>
      <c r="N207" s="2">
        <v>190.9</v>
      </c>
      <c r="O207" s="2">
        <v>72853.7</v>
      </c>
      <c r="P207" s="2">
        <v>184</v>
      </c>
      <c r="Q207" s="2">
        <v>1.5</v>
      </c>
      <c r="R207" s="2">
        <v>660.97</v>
      </c>
      <c r="S207" s="5">
        <f t="shared" si="27"/>
        <v>0.66265193370165754</v>
      </c>
      <c r="T207" s="5">
        <f t="shared" si="28"/>
        <v>0.55000000000000004</v>
      </c>
      <c r="U207" s="5">
        <f t="shared" si="29"/>
        <v>1.2048216976393771</v>
      </c>
      <c r="V207" s="5">
        <f t="shared" si="30"/>
        <v>0.99316324829081204</v>
      </c>
      <c r="W207" s="5">
        <f t="shared" si="31"/>
        <v>0.65812154696132596</v>
      </c>
      <c r="X207" s="5">
        <f t="shared" si="32"/>
        <v>6.8367517091879266E-3</v>
      </c>
      <c r="Y207" s="6">
        <f t="shared" si="33"/>
        <v>0.48570502956183692</v>
      </c>
      <c r="Z207" s="6">
        <f t="shared" si="34"/>
        <v>121.48357512089376</v>
      </c>
      <c r="AA207" s="2" t="str">
        <f t="shared" si="35"/>
        <v>Breakdown</v>
      </c>
    </row>
    <row r="208" spans="1:27" x14ac:dyDescent="0.25">
      <c r="A208" s="2">
        <v>204</v>
      </c>
      <c r="B208" s="4">
        <v>46090</v>
      </c>
      <c r="C208" s="2" t="s">
        <v>36</v>
      </c>
      <c r="D208" s="2" t="s">
        <v>30</v>
      </c>
      <c r="E208" s="2" t="s">
        <v>45</v>
      </c>
      <c r="F208" s="2">
        <v>1007</v>
      </c>
      <c r="G208" s="2">
        <v>792.3</v>
      </c>
      <c r="H208" s="2">
        <v>784.7</v>
      </c>
      <c r="I208" s="2">
        <v>7.6</v>
      </c>
      <c r="J208" s="2">
        <v>0.28000000000000003</v>
      </c>
      <c r="K208" s="2" t="s">
        <v>32</v>
      </c>
      <c r="L208" s="2" t="s">
        <v>33</v>
      </c>
      <c r="M208" s="2">
        <v>1602.6</v>
      </c>
      <c r="N208" s="2">
        <v>260.10000000000002</v>
      </c>
      <c r="O208" s="2">
        <v>93356.5</v>
      </c>
      <c r="P208" s="2">
        <v>176.3</v>
      </c>
      <c r="Q208" s="2">
        <v>1.6</v>
      </c>
      <c r="R208" s="2">
        <v>0</v>
      </c>
      <c r="S208" s="5">
        <f t="shared" si="27"/>
        <v>0.78679245283018862</v>
      </c>
      <c r="T208" s="5">
        <f t="shared" si="28"/>
        <v>0.96499999999999997</v>
      </c>
      <c r="U208" s="5">
        <f t="shared" si="29"/>
        <v>0.81532896666340793</v>
      </c>
      <c r="V208" s="5">
        <f t="shared" si="30"/>
        <v>0.99040767386091133</v>
      </c>
      <c r="W208" s="5">
        <f t="shared" si="31"/>
        <v>0.77924528301886786</v>
      </c>
      <c r="X208" s="5">
        <f t="shared" si="32"/>
        <v>9.5923261390887284E-3</v>
      </c>
      <c r="Y208" s="6">
        <f t="shared" si="33"/>
        <v>0.49438412579558216</v>
      </c>
      <c r="Z208" s="6">
        <f t="shared" si="34"/>
        <v>117.82973621103118</v>
      </c>
      <c r="AA208" s="2" t="str">
        <f t="shared" si="35"/>
        <v>No Maintenance</v>
      </c>
    </row>
    <row r="209" spans="1:27" x14ac:dyDescent="0.25">
      <c r="A209" s="2">
        <v>205</v>
      </c>
      <c r="B209" s="4">
        <v>46091</v>
      </c>
      <c r="C209" s="2" t="s">
        <v>29</v>
      </c>
      <c r="D209" s="2" t="s">
        <v>30</v>
      </c>
      <c r="E209" s="2" t="s">
        <v>31</v>
      </c>
      <c r="F209" s="2">
        <v>915</v>
      </c>
      <c r="G209" s="2">
        <v>829.6</v>
      </c>
      <c r="H209" s="2">
        <v>822.8</v>
      </c>
      <c r="I209" s="2">
        <v>6.8</v>
      </c>
      <c r="J209" s="2">
        <v>0.23</v>
      </c>
      <c r="K209" s="2" t="s">
        <v>32</v>
      </c>
      <c r="L209" s="2" t="s">
        <v>33</v>
      </c>
      <c r="M209" s="2">
        <v>1789</v>
      </c>
      <c r="N209" s="2">
        <v>254.5</v>
      </c>
      <c r="O209" s="2">
        <v>101260.6</v>
      </c>
      <c r="P209" s="2">
        <v>182.8</v>
      </c>
      <c r="Q209" s="2">
        <v>1.7</v>
      </c>
      <c r="R209" s="2">
        <v>0</v>
      </c>
      <c r="S209" s="5">
        <f t="shared" si="27"/>
        <v>0.90666666666666673</v>
      </c>
      <c r="T209" s="5">
        <f t="shared" si="28"/>
        <v>0.97124999999999995</v>
      </c>
      <c r="U209" s="5">
        <f t="shared" si="29"/>
        <v>0.93350493350493358</v>
      </c>
      <c r="V209" s="5">
        <f t="shared" si="30"/>
        <v>0.99180327868852447</v>
      </c>
      <c r="W209" s="5">
        <f t="shared" si="31"/>
        <v>0.89923497267759556</v>
      </c>
      <c r="X209" s="5">
        <f t="shared" si="32"/>
        <v>8.1967213114754103E-3</v>
      </c>
      <c r="Y209" s="6">
        <f t="shared" si="33"/>
        <v>0.4637227501397429</v>
      </c>
      <c r="Z209" s="6">
        <f t="shared" si="34"/>
        <v>122.05954676952749</v>
      </c>
      <c r="AA209" s="2" t="str">
        <f t="shared" si="35"/>
        <v>No Maintenance</v>
      </c>
    </row>
    <row r="210" spans="1:27" x14ac:dyDescent="0.25">
      <c r="A210" s="2">
        <v>206</v>
      </c>
      <c r="B210" s="4">
        <v>46091</v>
      </c>
      <c r="C210" s="2" t="s">
        <v>34</v>
      </c>
      <c r="D210" s="2" t="s">
        <v>30</v>
      </c>
      <c r="E210" s="2" t="s">
        <v>39</v>
      </c>
      <c r="F210" s="2">
        <v>928</v>
      </c>
      <c r="G210" s="2">
        <v>516.9</v>
      </c>
      <c r="H210" s="2">
        <v>511</v>
      </c>
      <c r="I210" s="2">
        <v>5.9</v>
      </c>
      <c r="J210" s="2">
        <v>3.16</v>
      </c>
      <c r="K210" s="2" t="s">
        <v>48</v>
      </c>
      <c r="L210" s="2" t="s">
        <v>38</v>
      </c>
      <c r="M210" s="2">
        <v>1047.5999999999999</v>
      </c>
      <c r="N210" s="2">
        <v>162.1</v>
      </c>
      <c r="O210" s="2">
        <v>59181.3</v>
      </c>
      <c r="P210" s="2">
        <v>175.6</v>
      </c>
      <c r="Q210" s="2">
        <v>1.47</v>
      </c>
      <c r="R210" s="2">
        <v>700.49</v>
      </c>
      <c r="S210" s="5">
        <f t="shared" si="27"/>
        <v>0.55700431034482756</v>
      </c>
      <c r="T210" s="5">
        <f t="shared" si="28"/>
        <v>0.60499999999999998</v>
      </c>
      <c r="U210" s="5">
        <f t="shared" si="29"/>
        <v>0.92066828156169855</v>
      </c>
      <c r="V210" s="5">
        <f t="shared" si="30"/>
        <v>0.9885857999613078</v>
      </c>
      <c r="W210" s="5">
        <f t="shared" si="31"/>
        <v>0.5506465517241379</v>
      </c>
      <c r="X210" s="5">
        <f t="shared" si="32"/>
        <v>1.1414200038692205E-2</v>
      </c>
      <c r="Y210" s="6">
        <f t="shared" si="33"/>
        <v>0.49341351660939292</v>
      </c>
      <c r="Z210" s="6">
        <f t="shared" si="34"/>
        <v>114.49274521183982</v>
      </c>
      <c r="AA210" s="2" t="str">
        <f t="shared" si="35"/>
        <v>Breakdown</v>
      </c>
    </row>
    <row r="211" spans="1:27" x14ac:dyDescent="0.25">
      <c r="A211" s="2">
        <v>207</v>
      </c>
      <c r="B211" s="4">
        <v>46091</v>
      </c>
      <c r="C211" s="2" t="s">
        <v>36</v>
      </c>
      <c r="D211" s="2" t="s">
        <v>35</v>
      </c>
      <c r="E211" s="2" t="s">
        <v>31</v>
      </c>
      <c r="F211" s="2">
        <v>923</v>
      </c>
      <c r="G211" s="2">
        <v>731.1</v>
      </c>
      <c r="H211" s="2">
        <v>719.9</v>
      </c>
      <c r="I211" s="2">
        <v>11.2</v>
      </c>
      <c r="J211" s="2">
        <v>1.29</v>
      </c>
      <c r="K211" s="2" t="s">
        <v>44</v>
      </c>
      <c r="L211" s="2" t="s">
        <v>38</v>
      </c>
      <c r="M211" s="2">
        <v>1502.8</v>
      </c>
      <c r="N211" s="2">
        <v>237.6</v>
      </c>
      <c r="O211" s="2">
        <v>79718.100000000006</v>
      </c>
      <c r="P211" s="2">
        <v>178.7</v>
      </c>
      <c r="Q211" s="2">
        <v>1.71</v>
      </c>
      <c r="R211" s="2">
        <v>725.12</v>
      </c>
      <c r="S211" s="5">
        <f t="shared" si="27"/>
        <v>0.79209100758396533</v>
      </c>
      <c r="T211" s="5">
        <f t="shared" si="28"/>
        <v>0.83875</v>
      </c>
      <c r="U211" s="5">
        <f t="shared" si="29"/>
        <v>0.94437079890785736</v>
      </c>
      <c r="V211" s="5">
        <f t="shared" si="30"/>
        <v>0.9846806182464779</v>
      </c>
      <c r="W211" s="5">
        <f t="shared" si="31"/>
        <v>0.77995666305525457</v>
      </c>
      <c r="X211" s="5">
        <f t="shared" si="32"/>
        <v>1.5319381753522088E-2</v>
      </c>
      <c r="Y211" s="6">
        <f t="shared" si="33"/>
        <v>0.48649188182060155</v>
      </c>
      <c r="Z211" s="6">
        <f t="shared" si="34"/>
        <v>109.03857201477227</v>
      </c>
      <c r="AA211" s="2" t="str">
        <f t="shared" si="35"/>
        <v>Breakdown</v>
      </c>
    </row>
    <row r="212" spans="1:27" x14ac:dyDescent="0.25">
      <c r="A212" s="2">
        <v>208</v>
      </c>
      <c r="B212" s="4">
        <v>46092</v>
      </c>
      <c r="C212" s="2" t="s">
        <v>29</v>
      </c>
      <c r="D212" s="2" t="s">
        <v>35</v>
      </c>
      <c r="E212" s="2" t="s">
        <v>39</v>
      </c>
      <c r="F212" s="2">
        <v>983</v>
      </c>
      <c r="G212" s="2">
        <v>896.1</v>
      </c>
      <c r="H212" s="2">
        <v>872.3</v>
      </c>
      <c r="I212" s="2">
        <v>23.8</v>
      </c>
      <c r="J212" s="2">
        <v>0.16</v>
      </c>
      <c r="K212" s="2" t="s">
        <v>32</v>
      </c>
      <c r="L212" s="2" t="s">
        <v>33</v>
      </c>
      <c r="M212" s="2">
        <v>1883.8</v>
      </c>
      <c r="N212" s="2">
        <v>293</v>
      </c>
      <c r="O212" s="2">
        <v>103526.5</v>
      </c>
      <c r="P212" s="2">
        <v>177.5</v>
      </c>
      <c r="Q212" s="2">
        <v>1.74</v>
      </c>
      <c r="R212" s="2">
        <v>0</v>
      </c>
      <c r="S212" s="5">
        <f t="shared" si="27"/>
        <v>0.91159715157680576</v>
      </c>
      <c r="T212" s="5">
        <f t="shared" si="28"/>
        <v>0.98</v>
      </c>
      <c r="U212" s="5">
        <f t="shared" si="29"/>
        <v>0.93020117507837319</v>
      </c>
      <c r="V212" s="5">
        <f t="shared" si="30"/>
        <v>0.9734404642339024</v>
      </c>
      <c r="W212" s="5">
        <f t="shared" si="31"/>
        <v>0.88738555442522882</v>
      </c>
      <c r="X212" s="5">
        <f t="shared" si="32"/>
        <v>2.6559535766097535E-2</v>
      </c>
      <c r="Y212" s="6">
        <f t="shared" si="33"/>
        <v>0.47568744028028453</v>
      </c>
      <c r="Z212" s="6">
        <f t="shared" si="34"/>
        <v>115.53007476844103</v>
      </c>
      <c r="AA212" s="2" t="str">
        <f t="shared" si="35"/>
        <v>No Maintenance</v>
      </c>
    </row>
    <row r="213" spans="1:27" x14ac:dyDescent="0.25">
      <c r="A213" s="2">
        <v>209</v>
      </c>
      <c r="B213" s="4">
        <v>46092</v>
      </c>
      <c r="C213" s="2" t="s">
        <v>34</v>
      </c>
      <c r="D213" s="2" t="s">
        <v>30</v>
      </c>
      <c r="E213" s="2" t="s">
        <v>31</v>
      </c>
      <c r="F213" s="2">
        <v>994</v>
      </c>
      <c r="G213" s="2">
        <v>840.8</v>
      </c>
      <c r="H213" s="2">
        <v>829.4</v>
      </c>
      <c r="I213" s="2">
        <v>11.4</v>
      </c>
      <c r="J213" s="2">
        <v>0.21</v>
      </c>
      <c r="K213" s="2" t="s">
        <v>32</v>
      </c>
      <c r="L213" s="2" t="s">
        <v>33</v>
      </c>
      <c r="M213" s="2">
        <v>1725.3</v>
      </c>
      <c r="N213" s="2">
        <v>243.6</v>
      </c>
      <c r="O213" s="2">
        <v>102171.3</v>
      </c>
      <c r="P213" s="2">
        <v>180</v>
      </c>
      <c r="Q213" s="2">
        <v>1.54</v>
      </c>
      <c r="R213" s="2">
        <v>0</v>
      </c>
      <c r="S213" s="5">
        <f t="shared" si="27"/>
        <v>0.84587525150905429</v>
      </c>
      <c r="T213" s="5">
        <f t="shared" si="28"/>
        <v>0.97375</v>
      </c>
      <c r="U213" s="5">
        <f t="shared" si="29"/>
        <v>0.86867805033022261</v>
      </c>
      <c r="V213" s="5">
        <f t="shared" si="30"/>
        <v>0.98644148430066603</v>
      </c>
      <c r="W213" s="5">
        <f t="shared" si="31"/>
        <v>0.83440643863179076</v>
      </c>
      <c r="X213" s="5">
        <f t="shared" si="32"/>
        <v>1.3558515699333969E-2</v>
      </c>
      <c r="Y213" s="6">
        <f t="shared" si="33"/>
        <v>0.48733553584883788</v>
      </c>
      <c r="Z213" s="6">
        <f t="shared" si="34"/>
        <v>121.51676974310182</v>
      </c>
      <c r="AA213" s="2" t="str">
        <f t="shared" si="35"/>
        <v>No Maintenance</v>
      </c>
    </row>
    <row r="214" spans="1:27" x14ac:dyDescent="0.25">
      <c r="A214" s="2">
        <v>210</v>
      </c>
      <c r="B214" s="4">
        <v>46092</v>
      </c>
      <c r="C214" s="2" t="s">
        <v>36</v>
      </c>
      <c r="D214" s="2" t="s">
        <v>35</v>
      </c>
      <c r="E214" s="2" t="s">
        <v>31</v>
      </c>
      <c r="F214" s="2">
        <v>916</v>
      </c>
      <c r="G214" s="2">
        <v>572.4</v>
      </c>
      <c r="H214" s="2">
        <v>559.9</v>
      </c>
      <c r="I214" s="2">
        <v>12.4</v>
      </c>
      <c r="J214" s="2">
        <v>3.14</v>
      </c>
      <c r="K214" s="2" t="s">
        <v>42</v>
      </c>
      <c r="L214" s="2" t="s">
        <v>38</v>
      </c>
      <c r="M214" s="2">
        <v>1180.0999999999999</v>
      </c>
      <c r="N214" s="2">
        <v>196.3</v>
      </c>
      <c r="O214" s="2">
        <v>66992.7</v>
      </c>
      <c r="P214" s="2">
        <v>178.5</v>
      </c>
      <c r="Q214" s="2">
        <v>1.56</v>
      </c>
      <c r="R214" s="2">
        <v>884.55</v>
      </c>
      <c r="S214" s="5">
        <f t="shared" si="27"/>
        <v>0.62489082969432308</v>
      </c>
      <c r="T214" s="5">
        <f t="shared" si="28"/>
        <v>0.60749999999999993</v>
      </c>
      <c r="U214" s="5">
        <f t="shared" si="29"/>
        <v>1.0286268801552645</v>
      </c>
      <c r="V214" s="5">
        <f t="shared" si="30"/>
        <v>0.97816212438853944</v>
      </c>
      <c r="W214" s="5">
        <f t="shared" si="31"/>
        <v>0.61124454148471608</v>
      </c>
      <c r="X214" s="5">
        <f t="shared" si="32"/>
        <v>2.1663172606568835E-2</v>
      </c>
      <c r="Y214" s="6">
        <f t="shared" si="33"/>
        <v>0.48504364036946024</v>
      </c>
      <c r="Z214" s="6">
        <f t="shared" si="34"/>
        <v>117.03825995807128</v>
      </c>
      <c r="AA214" s="2" t="str">
        <f t="shared" si="35"/>
        <v>Breakdown</v>
      </c>
    </row>
    <row r="215" spans="1:27" x14ac:dyDescent="0.25">
      <c r="A215" s="2">
        <v>211</v>
      </c>
      <c r="B215" s="4">
        <v>46093</v>
      </c>
      <c r="C215" s="2" t="s">
        <v>29</v>
      </c>
      <c r="D215" s="2" t="s">
        <v>35</v>
      </c>
      <c r="E215" s="2" t="s">
        <v>31</v>
      </c>
      <c r="F215" s="2">
        <v>981</v>
      </c>
      <c r="G215" s="2">
        <v>604.6</v>
      </c>
      <c r="H215" s="2">
        <v>587.70000000000005</v>
      </c>
      <c r="I215" s="2">
        <v>16.8</v>
      </c>
      <c r="J215" s="2">
        <v>3.52</v>
      </c>
      <c r="K215" s="2" t="s">
        <v>47</v>
      </c>
      <c r="L215" s="2" t="s">
        <v>43</v>
      </c>
      <c r="M215" s="2">
        <v>1215.3</v>
      </c>
      <c r="N215" s="2">
        <v>191.5</v>
      </c>
      <c r="O215" s="2">
        <v>70584.800000000003</v>
      </c>
      <c r="P215" s="2">
        <v>180.8</v>
      </c>
      <c r="Q215" s="2">
        <v>1.62</v>
      </c>
      <c r="R215" s="2">
        <v>913.06</v>
      </c>
      <c r="S215" s="5">
        <f t="shared" si="27"/>
        <v>0.6163098878695209</v>
      </c>
      <c r="T215" s="5">
        <f t="shared" si="28"/>
        <v>0.56000000000000005</v>
      </c>
      <c r="U215" s="5">
        <f t="shared" si="29"/>
        <v>1.1005533711955731</v>
      </c>
      <c r="V215" s="5">
        <f t="shared" si="30"/>
        <v>0.97204763479986767</v>
      </c>
      <c r="W215" s="5">
        <f t="shared" si="31"/>
        <v>0.59908256880733957</v>
      </c>
      <c r="X215" s="5">
        <f t="shared" si="32"/>
        <v>2.7786966589480648E-2</v>
      </c>
      <c r="Y215" s="6">
        <f t="shared" si="33"/>
        <v>0.49749033160536499</v>
      </c>
      <c r="Z215" s="6">
        <f t="shared" si="34"/>
        <v>116.74627853126034</v>
      </c>
      <c r="AA215" s="2" t="str">
        <f t="shared" si="35"/>
        <v>Breakdown</v>
      </c>
    </row>
    <row r="216" spans="1:27" x14ac:dyDescent="0.25">
      <c r="A216" s="2">
        <v>212</v>
      </c>
      <c r="B216" s="4">
        <v>46093</v>
      </c>
      <c r="C216" s="2" t="s">
        <v>34</v>
      </c>
      <c r="D216" s="2" t="s">
        <v>30</v>
      </c>
      <c r="E216" s="2" t="s">
        <v>45</v>
      </c>
      <c r="F216" s="2">
        <v>977</v>
      </c>
      <c r="G216" s="2">
        <v>669.5</v>
      </c>
      <c r="H216" s="2">
        <v>652.5</v>
      </c>
      <c r="I216" s="2">
        <v>17</v>
      </c>
      <c r="J216" s="2">
        <v>2.34</v>
      </c>
      <c r="K216" s="2" t="s">
        <v>37</v>
      </c>
      <c r="L216" s="2" t="s">
        <v>38</v>
      </c>
      <c r="M216" s="2">
        <v>1354.4</v>
      </c>
      <c r="N216" s="2">
        <v>212.6</v>
      </c>
      <c r="O216" s="2">
        <v>79848.399999999994</v>
      </c>
      <c r="P216" s="2">
        <v>170.2</v>
      </c>
      <c r="Q216" s="2">
        <v>1.81</v>
      </c>
      <c r="R216" s="2">
        <v>733.03</v>
      </c>
      <c r="S216" s="5">
        <f t="shared" si="27"/>
        <v>0.68526100307062432</v>
      </c>
      <c r="T216" s="5">
        <f t="shared" si="28"/>
        <v>0.70750000000000002</v>
      </c>
      <c r="U216" s="5">
        <f t="shared" si="29"/>
        <v>0.96856678879240199</v>
      </c>
      <c r="V216" s="5">
        <f t="shared" si="30"/>
        <v>0.97460791635548916</v>
      </c>
      <c r="W216" s="5">
        <f t="shared" si="31"/>
        <v>0.6678607983623337</v>
      </c>
      <c r="X216" s="5">
        <f t="shared" si="32"/>
        <v>2.5392083644510829E-2</v>
      </c>
      <c r="Y216" s="6">
        <f t="shared" si="33"/>
        <v>0.49431482575310098</v>
      </c>
      <c r="Z216" s="6">
        <f t="shared" si="34"/>
        <v>119.26572068707991</v>
      </c>
      <c r="AA216" s="2" t="str">
        <f t="shared" si="35"/>
        <v>Breakdown</v>
      </c>
    </row>
    <row r="217" spans="1:27" x14ac:dyDescent="0.25">
      <c r="A217" s="2">
        <v>213</v>
      </c>
      <c r="B217" s="4">
        <v>46093</v>
      </c>
      <c r="C217" s="2" t="s">
        <v>36</v>
      </c>
      <c r="D217" s="2" t="s">
        <v>30</v>
      </c>
      <c r="E217" s="2" t="s">
        <v>45</v>
      </c>
      <c r="F217" s="2">
        <v>1029</v>
      </c>
      <c r="G217" s="2">
        <v>813</v>
      </c>
      <c r="H217" s="2">
        <v>794.4</v>
      </c>
      <c r="I217" s="2">
        <v>18.600000000000001</v>
      </c>
      <c r="J217" s="2">
        <v>0.28000000000000003</v>
      </c>
      <c r="K217" s="2" t="s">
        <v>32</v>
      </c>
      <c r="L217" s="2" t="s">
        <v>33</v>
      </c>
      <c r="M217" s="2">
        <v>1705.9</v>
      </c>
      <c r="N217" s="2">
        <v>274.5</v>
      </c>
      <c r="O217" s="2">
        <v>98563.4</v>
      </c>
      <c r="P217" s="2">
        <v>176.6</v>
      </c>
      <c r="Q217" s="2">
        <v>1.56</v>
      </c>
      <c r="R217" s="2">
        <v>0</v>
      </c>
      <c r="S217" s="5">
        <f t="shared" si="27"/>
        <v>0.79008746355685133</v>
      </c>
      <c r="T217" s="5">
        <f t="shared" si="28"/>
        <v>0.96499999999999997</v>
      </c>
      <c r="U217" s="5">
        <f t="shared" si="29"/>
        <v>0.81874348555114129</v>
      </c>
      <c r="V217" s="5">
        <f t="shared" si="30"/>
        <v>0.97712177121771215</v>
      </c>
      <c r="W217" s="5">
        <f t="shared" si="31"/>
        <v>0.77201166180758019</v>
      </c>
      <c r="X217" s="5">
        <f t="shared" si="32"/>
        <v>2.2878228782287825E-2</v>
      </c>
      <c r="Y217" s="6">
        <f t="shared" si="33"/>
        <v>0.47658127674541295</v>
      </c>
      <c r="Z217" s="6">
        <f t="shared" si="34"/>
        <v>121.23419434194341</v>
      </c>
      <c r="AA217" s="2" t="str">
        <f t="shared" si="35"/>
        <v>No Maintenance</v>
      </c>
    </row>
    <row r="218" spans="1:27" x14ac:dyDescent="0.25">
      <c r="A218" s="2">
        <v>214</v>
      </c>
      <c r="B218" s="4">
        <v>46094</v>
      </c>
      <c r="C218" s="2" t="s">
        <v>29</v>
      </c>
      <c r="D218" s="2" t="s">
        <v>35</v>
      </c>
      <c r="E218" s="2" t="s">
        <v>31</v>
      </c>
      <c r="F218" s="2">
        <v>989</v>
      </c>
      <c r="G218" s="2">
        <v>933.2</v>
      </c>
      <c r="H218" s="2">
        <v>915.6</v>
      </c>
      <c r="I218" s="2">
        <v>17.600000000000001</v>
      </c>
      <c r="J218" s="2">
        <v>0.11</v>
      </c>
      <c r="K218" s="2" t="s">
        <v>32</v>
      </c>
      <c r="L218" s="2" t="s">
        <v>33</v>
      </c>
      <c r="M218" s="2">
        <v>1835.4</v>
      </c>
      <c r="N218" s="2">
        <v>308.8</v>
      </c>
      <c r="O218" s="2">
        <v>111693.5</v>
      </c>
      <c r="P218" s="2">
        <v>181.5</v>
      </c>
      <c r="Q218" s="2">
        <v>1.91</v>
      </c>
      <c r="R218" s="2">
        <v>0</v>
      </c>
      <c r="S218" s="5">
        <f t="shared" si="27"/>
        <v>0.94357937310414564</v>
      </c>
      <c r="T218" s="5">
        <f t="shared" si="28"/>
        <v>0.98624999999999996</v>
      </c>
      <c r="U218" s="5">
        <f t="shared" si="29"/>
        <v>0.95673447209545814</v>
      </c>
      <c r="V218" s="5">
        <f t="shared" si="30"/>
        <v>0.9811401628804115</v>
      </c>
      <c r="W218" s="5">
        <f t="shared" si="31"/>
        <v>0.92578361981799795</v>
      </c>
      <c r="X218" s="5">
        <f t="shared" si="32"/>
        <v>1.8859837119588514E-2</v>
      </c>
      <c r="Y218" s="6">
        <f t="shared" si="33"/>
        <v>0.50844502560749705</v>
      </c>
      <c r="Z218" s="6">
        <f t="shared" si="34"/>
        <v>119.68870552936133</v>
      </c>
      <c r="AA218" s="2" t="str">
        <f t="shared" si="35"/>
        <v>No Maintenance</v>
      </c>
    </row>
    <row r="219" spans="1:27" x14ac:dyDescent="0.25">
      <c r="A219" s="2">
        <v>215</v>
      </c>
      <c r="B219" s="4">
        <v>46094</v>
      </c>
      <c r="C219" s="2" t="s">
        <v>34</v>
      </c>
      <c r="D219" s="2" t="s">
        <v>35</v>
      </c>
      <c r="E219" s="2" t="s">
        <v>45</v>
      </c>
      <c r="F219" s="2">
        <v>1022</v>
      </c>
      <c r="G219" s="2">
        <v>939.6</v>
      </c>
      <c r="H219" s="2">
        <v>926.8</v>
      </c>
      <c r="I219" s="2">
        <v>12.8</v>
      </c>
      <c r="J219" s="2">
        <v>7.0000000000000007E-2</v>
      </c>
      <c r="K219" s="2" t="s">
        <v>32</v>
      </c>
      <c r="L219" s="2" t="s">
        <v>33</v>
      </c>
      <c r="M219" s="2">
        <v>1868.2</v>
      </c>
      <c r="N219" s="2">
        <v>273.7</v>
      </c>
      <c r="O219" s="2">
        <v>102593</v>
      </c>
      <c r="P219" s="2">
        <v>181.9</v>
      </c>
      <c r="Q219" s="2">
        <v>1.92</v>
      </c>
      <c r="R219" s="2">
        <v>0</v>
      </c>
      <c r="S219" s="5">
        <f t="shared" si="27"/>
        <v>0.91937377690802347</v>
      </c>
      <c r="T219" s="5">
        <f t="shared" si="28"/>
        <v>0.99124999999999996</v>
      </c>
      <c r="U219" s="5">
        <f t="shared" si="29"/>
        <v>0.92748930835613974</v>
      </c>
      <c r="V219" s="5">
        <f t="shared" si="30"/>
        <v>0.98637718177948053</v>
      </c>
      <c r="W219" s="5">
        <f t="shared" si="31"/>
        <v>0.90684931506849309</v>
      </c>
      <c r="X219" s="5">
        <f t="shared" si="32"/>
        <v>1.362281822051937E-2</v>
      </c>
      <c r="Y219" s="6">
        <f t="shared" si="33"/>
        <v>0.5029440102772722</v>
      </c>
      <c r="Z219" s="6">
        <f t="shared" si="34"/>
        <v>109.18795232013622</v>
      </c>
      <c r="AA219" s="2" t="str">
        <f t="shared" si="35"/>
        <v>No Maintenance</v>
      </c>
    </row>
    <row r="220" spans="1:27" x14ac:dyDescent="0.25">
      <c r="A220" s="2">
        <v>216</v>
      </c>
      <c r="B220" s="4">
        <v>46094</v>
      </c>
      <c r="C220" s="2" t="s">
        <v>36</v>
      </c>
      <c r="D220" s="2" t="s">
        <v>30</v>
      </c>
      <c r="E220" s="2" t="s">
        <v>31</v>
      </c>
      <c r="F220" s="2">
        <v>934</v>
      </c>
      <c r="G220" s="2">
        <v>713</v>
      </c>
      <c r="H220" s="2">
        <v>703.7</v>
      </c>
      <c r="I220" s="2">
        <v>9.3000000000000007</v>
      </c>
      <c r="J220" s="2">
        <v>0.3</v>
      </c>
      <c r="K220" s="2" t="s">
        <v>32</v>
      </c>
      <c r="L220" s="2" t="s">
        <v>33</v>
      </c>
      <c r="M220" s="2">
        <v>1465</v>
      </c>
      <c r="N220" s="2">
        <v>232.7</v>
      </c>
      <c r="O220" s="2">
        <v>80119.600000000006</v>
      </c>
      <c r="P220" s="2">
        <v>174.7</v>
      </c>
      <c r="Q220" s="2">
        <v>1.77</v>
      </c>
      <c r="R220" s="2">
        <v>0</v>
      </c>
      <c r="S220" s="5">
        <f t="shared" si="27"/>
        <v>0.7633832976445396</v>
      </c>
      <c r="T220" s="5">
        <f t="shared" si="28"/>
        <v>0.96250000000000002</v>
      </c>
      <c r="U220" s="5">
        <f t="shared" si="29"/>
        <v>0.79312550404627491</v>
      </c>
      <c r="V220" s="5">
        <f t="shared" si="30"/>
        <v>0.98695652173913051</v>
      </c>
      <c r="W220" s="5">
        <f t="shared" si="31"/>
        <v>0.75342612419700217</v>
      </c>
      <c r="X220" s="5">
        <f t="shared" si="32"/>
        <v>1.3043478260869566E-2</v>
      </c>
      <c r="Y220" s="6">
        <f t="shared" si="33"/>
        <v>0.48668941979522184</v>
      </c>
      <c r="Z220" s="6">
        <f t="shared" si="34"/>
        <v>112.36970546984573</v>
      </c>
      <c r="AA220" s="2" t="str">
        <f t="shared" si="35"/>
        <v>No Maintenance</v>
      </c>
    </row>
    <row r="221" spans="1:27" x14ac:dyDescent="0.25">
      <c r="A221" s="2">
        <v>217</v>
      </c>
      <c r="B221" s="4">
        <v>46095</v>
      </c>
      <c r="C221" s="2" t="s">
        <v>29</v>
      </c>
      <c r="D221" s="2" t="s">
        <v>30</v>
      </c>
      <c r="E221" s="2" t="s">
        <v>31</v>
      </c>
      <c r="F221" s="2">
        <v>981</v>
      </c>
      <c r="G221" s="2">
        <v>575.70000000000005</v>
      </c>
      <c r="H221" s="2">
        <v>570.6</v>
      </c>
      <c r="I221" s="2">
        <v>5.0999999999999996</v>
      </c>
      <c r="J221" s="2">
        <v>3.52</v>
      </c>
      <c r="K221" s="2" t="s">
        <v>47</v>
      </c>
      <c r="L221" s="2" t="s">
        <v>38</v>
      </c>
      <c r="M221" s="2">
        <v>1162.9000000000001</v>
      </c>
      <c r="N221" s="2">
        <v>186.9</v>
      </c>
      <c r="O221" s="2">
        <v>67967.3</v>
      </c>
      <c r="P221" s="2">
        <v>174.5</v>
      </c>
      <c r="Q221" s="2">
        <v>1.8</v>
      </c>
      <c r="R221" s="2">
        <v>641.24</v>
      </c>
      <c r="S221" s="5">
        <f t="shared" si="27"/>
        <v>0.58685015290519882</v>
      </c>
      <c r="T221" s="5">
        <f t="shared" si="28"/>
        <v>0.56000000000000005</v>
      </c>
      <c r="U221" s="5">
        <f t="shared" si="29"/>
        <v>1.0479467016164263</v>
      </c>
      <c r="V221" s="5">
        <f t="shared" si="30"/>
        <v>0.99114121938509636</v>
      </c>
      <c r="W221" s="5">
        <f t="shared" si="31"/>
        <v>0.58165137614678897</v>
      </c>
      <c r="X221" s="5">
        <f t="shared" si="32"/>
        <v>8.8587806149035934E-3</v>
      </c>
      <c r="Y221" s="6">
        <f t="shared" si="33"/>
        <v>0.49505546478631007</v>
      </c>
      <c r="Z221" s="6">
        <f t="shared" si="34"/>
        <v>118.06027444849748</v>
      </c>
      <c r="AA221" s="2" t="str">
        <f t="shared" si="35"/>
        <v>Breakdown</v>
      </c>
    </row>
    <row r="222" spans="1:27" x14ac:dyDescent="0.25">
      <c r="A222" s="2">
        <v>218</v>
      </c>
      <c r="B222" s="4">
        <v>46095</v>
      </c>
      <c r="C222" s="2" t="s">
        <v>34</v>
      </c>
      <c r="D222" s="2" t="s">
        <v>30</v>
      </c>
      <c r="E222" s="2" t="s">
        <v>45</v>
      </c>
      <c r="F222" s="2">
        <v>1015</v>
      </c>
      <c r="G222" s="2">
        <v>872.2</v>
      </c>
      <c r="H222" s="2">
        <v>852.3</v>
      </c>
      <c r="I222" s="2">
        <v>19.899999999999999</v>
      </c>
      <c r="J222" s="2">
        <v>0.53</v>
      </c>
      <c r="K222" s="2" t="s">
        <v>44</v>
      </c>
      <c r="L222" s="2" t="s">
        <v>38</v>
      </c>
      <c r="M222" s="2">
        <v>1771.6</v>
      </c>
      <c r="N222" s="2">
        <v>314.5</v>
      </c>
      <c r="O222" s="2">
        <v>110141.3</v>
      </c>
      <c r="P222" s="2">
        <v>176.6</v>
      </c>
      <c r="Q222" s="2">
        <v>1.4</v>
      </c>
      <c r="R222" s="2">
        <v>393.21</v>
      </c>
      <c r="S222" s="5">
        <f t="shared" si="27"/>
        <v>0.85931034482758628</v>
      </c>
      <c r="T222" s="5">
        <f t="shared" si="28"/>
        <v>0.93374999999999997</v>
      </c>
      <c r="U222" s="5">
        <f t="shared" si="29"/>
        <v>0.92027881641508569</v>
      </c>
      <c r="V222" s="5">
        <f t="shared" si="30"/>
        <v>0.97718413207979815</v>
      </c>
      <c r="W222" s="5">
        <f t="shared" si="31"/>
        <v>0.83970443349753698</v>
      </c>
      <c r="X222" s="5">
        <f t="shared" si="32"/>
        <v>2.2815867920201786E-2</v>
      </c>
      <c r="Y222" s="6">
        <f t="shared" si="33"/>
        <v>0.492323323549334</v>
      </c>
      <c r="Z222" s="6">
        <f t="shared" si="34"/>
        <v>126.27986700298096</v>
      </c>
      <c r="AA222" s="2" t="str">
        <f t="shared" si="35"/>
        <v>Breakdown</v>
      </c>
    </row>
    <row r="223" spans="1:27" x14ac:dyDescent="0.25">
      <c r="A223" s="2">
        <v>219</v>
      </c>
      <c r="B223" s="4">
        <v>46095</v>
      </c>
      <c r="C223" s="2" t="s">
        <v>36</v>
      </c>
      <c r="D223" s="2" t="s">
        <v>35</v>
      </c>
      <c r="E223" s="2" t="s">
        <v>31</v>
      </c>
      <c r="F223" s="2">
        <v>914</v>
      </c>
      <c r="G223" s="2">
        <v>485.8</v>
      </c>
      <c r="H223" s="2">
        <v>478</v>
      </c>
      <c r="I223" s="2">
        <v>7.8</v>
      </c>
      <c r="J223" s="2">
        <v>3</v>
      </c>
      <c r="K223" s="2" t="s">
        <v>46</v>
      </c>
      <c r="L223" s="2" t="s">
        <v>38</v>
      </c>
      <c r="M223" s="2">
        <v>986.3</v>
      </c>
      <c r="N223" s="2">
        <v>171.9</v>
      </c>
      <c r="O223" s="2">
        <v>54474.1</v>
      </c>
      <c r="P223" s="2">
        <v>175</v>
      </c>
      <c r="Q223" s="2">
        <v>1.52</v>
      </c>
      <c r="R223" s="2">
        <v>724.29</v>
      </c>
      <c r="S223" s="5">
        <f t="shared" si="27"/>
        <v>0.53150984682713354</v>
      </c>
      <c r="T223" s="5">
        <f t="shared" si="28"/>
        <v>0.625</v>
      </c>
      <c r="U223" s="5">
        <f t="shared" si="29"/>
        <v>0.85041575492341359</v>
      </c>
      <c r="V223" s="5">
        <f t="shared" si="30"/>
        <v>0.98394400988060926</v>
      </c>
      <c r="W223" s="5">
        <f t="shared" si="31"/>
        <v>0.52297592997811815</v>
      </c>
      <c r="X223" s="5">
        <f t="shared" si="32"/>
        <v>1.6055990119390694E-2</v>
      </c>
      <c r="Y223" s="6">
        <f t="shared" si="33"/>
        <v>0.49254790631653661</v>
      </c>
      <c r="Z223" s="6">
        <f t="shared" si="34"/>
        <v>112.13277068752572</v>
      </c>
      <c r="AA223" s="2" t="str">
        <f t="shared" si="35"/>
        <v>Breakdown</v>
      </c>
    </row>
    <row r="224" spans="1:27" x14ac:dyDescent="0.25">
      <c r="A224" s="2">
        <v>220</v>
      </c>
      <c r="B224" s="4">
        <v>46096</v>
      </c>
      <c r="C224" s="2" t="s">
        <v>29</v>
      </c>
      <c r="D224" s="2" t="s">
        <v>30</v>
      </c>
      <c r="E224" s="2" t="s">
        <v>31</v>
      </c>
      <c r="F224" s="2">
        <v>989</v>
      </c>
      <c r="G224" s="2">
        <v>927.1</v>
      </c>
      <c r="H224" s="2">
        <v>909.8</v>
      </c>
      <c r="I224" s="2">
        <v>17.3</v>
      </c>
      <c r="J224" s="2">
        <v>0.08</v>
      </c>
      <c r="K224" s="2" t="s">
        <v>32</v>
      </c>
      <c r="L224" s="2" t="s">
        <v>33</v>
      </c>
      <c r="M224" s="2">
        <v>1945.2</v>
      </c>
      <c r="N224" s="2">
        <v>332.9</v>
      </c>
      <c r="O224" s="2">
        <v>114882.2</v>
      </c>
      <c r="P224" s="2">
        <v>174.4</v>
      </c>
      <c r="Q224" s="2">
        <v>1.99</v>
      </c>
      <c r="R224" s="2">
        <v>0</v>
      </c>
      <c r="S224" s="5">
        <f t="shared" si="27"/>
        <v>0.93741152679474216</v>
      </c>
      <c r="T224" s="5">
        <f t="shared" si="28"/>
        <v>0.99</v>
      </c>
      <c r="U224" s="5">
        <f t="shared" si="29"/>
        <v>0.94688033009569916</v>
      </c>
      <c r="V224" s="5">
        <f t="shared" si="30"/>
        <v>0.98133966130945949</v>
      </c>
      <c r="W224" s="5">
        <f t="shared" si="31"/>
        <v>0.91991911021233552</v>
      </c>
      <c r="X224" s="5">
        <f t="shared" si="32"/>
        <v>1.8660338690540394E-2</v>
      </c>
      <c r="Y224" s="6">
        <f t="shared" si="33"/>
        <v>0.47660908903968746</v>
      </c>
      <c r="Z224" s="6">
        <f t="shared" si="34"/>
        <v>123.91565095458958</v>
      </c>
      <c r="AA224" s="2" t="str">
        <f t="shared" si="35"/>
        <v>No Maintenance</v>
      </c>
    </row>
    <row r="225" spans="1:27" x14ac:dyDescent="0.25">
      <c r="A225" s="2">
        <v>221</v>
      </c>
      <c r="B225" s="4">
        <v>46096</v>
      </c>
      <c r="C225" s="2" t="s">
        <v>34</v>
      </c>
      <c r="D225" s="2" t="s">
        <v>30</v>
      </c>
      <c r="E225" s="2" t="s">
        <v>45</v>
      </c>
      <c r="F225" s="2">
        <v>989</v>
      </c>
      <c r="G225" s="2">
        <v>614.79999999999995</v>
      </c>
      <c r="H225" s="2">
        <v>606.6</v>
      </c>
      <c r="I225" s="2">
        <v>8.1999999999999993</v>
      </c>
      <c r="J225" s="2">
        <v>3.39</v>
      </c>
      <c r="K225" s="2" t="s">
        <v>47</v>
      </c>
      <c r="L225" s="2" t="s">
        <v>38</v>
      </c>
      <c r="M225" s="2">
        <v>1248.7</v>
      </c>
      <c r="N225" s="2">
        <v>173.8</v>
      </c>
      <c r="O225" s="2">
        <v>75955.3</v>
      </c>
      <c r="P225" s="2">
        <v>175.9</v>
      </c>
      <c r="Q225" s="2">
        <v>1.8</v>
      </c>
      <c r="R225" s="2">
        <v>394.09</v>
      </c>
      <c r="S225" s="5">
        <f t="shared" si="27"/>
        <v>0.62163801820020215</v>
      </c>
      <c r="T225" s="5">
        <f t="shared" si="28"/>
        <v>0.57624999999999993</v>
      </c>
      <c r="U225" s="5">
        <f t="shared" si="29"/>
        <v>1.0787644567465551</v>
      </c>
      <c r="V225" s="5">
        <f t="shared" si="30"/>
        <v>0.98666232921275221</v>
      </c>
      <c r="W225" s="5">
        <f t="shared" si="31"/>
        <v>0.61334681496461085</v>
      </c>
      <c r="X225" s="5">
        <f t="shared" si="32"/>
        <v>1.3337670787247886E-2</v>
      </c>
      <c r="Y225" s="6">
        <f t="shared" si="33"/>
        <v>0.49235204612797306</v>
      </c>
      <c r="Z225" s="6">
        <f t="shared" si="34"/>
        <v>123.54472999349383</v>
      </c>
      <c r="AA225" s="2" t="str">
        <f t="shared" si="35"/>
        <v>Breakdown</v>
      </c>
    </row>
    <row r="226" spans="1:27" x14ac:dyDescent="0.25">
      <c r="A226" s="2">
        <v>222</v>
      </c>
      <c r="B226" s="4">
        <v>46096</v>
      </c>
      <c r="C226" s="2" t="s">
        <v>36</v>
      </c>
      <c r="D226" s="2" t="s">
        <v>35</v>
      </c>
      <c r="E226" s="2" t="s">
        <v>39</v>
      </c>
      <c r="F226" s="2">
        <v>946</v>
      </c>
      <c r="G226" s="2">
        <v>633.79999999999995</v>
      </c>
      <c r="H226" s="2">
        <v>623.70000000000005</v>
      </c>
      <c r="I226" s="2">
        <v>10.1</v>
      </c>
      <c r="J226" s="2">
        <v>1.92</v>
      </c>
      <c r="K226" s="2" t="s">
        <v>42</v>
      </c>
      <c r="L226" s="2" t="s">
        <v>38</v>
      </c>
      <c r="M226" s="2">
        <v>1237.9000000000001</v>
      </c>
      <c r="N226" s="2">
        <v>202.4</v>
      </c>
      <c r="O226" s="2">
        <v>80621.100000000006</v>
      </c>
      <c r="P226" s="2">
        <v>182.1</v>
      </c>
      <c r="Q226" s="2">
        <v>1.8</v>
      </c>
      <c r="R226" s="2">
        <v>736.1</v>
      </c>
      <c r="S226" s="5">
        <f t="shared" si="27"/>
        <v>0.66997885835095128</v>
      </c>
      <c r="T226" s="5">
        <f t="shared" si="28"/>
        <v>0.76</v>
      </c>
      <c r="U226" s="5">
        <f t="shared" si="29"/>
        <v>0.88155112940914648</v>
      </c>
      <c r="V226" s="5">
        <f t="shared" si="30"/>
        <v>0.98406437361943844</v>
      </c>
      <c r="W226" s="5">
        <f t="shared" si="31"/>
        <v>0.65930232558139545</v>
      </c>
      <c r="X226" s="5">
        <f t="shared" si="32"/>
        <v>1.5935626380561691E-2</v>
      </c>
      <c r="Y226" s="6">
        <f t="shared" si="33"/>
        <v>0.51199612246546566</v>
      </c>
      <c r="Z226" s="6">
        <f t="shared" si="34"/>
        <v>127.20274534553489</v>
      </c>
      <c r="AA226" s="2" t="str">
        <f t="shared" si="35"/>
        <v>Breakdown</v>
      </c>
    </row>
    <row r="227" spans="1:27" x14ac:dyDescent="0.25">
      <c r="A227" s="2">
        <v>223</v>
      </c>
      <c r="B227" s="4">
        <v>46097</v>
      </c>
      <c r="C227" s="2" t="s">
        <v>29</v>
      </c>
      <c r="D227" s="2" t="s">
        <v>35</v>
      </c>
      <c r="E227" s="2" t="s">
        <v>39</v>
      </c>
      <c r="F227" s="2">
        <v>1013</v>
      </c>
      <c r="G227" s="2">
        <v>987.3</v>
      </c>
      <c r="H227" s="2">
        <v>975.9</v>
      </c>
      <c r="I227" s="2">
        <v>11.4</v>
      </c>
      <c r="J227" s="2">
        <v>0.17</v>
      </c>
      <c r="K227" s="2" t="s">
        <v>32</v>
      </c>
      <c r="L227" s="2" t="s">
        <v>33</v>
      </c>
      <c r="M227" s="2">
        <v>2098.8000000000002</v>
      </c>
      <c r="N227" s="2">
        <v>288.2</v>
      </c>
      <c r="O227" s="2">
        <v>123154.6</v>
      </c>
      <c r="P227" s="2">
        <v>175.8</v>
      </c>
      <c r="Q227" s="2">
        <v>1.74</v>
      </c>
      <c r="R227" s="2">
        <v>0</v>
      </c>
      <c r="S227" s="5">
        <f t="shared" si="27"/>
        <v>0.97462981243830205</v>
      </c>
      <c r="T227" s="5">
        <f t="shared" si="28"/>
        <v>0.97875000000000001</v>
      </c>
      <c r="U227" s="5">
        <f t="shared" si="29"/>
        <v>0.99579035753594081</v>
      </c>
      <c r="V227" s="5">
        <f t="shared" si="30"/>
        <v>0.98845335764205411</v>
      </c>
      <c r="W227" s="5">
        <f t="shared" si="31"/>
        <v>0.96337611056268513</v>
      </c>
      <c r="X227" s="5">
        <f t="shared" si="32"/>
        <v>1.1546642357945914E-2</v>
      </c>
      <c r="Y227" s="6">
        <f t="shared" si="33"/>
        <v>0.47041166380789018</v>
      </c>
      <c r="Z227" s="6">
        <f t="shared" si="34"/>
        <v>124.7387825382356</v>
      </c>
      <c r="AA227" s="2" t="str">
        <f t="shared" si="35"/>
        <v>No Maintenance</v>
      </c>
    </row>
    <row r="228" spans="1:27" x14ac:dyDescent="0.25">
      <c r="A228" s="2">
        <v>224</v>
      </c>
      <c r="B228" s="4">
        <v>46097</v>
      </c>
      <c r="C228" s="2" t="s">
        <v>34</v>
      </c>
      <c r="D228" s="2" t="s">
        <v>35</v>
      </c>
      <c r="E228" s="2" t="s">
        <v>31</v>
      </c>
      <c r="F228" s="2">
        <v>915</v>
      </c>
      <c r="G228" s="2">
        <v>758.4</v>
      </c>
      <c r="H228" s="2">
        <v>747.7</v>
      </c>
      <c r="I228" s="2">
        <v>10.7</v>
      </c>
      <c r="J228" s="2">
        <v>0.33</v>
      </c>
      <c r="K228" s="2" t="s">
        <v>32</v>
      </c>
      <c r="L228" s="2" t="s">
        <v>33</v>
      </c>
      <c r="M228" s="2">
        <v>1565.6</v>
      </c>
      <c r="N228" s="2">
        <v>241.2</v>
      </c>
      <c r="O228" s="2">
        <v>88493.7</v>
      </c>
      <c r="P228" s="2">
        <v>180.2</v>
      </c>
      <c r="Q228" s="2">
        <v>1.38</v>
      </c>
      <c r="R228" s="2">
        <v>0</v>
      </c>
      <c r="S228" s="5">
        <f t="shared" si="27"/>
        <v>0.82885245901639337</v>
      </c>
      <c r="T228" s="5">
        <f t="shared" si="28"/>
        <v>0.95874999999999999</v>
      </c>
      <c r="U228" s="5">
        <f t="shared" si="29"/>
        <v>0.86451364695321342</v>
      </c>
      <c r="V228" s="5">
        <f t="shared" si="30"/>
        <v>0.98589135021097052</v>
      </c>
      <c r="W228" s="5">
        <f t="shared" si="31"/>
        <v>0.81715846994535513</v>
      </c>
      <c r="X228" s="5">
        <f t="shared" si="32"/>
        <v>1.4108649789029535E-2</v>
      </c>
      <c r="Y228" s="6">
        <f t="shared" si="33"/>
        <v>0.48441492079713849</v>
      </c>
      <c r="Z228" s="6">
        <f t="shared" si="34"/>
        <v>116.68473101265823</v>
      </c>
      <c r="AA228" s="2" t="str">
        <f t="shared" si="35"/>
        <v>No Maintenance</v>
      </c>
    </row>
    <row r="229" spans="1:27" x14ac:dyDescent="0.25">
      <c r="A229" s="2">
        <v>225</v>
      </c>
      <c r="B229" s="4">
        <v>46097</v>
      </c>
      <c r="C229" s="2" t="s">
        <v>36</v>
      </c>
      <c r="D229" s="2" t="s">
        <v>35</v>
      </c>
      <c r="E229" s="2" t="s">
        <v>31</v>
      </c>
      <c r="F229" s="2">
        <v>908</v>
      </c>
      <c r="G229" s="2">
        <v>593.9</v>
      </c>
      <c r="H229" s="2">
        <v>582.9</v>
      </c>
      <c r="I229" s="2">
        <v>11.1</v>
      </c>
      <c r="J229" s="2">
        <v>2.69</v>
      </c>
      <c r="K229" s="2" t="s">
        <v>40</v>
      </c>
      <c r="L229" s="2" t="s">
        <v>41</v>
      </c>
      <c r="M229" s="2">
        <v>1202.3</v>
      </c>
      <c r="N229" s="2">
        <v>198.9</v>
      </c>
      <c r="O229" s="2">
        <v>70693.7</v>
      </c>
      <c r="P229" s="2">
        <v>174.5</v>
      </c>
      <c r="Q229" s="2">
        <v>1.48</v>
      </c>
      <c r="R229" s="2">
        <v>229.05</v>
      </c>
      <c r="S229" s="5">
        <f t="shared" si="27"/>
        <v>0.65407488986784135</v>
      </c>
      <c r="T229" s="5">
        <f t="shared" si="28"/>
        <v>0.66375000000000006</v>
      </c>
      <c r="U229" s="5">
        <f t="shared" si="29"/>
        <v>0.98542356288940314</v>
      </c>
      <c r="V229" s="5">
        <f t="shared" si="30"/>
        <v>0.98147836336083516</v>
      </c>
      <c r="W229" s="5">
        <f t="shared" si="31"/>
        <v>0.64196035242290739</v>
      </c>
      <c r="X229" s="5">
        <f t="shared" si="32"/>
        <v>1.869001515406634E-2</v>
      </c>
      <c r="Y229" s="6">
        <f t="shared" si="33"/>
        <v>0.49396989104216915</v>
      </c>
      <c r="Z229" s="6">
        <f t="shared" si="34"/>
        <v>119.03300218892069</v>
      </c>
      <c r="AA229" s="2" t="str">
        <f t="shared" si="35"/>
        <v>Planned</v>
      </c>
    </row>
    <row r="230" spans="1:27" x14ac:dyDescent="0.25">
      <c r="A230" s="2">
        <v>226</v>
      </c>
      <c r="B230" s="4">
        <v>46098</v>
      </c>
      <c r="C230" s="2" t="s">
        <v>29</v>
      </c>
      <c r="D230" s="2" t="s">
        <v>30</v>
      </c>
      <c r="E230" s="2" t="s">
        <v>31</v>
      </c>
      <c r="F230" s="2">
        <v>1033</v>
      </c>
      <c r="G230" s="2">
        <v>813.6</v>
      </c>
      <c r="H230" s="2">
        <v>801.4</v>
      </c>
      <c r="I230" s="2">
        <v>12.2</v>
      </c>
      <c r="J230" s="2">
        <v>1.48</v>
      </c>
      <c r="K230" s="2" t="s">
        <v>44</v>
      </c>
      <c r="L230" s="2" t="s">
        <v>38</v>
      </c>
      <c r="M230" s="2">
        <v>1622.3</v>
      </c>
      <c r="N230" s="2">
        <v>276.2</v>
      </c>
      <c r="O230" s="2">
        <v>97711.8</v>
      </c>
      <c r="P230" s="2">
        <v>183.6</v>
      </c>
      <c r="Q230" s="2">
        <v>1.74</v>
      </c>
      <c r="R230" s="2">
        <v>367.9</v>
      </c>
      <c r="S230" s="5">
        <f t="shared" si="27"/>
        <v>0.78760890609874157</v>
      </c>
      <c r="T230" s="5">
        <f t="shared" si="28"/>
        <v>0.81499999999999995</v>
      </c>
      <c r="U230" s="5">
        <f t="shared" si="29"/>
        <v>0.96639129582667682</v>
      </c>
      <c r="V230" s="5">
        <f t="shared" si="30"/>
        <v>0.98500491642084553</v>
      </c>
      <c r="W230" s="5">
        <f t="shared" si="31"/>
        <v>0.77579864472410454</v>
      </c>
      <c r="X230" s="5">
        <f t="shared" si="32"/>
        <v>1.4995083579154375E-2</v>
      </c>
      <c r="Y230" s="6">
        <f t="shared" si="33"/>
        <v>0.50151020156567838</v>
      </c>
      <c r="Z230" s="6">
        <f t="shared" si="34"/>
        <v>120.09808259587021</v>
      </c>
      <c r="AA230" s="2" t="str">
        <f t="shared" si="35"/>
        <v>Breakdown</v>
      </c>
    </row>
    <row r="231" spans="1:27" x14ac:dyDescent="0.25">
      <c r="A231" s="2">
        <v>227</v>
      </c>
      <c r="B231" s="4">
        <v>46098</v>
      </c>
      <c r="C231" s="2" t="s">
        <v>34</v>
      </c>
      <c r="D231" s="2" t="s">
        <v>35</v>
      </c>
      <c r="E231" s="2" t="s">
        <v>45</v>
      </c>
      <c r="F231" s="2">
        <v>943</v>
      </c>
      <c r="G231" s="2">
        <v>776.4</v>
      </c>
      <c r="H231" s="2">
        <v>764.3</v>
      </c>
      <c r="I231" s="2">
        <v>12.1</v>
      </c>
      <c r="J231" s="2">
        <v>0.28999999999999998</v>
      </c>
      <c r="K231" s="2" t="s">
        <v>32</v>
      </c>
      <c r="L231" s="2" t="s">
        <v>33</v>
      </c>
      <c r="M231" s="2">
        <v>1610.6</v>
      </c>
      <c r="N231" s="2">
        <v>262.60000000000002</v>
      </c>
      <c r="O231" s="2">
        <v>101354.4</v>
      </c>
      <c r="P231" s="2">
        <v>179.9</v>
      </c>
      <c r="Q231" s="2">
        <v>1.5</v>
      </c>
      <c r="R231" s="2">
        <v>0</v>
      </c>
      <c r="S231" s="5">
        <f t="shared" si="27"/>
        <v>0.82332979851537647</v>
      </c>
      <c r="T231" s="5">
        <f t="shared" si="28"/>
        <v>0.96375</v>
      </c>
      <c r="U231" s="5">
        <f t="shared" si="29"/>
        <v>0.85429810481491719</v>
      </c>
      <c r="V231" s="5">
        <f t="shared" si="30"/>
        <v>0.98441524987120044</v>
      </c>
      <c r="W231" s="5">
        <f t="shared" si="31"/>
        <v>0.81049840933191941</v>
      </c>
      <c r="X231" s="5">
        <f t="shared" si="32"/>
        <v>1.5584750128799589E-2</v>
      </c>
      <c r="Y231" s="6">
        <f t="shared" si="33"/>
        <v>0.48205637650565009</v>
      </c>
      <c r="Z231" s="6">
        <f t="shared" si="34"/>
        <v>130.54404945904173</v>
      </c>
      <c r="AA231" s="2" t="str">
        <f t="shared" si="35"/>
        <v>No Maintenance</v>
      </c>
    </row>
    <row r="232" spans="1:27" x14ac:dyDescent="0.25">
      <c r="A232" s="2">
        <v>228</v>
      </c>
      <c r="B232" s="4">
        <v>46098</v>
      </c>
      <c r="C232" s="2" t="s">
        <v>36</v>
      </c>
      <c r="D232" s="2" t="s">
        <v>30</v>
      </c>
      <c r="E232" s="2" t="s">
        <v>31</v>
      </c>
      <c r="F232" s="2">
        <v>900</v>
      </c>
      <c r="G232" s="2">
        <v>790.7</v>
      </c>
      <c r="H232" s="2">
        <v>778.9</v>
      </c>
      <c r="I232" s="2">
        <v>11.8</v>
      </c>
      <c r="J232" s="2">
        <v>0.16</v>
      </c>
      <c r="K232" s="2" t="s">
        <v>32</v>
      </c>
      <c r="L232" s="2" t="s">
        <v>33</v>
      </c>
      <c r="M232" s="2">
        <v>1631.1</v>
      </c>
      <c r="N232" s="2">
        <v>231.2</v>
      </c>
      <c r="O232" s="2">
        <v>84350.8</v>
      </c>
      <c r="P232" s="2">
        <v>181.1</v>
      </c>
      <c r="Q232" s="2">
        <v>1.41</v>
      </c>
      <c r="R232" s="2">
        <v>0</v>
      </c>
      <c r="S232" s="5">
        <f t="shared" si="27"/>
        <v>0.87855555555555565</v>
      </c>
      <c r="T232" s="5">
        <f t="shared" si="28"/>
        <v>0.98</v>
      </c>
      <c r="U232" s="5">
        <f t="shared" si="29"/>
        <v>0.89648526077097512</v>
      </c>
      <c r="V232" s="5">
        <f t="shared" si="30"/>
        <v>0.98507651448083966</v>
      </c>
      <c r="W232" s="5">
        <f t="shared" si="31"/>
        <v>0.86544444444444446</v>
      </c>
      <c r="X232" s="5">
        <f t="shared" si="32"/>
        <v>1.4923485519160238E-2</v>
      </c>
      <c r="Y232" s="6">
        <f t="shared" si="33"/>
        <v>0.48476488259456813</v>
      </c>
      <c r="Z232" s="6">
        <f t="shared" si="34"/>
        <v>106.678639180473</v>
      </c>
      <c r="AA232" s="2" t="str">
        <f t="shared" si="35"/>
        <v>No Maintenance</v>
      </c>
    </row>
    <row r="233" spans="1:27" x14ac:dyDescent="0.25">
      <c r="A233" s="2">
        <v>229</v>
      </c>
      <c r="B233" s="4">
        <v>46099</v>
      </c>
      <c r="C233" s="2" t="s">
        <v>29</v>
      </c>
      <c r="D233" s="2" t="s">
        <v>30</v>
      </c>
      <c r="E233" s="2" t="s">
        <v>31</v>
      </c>
      <c r="F233" s="2">
        <v>1047</v>
      </c>
      <c r="G233" s="2">
        <v>966.3</v>
      </c>
      <c r="H233" s="2">
        <v>949.1</v>
      </c>
      <c r="I233" s="2">
        <v>17.2</v>
      </c>
      <c r="J233" s="2">
        <v>0.06</v>
      </c>
      <c r="K233" s="2" t="s">
        <v>32</v>
      </c>
      <c r="L233" s="2" t="s">
        <v>33</v>
      </c>
      <c r="M233" s="2">
        <v>1943.7</v>
      </c>
      <c r="N233" s="2">
        <v>293.8</v>
      </c>
      <c r="O233" s="2">
        <v>116457.2</v>
      </c>
      <c r="P233" s="2">
        <v>178.9</v>
      </c>
      <c r="Q233" s="2">
        <v>1.79</v>
      </c>
      <c r="R233" s="2">
        <v>0</v>
      </c>
      <c r="S233" s="5">
        <f t="shared" si="27"/>
        <v>0.92292263610315184</v>
      </c>
      <c r="T233" s="5">
        <f t="shared" si="28"/>
        <v>0.99250000000000005</v>
      </c>
      <c r="U233" s="5">
        <f t="shared" si="29"/>
        <v>0.92989686257244508</v>
      </c>
      <c r="V233" s="5">
        <f t="shared" si="30"/>
        <v>0.9822001448825417</v>
      </c>
      <c r="W233" s="5">
        <f t="shared" si="31"/>
        <v>0.90649474689589304</v>
      </c>
      <c r="X233" s="5">
        <f t="shared" si="32"/>
        <v>1.7799855117458345E-2</v>
      </c>
      <c r="Y233" s="6">
        <f t="shared" si="33"/>
        <v>0.49714462108350049</v>
      </c>
      <c r="Z233" s="6">
        <f t="shared" si="34"/>
        <v>120.51867949912035</v>
      </c>
      <c r="AA233" s="2" t="str">
        <f t="shared" si="35"/>
        <v>No Maintenance</v>
      </c>
    </row>
    <row r="234" spans="1:27" x14ac:dyDescent="0.25">
      <c r="A234" s="2">
        <v>230</v>
      </c>
      <c r="B234" s="4">
        <v>46099</v>
      </c>
      <c r="C234" s="2" t="s">
        <v>34</v>
      </c>
      <c r="D234" s="2" t="s">
        <v>30</v>
      </c>
      <c r="E234" s="2" t="s">
        <v>39</v>
      </c>
      <c r="F234" s="2">
        <v>1019</v>
      </c>
      <c r="G234" s="2">
        <v>695.1</v>
      </c>
      <c r="H234" s="2">
        <v>683.5</v>
      </c>
      <c r="I234" s="2">
        <v>11.6</v>
      </c>
      <c r="J234" s="2">
        <v>1.41</v>
      </c>
      <c r="K234" s="2" t="s">
        <v>37</v>
      </c>
      <c r="L234" s="2" t="s">
        <v>38</v>
      </c>
      <c r="M234" s="2">
        <v>1379.6</v>
      </c>
      <c r="N234" s="2">
        <v>210</v>
      </c>
      <c r="O234" s="2">
        <v>81643.7</v>
      </c>
      <c r="P234" s="2">
        <v>178.8</v>
      </c>
      <c r="Q234" s="2">
        <v>2.0099999999999998</v>
      </c>
      <c r="R234" s="2">
        <v>385.97</v>
      </c>
      <c r="S234" s="5">
        <f t="shared" si="27"/>
        <v>0.6821393523061825</v>
      </c>
      <c r="T234" s="5">
        <f t="shared" si="28"/>
        <v>0.82374999999999998</v>
      </c>
      <c r="U234" s="5">
        <f t="shared" si="29"/>
        <v>0.82809026076623071</v>
      </c>
      <c r="V234" s="5">
        <f t="shared" si="30"/>
        <v>0.98331175370450297</v>
      </c>
      <c r="W234" s="5">
        <f t="shared" si="31"/>
        <v>0.67075564278704614</v>
      </c>
      <c r="X234" s="5">
        <f t="shared" si="32"/>
        <v>1.6688246295497051E-2</v>
      </c>
      <c r="Y234" s="6">
        <f t="shared" si="33"/>
        <v>0.50384169324441874</v>
      </c>
      <c r="Z234" s="6">
        <f t="shared" si="34"/>
        <v>117.45604948928211</v>
      </c>
      <c r="AA234" s="2" t="str">
        <f t="shared" si="35"/>
        <v>Breakdown</v>
      </c>
    </row>
    <row r="235" spans="1:27" x14ac:dyDescent="0.25">
      <c r="A235" s="2">
        <v>231</v>
      </c>
      <c r="B235" s="4">
        <v>46099</v>
      </c>
      <c r="C235" s="2" t="s">
        <v>36</v>
      </c>
      <c r="D235" s="2" t="s">
        <v>30</v>
      </c>
      <c r="E235" s="2" t="s">
        <v>31</v>
      </c>
      <c r="F235" s="2">
        <v>959</v>
      </c>
      <c r="G235" s="2">
        <v>720.7</v>
      </c>
      <c r="H235" s="2">
        <v>705.3</v>
      </c>
      <c r="I235" s="2">
        <v>15.5</v>
      </c>
      <c r="J235" s="2">
        <v>0.32</v>
      </c>
      <c r="K235" s="2" t="s">
        <v>32</v>
      </c>
      <c r="L235" s="2" t="s">
        <v>33</v>
      </c>
      <c r="M235" s="2">
        <v>1434</v>
      </c>
      <c r="N235" s="2">
        <v>241.7</v>
      </c>
      <c r="O235" s="2">
        <v>82971.8</v>
      </c>
      <c r="P235" s="2">
        <v>177.4</v>
      </c>
      <c r="Q235" s="2">
        <v>1.87</v>
      </c>
      <c r="R235" s="2">
        <v>0</v>
      </c>
      <c r="S235" s="5">
        <f t="shared" si="27"/>
        <v>0.75151199165797711</v>
      </c>
      <c r="T235" s="5">
        <f t="shared" si="28"/>
        <v>0.96</v>
      </c>
      <c r="U235" s="5">
        <f t="shared" si="29"/>
        <v>0.78282499131039285</v>
      </c>
      <c r="V235" s="5">
        <f t="shared" si="30"/>
        <v>0.97863188566671278</v>
      </c>
      <c r="W235" s="5">
        <f t="shared" si="31"/>
        <v>0.73545359749739303</v>
      </c>
      <c r="X235" s="5">
        <f t="shared" si="32"/>
        <v>2.1506868322464269E-2</v>
      </c>
      <c r="Y235" s="6">
        <f t="shared" si="33"/>
        <v>0.50258019525801956</v>
      </c>
      <c r="Z235" s="6">
        <f t="shared" si="34"/>
        <v>115.12668239211877</v>
      </c>
      <c r="AA235" s="2" t="str">
        <f t="shared" si="35"/>
        <v>No Maintenance</v>
      </c>
    </row>
    <row r="236" spans="1:27" x14ac:dyDescent="0.25">
      <c r="A236" s="2">
        <v>232</v>
      </c>
      <c r="B236" s="4">
        <v>46100</v>
      </c>
      <c r="C236" s="2" t="s">
        <v>29</v>
      </c>
      <c r="D236" s="2" t="s">
        <v>30</v>
      </c>
      <c r="E236" s="2" t="s">
        <v>31</v>
      </c>
      <c r="F236" s="2">
        <v>1016</v>
      </c>
      <c r="G236" s="2">
        <v>957.2</v>
      </c>
      <c r="H236" s="2">
        <v>933.3</v>
      </c>
      <c r="I236" s="2">
        <v>24</v>
      </c>
      <c r="J236" s="2">
        <v>0.1</v>
      </c>
      <c r="K236" s="2" t="s">
        <v>32</v>
      </c>
      <c r="L236" s="2" t="s">
        <v>33</v>
      </c>
      <c r="M236" s="2">
        <v>1941.7</v>
      </c>
      <c r="N236" s="2">
        <v>307.39999999999998</v>
      </c>
      <c r="O236" s="2">
        <v>108525.3</v>
      </c>
      <c r="P236" s="2">
        <v>181</v>
      </c>
      <c r="Q236" s="2">
        <v>1.65</v>
      </c>
      <c r="R236" s="2">
        <v>0</v>
      </c>
      <c r="S236" s="5">
        <f t="shared" si="27"/>
        <v>0.94212598425196858</v>
      </c>
      <c r="T236" s="5">
        <f t="shared" si="28"/>
        <v>0.98750000000000004</v>
      </c>
      <c r="U236" s="5">
        <f t="shared" si="29"/>
        <v>0.95405162962224654</v>
      </c>
      <c r="V236" s="5">
        <f t="shared" si="30"/>
        <v>0.97503134141245285</v>
      </c>
      <c r="W236" s="5">
        <f t="shared" si="31"/>
        <v>0.91860236220472424</v>
      </c>
      <c r="X236" s="5">
        <f t="shared" si="32"/>
        <v>2.5073129962390302E-2</v>
      </c>
      <c r="Y236" s="6">
        <f t="shared" si="33"/>
        <v>0.49297007776690532</v>
      </c>
      <c r="Z236" s="6">
        <f t="shared" si="34"/>
        <v>113.37787296280818</v>
      </c>
      <c r="AA236" s="2" t="str">
        <f t="shared" si="35"/>
        <v>No Maintenance</v>
      </c>
    </row>
    <row r="237" spans="1:27" x14ac:dyDescent="0.25">
      <c r="A237" s="2">
        <v>233</v>
      </c>
      <c r="B237" s="4">
        <v>46100</v>
      </c>
      <c r="C237" s="2" t="s">
        <v>34</v>
      </c>
      <c r="D237" s="2" t="s">
        <v>30</v>
      </c>
      <c r="E237" s="2" t="s">
        <v>45</v>
      </c>
      <c r="F237" s="2">
        <v>1017</v>
      </c>
      <c r="G237" s="2">
        <v>726.7</v>
      </c>
      <c r="H237" s="2">
        <v>714.1</v>
      </c>
      <c r="I237" s="2">
        <v>12.6</v>
      </c>
      <c r="J237" s="2">
        <v>1.7</v>
      </c>
      <c r="K237" s="2" t="s">
        <v>42</v>
      </c>
      <c r="L237" s="2" t="s">
        <v>38</v>
      </c>
      <c r="M237" s="2">
        <v>1462.5</v>
      </c>
      <c r="N237" s="2">
        <v>238.7</v>
      </c>
      <c r="O237" s="2">
        <v>84738.5</v>
      </c>
      <c r="P237" s="2">
        <v>180.4</v>
      </c>
      <c r="Q237" s="2">
        <v>2.0099999999999998</v>
      </c>
      <c r="R237" s="2">
        <v>355.45</v>
      </c>
      <c r="S237" s="5">
        <f t="shared" si="27"/>
        <v>0.71455260570304824</v>
      </c>
      <c r="T237" s="5">
        <f t="shared" si="28"/>
        <v>0.78749999999999998</v>
      </c>
      <c r="U237" s="5">
        <f t="shared" si="29"/>
        <v>0.90736838819434706</v>
      </c>
      <c r="V237" s="5">
        <f t="shared" si="30"/>
        <v>0.98266134580982523</v>
      </c>
      <c r="W237" s="5">
        <f t="shared" si="31"/>
        <v>0.70216322517207475</v>
      </c>
      <c r="X237" s="5">
        <f t="shared" si="32"/>
        <v>1.733865419017476E-2</v>
      </c>
      <c r="Y237" s="6">
        <f t="shared" si="33"/>
        <v>0.49688888888888894</v>
      </c>
      <c r="Z237" s="6">
        <f t="shared" si="34"/>
        <v>116.60726572175588</v>
      </c>
      <c r="AA237" s="2" t="str">
        <f t="shared" si="35"/>
        <v>Breakdown</v>
      </c>
    </row>
    <row r="238" spans="1:27" x14ac:dyDescent="0.25">
      <c r="A238" s="2">
        <v>234</v>
      </c>
      <c r="B238" s="4">
        <v>46100</v>
      </c>
      <c r="C238" s="2" t="s">
        <v>36</v>
      </c>
      <c r="D238" s="2" t="s">
        <v>35</v>
      </c>
      <c r="E238" s="2" t="s">
        <v>45</v>
      </c>
      <c r="F238" s="2">
        <v>979</v>
      </c>
      <c r="G238" s="2">
        <v>683.5</v>
      </c>
      <c r="H238" s="2">
        <v>668.9</v>
      </c>
      <c r="I238" s="2">
        <v>14.6</v>
      </c>
      <c r="J238" s="2">
        <v>1.66</v>
      </c>
      <c r="K238" s="2" t="s">
        <v>46</v>
      </c>
      <c r="L238" s="2" t="s">
        <v>38</v>
      </c>
      <c r="M238" s="2">
        <v>1421.6</v>
      </c>
      <c r="N238" s="2">
        <v>212.7</v>
      </c>
      <c r="O238" s="2">
        <v>82054.8</v>
      </c>
      <c r="P238" s="2">
        <v>175.7</v>
      </c>
      <c r="Q238" s="2">
        <v>1.83</v>
      </c>
      <c r="R238" s="2">
        <v>760.33</v>
      </c>
      <c r="S238" s="5">
        <f t="shared" si="27"/>
        <v>0.69816138917262516</v>
      </c>
      <c r="T238" s="5">
        <f t="shared" si="28"/>
        <v>0.79249999999999998</v>
      </c>
      <c r="U238" s="5">
        <f t="shared" si="29"/>
        <v>0.88096074343548914</v>
      </c>
      <c r="V238" s="5">
        <f t="shared" si="30"/>
        <v>0.97863935625457199</v>
      </c>
      <c r="W238" s="5">
        <f t="shared" si="31"/>
        <v>0.68324821246169554</v>
      </c>
      <c r="X238" s="5">
        <f t="shared" si="32"/>
        <v>2.1360643745427944E-2</v>
      </c>
      <c r="Y238" s="6">
        <f t="shared" si="33"/>
        <v>0.48079628587507039</v>
      </c>
      <c r="Z238" s="6">
        <f t="shared" si="34"/>
        <v>120.05091441111924</v>
      </c>
      <c r="AA238" s="2" t="str">
        <f t="shared" si="35"/>
        <v>Breakdown</v>
      </c>
    </row>
    <row r="239" spans="1:27" x14ac:dyDescent="0.25">
      <c r="A239" s="2">
        <v>235</v>
      </c>
      <c r="B239" s="4">
        <v>46101</v>
      </c>
      <c r="C239" s="2" t="s">
        <v>29</v>
      </c>
      <c r="D239" s="2" t="s">
        <v>35</v>
      </c>
      <c r="E239" s="2" t="s">
        <v>39</v>
      </c>
      <c r="F239" s="2">
        <v>1010</v>
      </c>
      <c r="G239" s="2">
        <v>618.6</v>
      </c>
      <c r="H239" s="2">
        <v>610.79999999999995</v>
      </c>
      <c r="I239" s="2">
        <v>7.8</v>
      </c>
      <c r="J239" s="2">
        <v>2.82</v>
      </c>
      <c r="K239" s="2" t="s">
        <v>40</v>
      </c>
      <c r="L239" s="2" t="s">
        <v>41</v>
      </c>
      <c r="M239" s="2">
        <v>1301</v>
      </c>
      <c r="N239" s="2">
        <v>194.7</v>
      </c>
      <c r="O239" s="2">
        <v>71538</v>
      </c>
      <c r="P239" s="2">
        <v>178.5</v>
      </c>
      <c r="Q239" s="2">
        <v>1.71</v>
      </c>
      <c r="R239" s="2">
        <v>104.42</v>
      </c>
      <c r="S239" s="5">
        <f t="shared" si="27"/>
        <v>0.61247524752475246</v>
      </c>
      <c r="T239" s="5">
        <f t="shared" si="28"/>
        <v>0.64749999999999996</v>
      </c>
      <c r="U239" s="5">
        <f t="shared" si="29"/>
        <v>0.94590771818494612</v>
      </c>
      <c r="V239" s="5">
        <f t="shared" si="30"/>
        <v>0.98739088263821517</v>
      </c>
      <c r="W239" s="5">
        <f t="shared" si="31"/>
        <v>0.60475247524752473</v>
      </c>
      <c r="X239" s="5">
        <f t="shared" si="32"/>
        <v>1.2609117361784675E-2</v>
      </c>
      <c r="Y239" s="6">
        <f t="shared" si="33"/>
        <v>0.47548039969254419</v>
      </c>
      <c r="Z239" s="6">
        <f t="shared" si="34"/>
        <v>115.64500484966052</v>
      </c>
      <c r="AA239" s="2" t="str">
        <f t="shared" si="35"/>
        <v>Planned</v>
      </c>
    </row>
    <row r="240" spans="1:27" x14ac:dyDescent="0.25">
      <c r="A240" s="2">
        <v>236</v>
      </c>
      <c r="B240" s="4">
        <v>46101</v>
      </c>
      <c r="C240" s="2" t="s">
        <v>34</v>
      </c>
      <c r="D240" s="2" t="s">
        <v>35</v>
      </c>
      <c r="E240" s="2" t="s">
        <v>31</v>
      </c>
      <c r="F240" s="2">
        <v>984</v>
      </c>
      <c r="G240" s="2">
        <v>571.6</v>
      </c>
      <c r="H240" s="2">
        <v>555.6</v>
      </c>
      <c r="I240" s="2">
        <v>16</v>
      </c>
      <c r="J240" s="2">
        <v>2.72</v>
      </c>
      <c r="K240" s="2" t="s">
        <v>37</v>
      </c>
      <c r="L240" s="2" t="s">
        <v>43</v>
      </c>
      <c r="M240" s="2">
        <v>1176.5999999999999</v>
      </c>
      <c r="N240" s="2">
        <v>187.7</v>
      </c>
      <c r="O240" s="2">
        <v>71570.399999999994</v>
      </c>
      <c r="P240" s="2">
        <v>183.5</v>
      </c>
      <c r="Q240" s="2">
        <v>1.76</v>
      </c>
      <c r="R240" s="2">
        <v>1124.08</v>
      </c>
      <c r="S240" s="5">
        <f t="shared" si="27"/>
        <v>0.58089430894308947</v>
      </c>
      <c r="T240" s="5">
        <f t="shared" si="28"/>
        <v>0.65999999999999992</v>
      </c>
      <c r="U240" s="5">
        <f t="shared" si="29"/>
        <v>0.88014289233801446</v>
      </c>
      <c r="V240" s="5">
        <f t="shared" si="30"/>
        <v>0.97200839748075574</v>
      </c>
      <c r="W240" s="5">
        <f t="shared" si="31"/>
        <v>0.56463414634146347</v>
      </c>
      <c r="X240" s="5">
        <f t="shared" si="32"/>
        <v>2.7991602519244225E-2</v>
      </c>
      <c r="Y240" s="6">
        <f t="shared" si="33"/>
        <v>0.48580656127825944</v>
      </c>
      <c r="Z240" s="6">
        <f t="shared" si="34"/>
        <v>125.2106368089573</v>
      </c>
      <c r="AA240" s="2" t="str">
        <f t="shared" si="35"/>
        <v>Breakdown</v>
      </c>
    </row>
    <row r="241" spans="1:27" x14ac:dyDescent="0.25">
      <c r="A241" s="2">
        <v>237</v>
      </c>
      <c r="B241" s="4">
        <v>46101</v>
      </c>
      <c r="C241" s="2" t="s">
        <v>36</v>
      </c>
      <c r="D241" s="2" t="s">
        <v>35</v>
      </c>
      <c r="E241" s="2" t="s">
        <v>45</v>
      </c>
      <c r="F241" s="2">
        <v>1043</v>
      </c>
      <c r="G241" s="2">
        <v>882.3</v>
      </c>
      <c r="H241" s="2">
        <v>880.5</v>
      </c>
      <c r="I241" s="2">
        <v>1.8</v>
      </c>
      <c r="J241" s="2">
        <v>0.02</v>
      </c>
      <c r="K241" s="2" t="s">
        <v>32</v>
      </c>
      <c r="L241" s="2" t="s">
        <v>33</v>
      </c>
      <c r="M241" s="2">
        <v>1824</v>
      </c>
      <c r="N241" s="2">
        <v>269.2</v>
      </c>
      <c r="O241" s="2">
        <v>105422.9</v>
      </c>
      <c r="P241" s="2">
        <v>181.8</v>
      </c>
      <c r="Q241" s="2">
        <v>1.78</v>
      </c>
      <c r="R241" s="2">
        <v>0</v>
      </c>
      <c r="S241" s="5">
        <f t="shared" si="27"/>
        <v>0.84592521572387336</v>
      </c>
      <c r="T241" s="5">
        <f t="shared" si="28"/>
        <v>0.99750000000000005</v>
      </c>
      <c r="U241" s="5">
        <f t="shared" si="29"/>
        <v>0.84804532904648955</v>
      </c>
      <c r="V241" s="5">
        <f t="shared" si="30"/>
        <v>0.99795987759265559</v>
      </c>
      <c r="W241" s="5">
        <f t="shared" si="31"/>
        <v>0.84419942473633747</v>
      </c>
      <c r="X241" s="5">
        <f t="shared" si="32"/>
        <v>2.0401224073444408E-3</v>
      </c>
      <c r="Y241" s="6">
        <f t="shared" si="33"/>
        <v>0.48371710526315786</v>
      </c>
      <c r="Z241" s="6">
        <f t="shared" si="34"/>
        <v>119.4864558540179</v>
      </c>
      <c r="AA241" s="2" t="str">
        <f t="shared" si="35"/>
        <v>No Maintenance</v>
      </c>
    </row>
    <row r="242" spans="1:27" x14ac:dyDescent="0.25">
      <c r="A242" s="2">
        <v>238</v>
      </c>
      <c r="B242" s="4">
        <v>46102</v>
      </c>
      <c r="C242" s="2" t="s">
        <v>29</v>
      </c>
      <c r="D242" s="2" t="s">
        <v>35</v>
      </c>
      <c r="E242" s="2" t="s">
        <v>39</v>
      </c>
      <c r="F242" s="2">
        <v>1045</v>
      </c>
      <c r="G242" s="2">
        <v>1009.5</v>
      </c>
      <c r="H242" s="2">
        <v>988</v>
      </c>
      <c r="I242" s="2">
        <v>21.5</v>
      </c>
      <c r="J242" s="2">
        <v>0.33</v>
      </c>
      <c r="K242" s="2" t="s">
        <v>32</v>
      </c>
      <c r="L242" s="2" t="s">
        <v>33</v>
      </c>
      <c r="M242" s="2">
        <v>2069.1</v>
      </c>
      <c r="N242" s="2">
        <v>322.8</v>
      </c>
      <c r="O242" s="2">
        <v>121916.8</v>
      </c>
      <c r="P242" s="2">
        <v>172.6</v>
      </c>
      <c r="Q242" s="2">
        <v>1.76</v>
      </c>
      <c r="R242" s="2">
        <v>0</v>
      </c>
      <c r="S242" s="5">
        <f t="shared" si="27"/>
        <v>0.96602870813397124</v>
      </c>
      <c r="T242" s="5">
        <f t="shared" si="28"/>
        <v>0.95874999999999999</v>
      </c>
      <c r="U242" s="5">
        <f t="shared" si="29"/>
        <v>1.0075918728907132</v>
      </c>
      <c r="V242" s="5">
        <f t="shared" si="30"/>
        <v>0.97870232788509159</v>
      </c>
      <c r="W242" s="5">
        <f t="shared" si="31"/>
        <v>0.94545454545454533</v>
      </c>
      <c r="X242" s="5">
        <f t="shared" si="32"/>
        <v>2.1297672114908371E-2</v>
      </c>
      <c r="Y242" s="6">
        <f t="shared" si="33"/>
        <v>0.48789328693634915</v>
      </c>
      <c r="Z242" s="6">
        <f t="shared" si="34"/>
        <v>120.76948984645864</v>
      </c>
      <c r="AA242" s="2" t="str">
        <f t="shared" si="35"/>
        <v>No Maintenance</v>
      </c>
    </row>
    <row r="243" spans="1:27" x14ac:dyDescent="0.25">
      <c r="A243" s="2">
        <v>239</v>
      </c>
      <c r="B243" s="4">
        <v>46102</v>
      </c>
      <c r="C243" s="2" t="s">
        <v>34</v>
      </c>
      <c r="D243" s="2" t="s">
        <v>30</v>
      </c>
      <c r="E243" s="2" t="s">
        <v>45</v>
      </c>
      <c r="F243" s="2">
        <v>904</v>
      </c>
      <c r="G243" s="2">
        <v>595.6</v>
      </c>
      <c r="H243" s="2">
        <v>588.1</v>
      </c>
      <c r="I243" s="2">
        <v>7.5</v>
      </c>
      <c r="J243" s="2">
        <v>3.58</v>
      </c>
      <c r="K243" s="2" t="s">
        <v>42</v>
      </c>
      <c r="L243" s="2" t="s">
        <v>43</v>
      </c>
      <c r="M243" s="2">
        <v>1261.5</v>
      </c>
      <c r="N243" s="2">
        <v>190.2</v>
      </c>
      <c r="O243" s="2">
        <v>66168.800000000003</v>
      </c>
      <c r="P243" s="2">
        <v>178.3</v>
      </c>
      <c r="Q243" s="2">
        <v>1.71</v>
      </c>
      <c r="R243" s="2">
        <v>948.32</v>
      </c>
      <c r="S243" s="5">
        <f t="shared" si="27"/>
        <v>0.65884955752212393</v>
      </c>
      <c r="T243" s="5">
        <f t="shared" si="28"/>
        <v>0.55249999999999999</v>
      </c>
      <c r="U243" s="5">
        <f t="shared" si="29"/>
        <v>1.1924878869178714</v>
      </c>
      <c r="V243" s="5">
        <f t="shared" si="30"/>
        <v>0.98740765614506376</v>
      </c>
      <c r="W243" s="5">
        <f t="shared" si="31"/>
        <v>0.65055309734513278</v>
      </c>
      <c r="X243" s="5">
        <f t="shared" si="32"/>
        <v>1.2592343854936199E-2</v>
      </c>
      <c r="Y243" s="6">
        <f t="shared" si="33"/>
        <v>0.47213634562029333</v>
      </c>
      <c r="Z243" s="6">
        <f t="shared" si="34"/>
        <v>111.09603760913365</v>
      </c>
      <c r="AA243" s="2" t="str">
        <f t="shared" si="35"/>
        <v>Breakdown</v>
      </c>
    </row>
    <row r="244" spans="1:27" x14ac:dyDescent="0.25">
      <c r="A244" s="2">
        <v>240</v>
      </c>
      <c r="B244" s="4">
        <v>46102</v>
      </c>
      <c r="C244" s="2" t="s">
        <v>36</v>
      </c>
      <c r="D244" s="2" t="s">
        <v>30</v>
      </c>
      <c r="E244" s="2" t="s">
        <v>31</v>
      </c>
      <c r="F244" s="2">
        <v>928</v>
      </c>
      <c r="G244" s="2">
        <v>518.70000000000005</v>
      </c>
      <c r="H244" s="2">
        <v>509</v>
      </c>
      <c r="I244" s="2">
        <v>9.6999999999999993</v>
      </c>
      <c r="J244" s="2">
        <v>2.98</v>
      </c>
      <c r="K244" s="2" t="s">
        <v>48</v>
      </c>
      <c r="L244" s="2" t="s">
        <v>43</v>
      </c>
      <c r="M244" s="2">
        <v>1071.9000000000001</v>
      </c>
      <c r="N244" s="2">
        <v>152.69999999999999</v>
      </c>
      <c r="O244" s="2">
        <v>64798.1</v>
      </c>
      <c r="P244" s="2">
        <v>181.5</v>
      </c>
      <c r="Q244" s="2">
        <v>1.5</v>
      </c>
      <c r="R244" s="2">
        <v>1070.28</v>
      </c>
      <c r="S244" s="5">
        <f t="shared" si="27"/>
        <v>0.55894396551724146</v>
      </c>
      <c r="T244" s="5">
        <f t="shared" si="28"/>
        <v>0.62749999999999995</v>
      </c>
      <c r="U244" s="5">
        <f t="shared" si="29"/>
        <v>0.8907473554059625</v>
      </c>
      <c r="V244" s="5">
        <f t="shared" si="30"/>
        <v>0.98129940235203383</v>
      </c>
      <c r="W244" s="5">
        <f t="shared" si="31"/>
        <v>0.54849137931034486</v>
      </c>
      <c r="X244" s="5">
        <f t="shared" si="32"/>
        <v>1.8700597647966066E-2</v>
      </c>
      <c r="Y244" s="6">
        <f t="shared" si="33"/>
        <v>0.48390708088441087</v>
      </c>
      <c r="Z244" s="6">
        <f t="shared" si="34"/>
        <v>124.92404087140928</v>
      </c>
      <c r="AA244" s="2" t="str">
        <f t="shared" si="35"/>
        <v>Breakdown</v>
      </c>
    </row>
    <row r="245" spans="1:27" x14ac:dyDescent="0.25">
      <c r="A245" s="2">
        <v>241</v>
      </c>
      <c r="B245" s="4">
        <v>46103</v>
      </c>
      <c r="C245" s="2" t="s">
        <v>29</v>
      </c>
      <c r="D245" s="2" t="s">
        <v>30</v>
      </c>
      <c r="E245" s="2" t="s">
        <v>39</v>
      </c>
      <c r="F245" s="2">
        <v>1028</v>
      </c>
      <c r="G245" s="2">
        <v>656.9</v>
      </c>
      <c r="H245" s="2">
        <v>644.79999999999995</v>
      </c>
      <c r="I245" s="2">
        <v>12.1</v>
      </c>
      <c r="J245" s="2">
        <v>2.2799999999999998</v>
      </c>
      <c r="K245" s="2" t="s">
        <v>46</v>
      </c>
      <c r="L245" s="2" t="s">
        <v>38</v>
      </c>
      <c r="M245" s="2">
        <v>1329.6</v>
      </c>
      <c r="N245" s="2">
        <v>214.6</v>
      </c>
      <c r="O245" s="2">
        <v>83111.5</v>
      </c>
      <c r="P245" s="2">
        <v>181</v>
      </c>
      <c r="Q245" s="2">
        <v>1.78</v>
      </c>
      <c r="R245" s="2">
        <v>633.29</v>
      </c>
      <c r="S245" s="5">
        <f t="shared" si="27"/>
        <v>0.63900778210116727</v>
      </c>
      <c r="T245" s="5">
        <f t="shared" si="28"/>
        <v>0.71500000000000008</v>
      </c>
      <c r="U245" s="5">
        <f t="shared" si="29"/>
        <v>0.89371717776387027</v>
      </c>
      <c r="V245" s="5">
        <f t="shared" si="30"/>
        <v>0.98158014918556857</v>
      </c>
      <c r="W245" s="5">
        <f t="shared" si="31"/>
        <v>0.6272373540856031</v>
      </c>
      <c r="X245" s="5">
        <f t="shared" si="32"/>
        <v>1.841985081443142E-2</v>
      </c>
      <c r="Y245" s="6">
        <f t="shared" si="33"/>
        <v>0.4940583634175692</v>
      </c>
      <c r="Z245" s="6">
        <f t="shared" si="34"/>
        <v>126.52077941848074</v>
      </c>
      <c r="AA245" s="2" t="str">
        <f t="shared" si="35"/>
        <v>Breakdown</v>
      </c>
    </row>
    <row r="246" spans="1:27" x14ac:dyDescent="0.25">
      <c r="A246" s="2">
        <v>242</v>
      </c>
      <c r="B246" s="4">
        <v>46103</v>
      </c>
      <c r="C246" s="2" t="s">
        <v>34</v>
      </c>
      <c r="D246" s="2" t="s">
        <v>30</v>
      </c>
      <c r="E246" s="2" t="s">
        <v>45</v>
      </c>
      <c r="F246" s="2">
        <v>1047</v>
      </c>
      <c r="G246" s="2">
        <v>724.9</v>
      </c>
      <c r="H246" s="2">
        <v>717.3</v>
      </c>
      <c r="I246" s="2">
        <v>7.6</v>
      </c>
      <c r="J246" s="2">
        <v>1.45</v>
      </c>
      <c r="K246" s="2" t="s">
        <v>44</v>
      </c>
      <c r="L246" s="2" t="s">
        <v>38</v>
      </c>
      <c r="M246" s="2">
        <v>1489.9</v>
      </c>
      <c r="N246" s="2">
        <v>240.9</v>
      </c>
      <c r="O246" s="2">
        <v>85418.3</v>
      </c>
      <c r="P246" s="2">
        <v>183.7</v>
      </c>
      <c r="Q246" s="2">
        <v>1.35</v>
      </c>
      <c r="R246" s="2">
        <v>520.76</v>
      </c>
      <c r="S246" s="5">
        <f t="shared" si="27"/>
        <v>0.69235912129894939</v>
      </c>
      <c r="T246" s="5">
        <f t="shared" si="28"/>
        <v>0.81874999999999998</v>
      </c>
      <c r="U246" s="5">
        <f t="shared" si="29"/>
        <v>0.8456294611284878</v>
      </c>
      <c r="V246" s="5">
        <f t="shared" si="30"/>
        <v>0.98951579528210787</v>
      </c>
      <c r="W246" s="5">
        <f t="shared" si="31"/>
        <v>0.6851002865329513</v>
      </c>
      <c r="X246" s="5">
        <f t="shared" si="32"/>
        <v>1.0484204717892123E-2</v>
      </c>
      <c r="Y246" s="6">
        <f t="shared" si="33"/>
        <v>0.48654272098798573</v>
      </c>
      <c r="Z246" s="6">
        <f t="shared" si="34"/>
        <v>117.83459787556905</v>
      </c>
      <c r="AA246" s="2" t="str">
        <f t="shared" si="35"/>
        <v>Breakdown</v>
      </c>
    </row>
    <row r="247" spans="1:27" x14ac:dyDescent="0.25">
      <c r="A247" s="2">
        <v>243</v>
      </c>
      <c r="B247" s="4">
        <v>46103</v>
      </c>
      <c r="C247" s="2" t="s">
        <v>36</v>
      </c>
      <c r="D247" s="2" t="s">
        <v>30</v>
      </c>
      <c r="E247" s="2" t="s">
        <v>31</v>
      </c>
      <c r="F247" s="2">
        <v>970</v>
      </c>
      <c r="G247" s="2">
        <v>555.5</v>
      </c>
      <c r="H247" s="2">
        <v>540.9</v>
      </c>
      <c r="I247" s="2">
        <v>14.6</v>
      </c>
      <c r="J247" s="2">
        <v>3.19</v>
      </c>
      <c r="K247" s="2" t="s">
        <v>42</v>
      </c>
      <c r="L247" s="2" t="s">
        <v>38</v>
      </c>
      <c r="M247" s="2">
        <v>1156.0999999999999</v>
      </c>
      <c r="N247" s="2">
        <v>169.6</v>
      </c>
      <c r="O247" s="2">
        <v>67840.2</v>
      </c>
      <c r="P247" s="2">
        <v>177.1</v>
      </c>
      <c r="Q247" s="2">
        <v>1.35</v>
      </c>
      <c r="R247" s="2">
        <v>565.66999999999996</v>
      </c>
      <c r="S247" s="5">
        <f t="shared" si="27"/>
        <v>0.57268041237113398</v>
      </c>
      <c r="T247" s="5">
        <f t="shared" si="28"/>
        <v>0.60125000000000006</v>
      </c>
      <c r="U247" s="5">
        <f t="shared" si="29"/>
        <v>0.95248301433868432</v>
      </c>
      <c r="V247" s="5">
        <f t="shared" si="30"/>
        <v>0.97371737173717365</v>
      </c>
      <c r="W247" s="5">
        <f t="shared" si="31"/>
        <v>0.55762886597938133</v>
      </c>
      <c r="X247" s="5">
        <f t="shared" si="32"/>
        <v>2.628262826282628E-2</v>
      </c>
      <c r="Y247" s="6">
        <f t="shared" si="33"/>
        <v>0.48049476688867748</v>
      </c>
      <c r="Z247" s="6">
        <f t="shared" si="34"/>
        <v>122.12457245724572</v>
      </c>
      <c r="AA247" s="2" t="str">
        <f t="shared" si="35"/>
        <v>Breakdown</v>
      </c>
    </row>
    <row r="248" spans="1:27" x14ac:dyDescent="0.25">
      <c r="A248" s="2">
        <v>244</v>
      </c>
      <c r="B248" s="4">
        <v>46104</v>
      </c>
      <c r="C248" s="2" t="s">
        <v>29</v>
      </c>
      <c r="D248" s="2" t="s">
        <v>30</v>
      </c>
      <c r="E248" s="2" t="s">
        <v>45</v>
      </c>
      <c r="F248" s="2">
        <v>916</v>
      </c>
      <c r="G248" s="2">
        <v>810.6</v>
      </c>
      <c r="H248" s="2">
        <v>803.3</v>
      </c>
      <c r="I248" s="2">
        <v>7.3</v>
      </c>
      <c r="J248" s="2">
        <v>0.91</v>
      </c>
      <c r="K248" s="2" t="s">
        <v>42</v>
      </c>
      <c r="L248" s="2" t="s">
        <v>43</v>
      </c>
      <c r="M248" s="2">
        <v>1609.6</v>
      </c>
      <c r="N248" s="2">
        <v>260</v>
      </c>
      <c r="O248" s="2">
        <v>99571.3</v>
      </c>
      <c r="P248" s="2">
        <v>176.4</v>
      </c>
      <c r="Q248" s="2">
        <v>1.69</v>
      </c>
      <c r="R248" s="2">
        <v>871.17</v>
      </c>
      <c r="S248" s="5">
        <f t="shared" si="27"/>
        <v>0.88493449781659395</v>
      </c>
      <c r="T248" s="5">
        <f t="shared" si="28"/>
        <v>0.88624999999999998</v>
      </c>
      <c r="U248" s="5">
        <f t="shared" si="29"/>
        <v>0.99851565338966874</v>
      </c>
      <c r="V248" s="5">
        <f t="shared" si="30"/>
        <v>0.99099432519121633</v>
      </c>
      <c r="W248" s="5">
        <f t="shared" si="31"/>
        <v>0.87696506550218345</v>
      </c>
      <c r="X248" s="5">
        <f t="shared" si="32"/>
        <v>9.0056748087836164E-3</v>
      </c>
      <c r="Y248" s="6">
        <f t="shared" si="33"/>
        <v>0.50360337972167002</v>
      </c>
      <c r="Z248" s="6">
        <f t="shared" si="34"/>
        <v>122.83654083395017</v>
      </c>
      <c r="AA248" s="2" t="str">
        <f t="shared" si="35"/>
        <v>Breakdown</v>
      </c>
    </row>
    <row r="249" spans="1:27" x14ac:dyDescent="0.25">
      <c r="A249" s="2">
        <v>245</v>
      </c>
      <c r="B249" s="4">
        <v>46104</v>
      </c>
      <c r="C249" s="2" t="s">
        <v>34</v>
      </c>
      <c r="D249" s="2" t="s">
        <v>35</v>
      </c>
      <c r="E249" s="2" t="s">
        <v>45</v>
      </c>
      <c r="F249" s="2">
        <v>1048</v>
      </c>
      <c r="G249" s="2">
        <v>866.8</v>
      </c>
      <c r="H249" s="2">
        <v>860.8</v>
      </c>
      <c r="I249" s="2">
        <v>6</v>
      </c>
      <c r="J249" s="2">
        <v>0.13</v>
      </c>
      <c r="K249" s="2" t="s">
        <v>32</v>
      </c>
      <c r="L249" s="2" t="s">
        <v>33</v>
      </c>
      <c r="M249" s="2">
        <v>1720.7</v>
      </c>
      <c r="N249" s="2">
        <v>256.7</v>
      </c>
      <c r="O249" s="2">
        <v>105736.2</v>
      </c>
      <c r="P249" s="2">
        <v>171.9</v>
      </c>
      <c r="Q249" s="2">
        <v>1.99</v>
      </c>
      <c r="R249" s="2">
        <v>0</v>
      </c>
      <c r="S249" s="5">
        <f t="shared" si="27"/>
        <v>0.82709923664122131</v>
      </c>
      <c r="T249" s="5">
        <f t="shared" si="28"/>
        <v>0.98375000000000001</v>
      </c>
      <c r="U249" s="5">
        <f t="shared" si="29"/>
        <v>0.84076161285003437</v>
      </c>
      <c r="V249" s="5">
        <f t="shared" si="30"/>
        <v>0.99307798800184588</v>
      </c>
      <c r="W249" s="5">
        <f t="shared" si="31"/>
        <v>0.82137404580152662</v>
      </c>
      <c r="X249" s="5">
        <f t="shared" si="32"/>
        <v>6.9220119981541301E-3</v>
      </c>
      <c r="Y249" s="6">
        <f t="shared" si="33"/>
        <v>0.50374847445806936</v>
      </c>
      <c r="Z249" s="6">
        <f t="shared" si="34"/>
        <v>121.98454083987079</v>
      </c>
      <c r="AA249" s="2" t="str">
        <f t="shared" si="35"/>
        <v>No Maintenance</v>
      </c>
    </row>
    <row r="250" spans="1:27" x14ac:dyDescent="0.25">
      <c r="A250" s="2">
        <v>246</v>
      </c>
      <c r="B250" s="4">
        <v>46104</v>
      </c>
      <c r="C250" s="2" t="s">
        <v>36</v>
      </c>
      <c r="D250" s="2" t="s">
        <v>35</v>
      </c>
      <c r="E250" s="2" t="s">
        <v>45</v>
      </c>
      <c r="F250" s="2">
        <v>924</v>
      </c>
      <c r="G250" s="2">
        <v>694.5</v>
      </c>
      <c r="H250" s="2">
        <v>682.6</v>
      </c>
      <c r="I250" s="2">
        <v>11.9</v>
      </c>
      <c r="J250" s="2">
        <v>1.55</v>
      </c>
      <c r="K250" s="2" t="s">
        <v>47</v>
      </c>
      <c r="L250" s="2" t="s">
        <v>38</v>
      </c>
      <c r="M250" s="2">
        <v>1447.2</v>
      </c>
      <c r="N250" s="2">
        <v>223.8</v>
      </c>
      <c r="O250" s="2">
        <v>87645.9</v>
      </c>
      <c r="P250" s="2">
        <v>173.1</v>
      </c>
      <c r="Q250" s="2">
        <v>1.64</v>
      </c>
      <c r="R250" s="2">
        <v>420.74</v>
      </c>
      <c r="S250" s="5">
        <f t="shared" si="27"/>
        <v>0.75162337662337664</v>
      </c>
      <c r="T250" s="5">
        <f t="shared" si="28"/>
        <v>0.80625000000000002</v>
      </c>
      <c r="U250" s="5">
        <f t="shared" si="29"/>
        <v>0.93224604852511828</v>
      </c>
      <c r="V250" s="5">
        <f t="shared" si="30"/>
        <v>0.98286537077033842</v>
      </c>
      <c r="W250" s="5">
        <f t="shared" si="31"/>
        <v>0.73874458874458881</v>
      </c>
      <c r="X250" s="5">
        <f t="shared" si="32"/>
        <v>1.7134629229661628E-2</v>
      </c>
      <c r="Y250" s="6">
        <f t="shared" si="33"/>
        <v>0.47989220563847429</v>
      </c>
      <c r="Z250" s="6">
        <f t="shared" si="34"/>
        <v>126.19999999999999</v>
      </c>
      <c r="AA250" s="2" t="str">
        <f t="shared" si="35"/>
        <v>Breakdown</v>
      </c>
    </row>
    <row r="251" spans="1:27" x14ac:dyDescent="0.25">
      <c r="A251" s="2">
        <v>247</v>
      </c>
      <c r="B251" s="4">
        <v>46105</v>
      </c>
      <c r="C251" s="2" t="s">
        <v>29</v>
      </c>
      <c r="D251" s="2" t="s">
        <v>30</v>
      </c>
      <c r="E251" s="2" t="s">
        <v>45</v>
      </c>
      <c r="F251" s="2">
        <v>902</v>
      </c>
      <c r="G251" s="2">
        <v>761.5</v>
      </c>
      <c r="H251" s="2">
        <v>752.9</v>
      </c>
      <c r="I251" s="2">
        <v>8.6</v>
      </c>
      <c r="J251" s="2">
        <v>0.16</v>
      </c>
      <c r="K251" s="2" t="s">
        <v>32</v>
      </c>
      <c r="L251" s="2" t="s">
        <v>33</v>
      </c>
      <c r="M251" s="2">
        <v>1566.8</v>
      </c>
      <c r="N251" s="2">
        <v>248.9</v>
      </c>
      <c r="O251" s="2">
        <v>81808.899999999994</v>
      </c>
      <c r="P251" s="2">
        <v>181.8</v>
      </c>
      <c r="Q251" s="2">
        <v>1.86</v>
      </c>
      <c r="R251" s="2">
        <v>0</v>
      </c>
      <c r="S251" s="5">
        <f t="shared" si="27"/>
        <v>0.84423503325942351</v>
      </c>
      <c r="T251" s="5">
        <f t="shared" si="28"/>
        <v>0.98</v>
      </c>
      <c r="U251" s="5">
        <f t="shared" si="29"/>
        <v>0.86146431965247294</v>
      </c>
      <c r="V251" s="5">
        <f t="shared" si="30"/>
        <v>0.98870650032829943</v>
      </c>
      <c r="W251" s="5">
        <f t="shared" si="31"/>
        <v>0.83470066518847008</v>
      </c>
      <c r="X251" s="5">
        <f t="shared" si="32"/>
        <v>1.1293499671700591E-2</v>
      </c>
      <c r="Y251" s="6">
        <f t="shared" si="33"/>
        <v>0.48602246617309164</v>
      </c>
      <c r="Z251" s="6">
        <f t="shared" si="34"/>
        <v>107.4312541037426</v>
      </c>
      <c r="AA251" s="2" t="str">
        <f t="shared" si="35"/>
        <v>No Maintenance</v>
      </c>
    </row>
    <row r="252" spans="1:27" x14ac:dyDescent="0.25">
      <c r="A252" s="2">
        <v>248</v>
      </c>
      <c r="B252" s="4">
        <v>46105</v>
      </c>
      <c r="C252" s="2" t="s">
        <v>34</v>
      </c>
      <c r="D252" s="2" t="s">
        <v>30</v>
      </c>
      <c r="E252" s="2" t="s">
        <v>31</v>
      </c>
      <c r="F252" s="2">
        <v>1003</v>
      </c>
      <c r="G252" s="2">
        <v>787.4</v>
      </c>
      <c r="H252" s="2">
        <v>772.8</v>
      </c>
      <c r="I252" s="2">
        <v>14.6</v>
      </c>
      <c r="J252" s="2">
        <v>0.22</v>
      </c>
      <c r="K252" s="2" t="s">
        <v>32</v>
      </c>
      <c r="L252" s="2" t="s">
        <v>33</v>
      </c>
      <c r="M252" s="2">
        <v>1601.7</v>
      </c>
      <c r="N252" s="2">
        <v>252.3</v>
      </c>
      <c r="O252" s="2">
        <v>94968.8</v>
      </c>
      <c r="P252" s="2">
        <v>175</v>
      </c>
      <c r="Q252" s="2">
        <v>1.86</v>
      </c>
      <c r="R252" s="2">
        <v>0</v>
      </c>
      <c r="S252" s="5">
        <f t="shared" si="27"/>
        <v>0.78504486540378859</v>
      </c>
      <c r="T252" s="5">
        <f t="shared" si="28"/>
        <v>0.97250000000000003</v>
      </c>
      <c r="U252" s="5">
        <f t="shared" si="29"/>
        <v>0.80724407753602945</v>
      </c>
      <c r="V252" s="5">
        <f t="shared" si="30"/>
        <v>0.9814579629159258</v>
      </c>
      <c r="W252" s="5">
        <f t="shared" si="31"/>
        <v>0.77048853439680964</v>
      </c>
      <c r="X252" s="5">
        <f t="shared" si="32"/>
        <v>1.8542037084074169E-2</v>
      </c>
      <c r="Y252" s="6">
        <f t="shared" si="33"/>
        <v>0.49160267216082909</v>
      </c>
      <c r="Z252" s="6">
        <f t="shared" si="34"/>
        <v>120.61061722123445</v>
      </c>
      <c r="AA252" s="2" t="str">
        <f t="shared" si="35"/>
        <v>No Maintenance</v>
      </c>
    </row>
    <row r="253" spans="1:27" x14ac:dyDescent="0.25">
      <c r="A253" s="2">
        <v>249</v>
      </c>
      <c r="B253" s="4">
        <v>46105</v>
      </c>
      <c r="C253" s="2" t="s">
        <v>36</v>
      </c>
      <c r="D253" s="2" t="s">
        <v>35</v>
      </c>
      <c r="E253" s="2" t="s">
        <v>39</v>
      </c>
      <c r="F253" s="2">
        <v>908</v>
      </c>
      <c r="G253" s="2">
        <v>566.1</v>
      </c>
      <c r="H253" s="2">
        <v>556.79999999999995</v>
      </c>
      <c r="I253" s="2">
        <v>9.3000000000000007</v>
      </c>
      <c r="J253" s="2">
        <v>3.36</v>
      </c>
      <c r="K253" s="2" t="s">
        <v>40</v>
      </c>
      <c r="L253" s="2" t="s">
        <v>41</v>
      </c>
      <c r="M253" s="2">
        <v>1183.5999999999999</v>
      </c>
      <c r="N253" s="2">
        <v>188.3</v>
      </c>
      <c r="O253" s="2">
        <v>67217.8</v>
      </c>
      <c r="P253" s="2">
        <v>180.6</v>
      </c>
      <c r="Q253" s="2">
        <v>1.76</v>
      </c>
      <c r="R253" s="2">
        <v>234.55</v>
      </c>
      <c r="S253" s="5">
        <f t="shared" si="27"/>
        <v>0.62345814977973568</v>
      </c>
      <c r="T253" s="5">
        <f t="shared" si="28"/>
        <v>0.58000000000000007</v>
      </c>
      <c r="U253" s="5">
        <f t="shared" si="29"/>
        <v>1.0749278444478201</v>
      </c>
      <c r="V253" s="5">
        <f t="shared" si="30"/>
        <v>0.98357180710121872</v>
      </c>
      <c r="W253" s="5">
        <f t="shared" si="31"/>
        <v>0.61321585903083686</v>
      </c>
      <c r="X253" s="5">
        <f t="shared" si="32"/>
        <v>1.6428192898781134E-2</v>
      </c>
      <c r="Y253" s="6">
        <f t="shared" si="33"/>
        <v>0.47828658330517071</v>
      </c>
      <c r="Z253" s="6">
        <f t="shared" si="34"/>
        <v>118.73838544426779</v>
      </c>
      <c r="AA253" s="2" t="str">
        <f t="shared" si="35"/>
        <v>Planned</v>
      </c>
    </row>
    <row r="254" spans="1:27" x14ac:dyDescent="0.25">
      <c r="A254" s="2">
        <v>250</v>
      </c>
      <c r="B254" s="4">
        <v>46106</v>
      </c>
      <c r="C254" s="2" t="s">
        <v>29</v>
      </c>
      <c r="D254" s="2" t="s">
        <v>35</v>
      </c>
      <c r="E254" s="2" t="s">
        <v>45</v>
      </c>
      <c r="F254" s="2">
        <v>953</v>
      </c>
      <c r="G254" s="2">
        <v>883.8</v>
      </c>
      <c r="H254" s="2">
        <v>871.7</v>
      </c>
      <c r="I254" s="2">
        <v>12.1</v>
      </c>
      <c r="J254" s="2">
        <v>0.16</v>
      </c>
      <c r="K254" s="2" t="s">
        <v>32</v>
      </c>
      <c r="L254" s="2" t="s">
        <v>33</v>
      </c>
      <c r="M254" s="2">
        <v>1812.4</v>
      </c>
      <c r="N254" s="2">
        <v>277.8</v>
      </c>
      <c r="O254" s="2">
        <v>97659.9</v>
      </c>
      <c r="P254" s="2">
        <v>175.1</v>
      </c>
      <c r="Q254" s="2">
        <v>1.69</v>
      </c>
      <c r="R254" s="2">
        <v>0</v>
      </c>
      <c r="S254" s="5">
        <f t="shared" si="27"/>
        <v>0.92738719832109129</v>
      </c>
      <c r="T254" s="5">
        <f t="shared" si="28"/>
        <v>0.98</v>
      </c>
      <c r="U254" s="5">
        <f t="shared" si="29"/>
        <v>0.94631346767458291</v>
      </c>
      <c r="V254" s="5">
        <f t="shared" si="30"/>
        <v>0.98630911971034185</v>
      </c>
      <c r="W254" s="5">
        <f t="shared" si="31"/>
        <v>0.91469045120671577</v>
      </c>
      <c r="X254" s="5">
        <f t="shared" si="32"/>
        <v>1.3690880289658295E-2</v>
      </c>
      <c r="Y254" s="6">
        <f t="shared" si="33"/>
        <v>0.48764069741778854</v>
      </c>
      <c r="Z254" s="6">
        <f t="shared" si="34"/>
        <v>110.5</v>
      </c>
      <c r="AA254" s="2" t="str">
        <f t="shared" si="35"/>
        <v>No Maintenance</v>
      </c>
    </row>
    <row r="255" spans="1:27" x14ac:dyDescent="0.25">
      <c r="A255" s="2">
        <v>251</v>
      </c>
      <c r="B255" s="4">
        <v>46106</v>
      </c>
      <c r="C255" s="2" t="s">
        <v>34</v>
      </c>
      <c r="D255" s="2" t="s">
        <v>30</v>
      </c>
      <c r="E255" s="2" t="s">
        <v>45</v>
      </c>
      <c r="F255" s="2">
        <v>967</v>
      </c>
      <c r="G255" s="2">
        <v>612.6</v>
      </c>
      <c r="H255" s="2">
        <v>605.79999999999995</v>
      </c>
      <c r="I255" s="2">
        <v>6.8</v>
      </c>
      <c r="J255" s="2">
        <v>3.33</v>
      </c>
      <c r="K255" s="2" t="s">
        <v>48</v>
      </c>
      <c r="L255" s="2" t="s">
        <v>43</v>
      </c>
      <c r="M255" s="2">
        <v>1289.5999999999999</v>
      </c>
      <c r="N255" s="2">
        <v>202</v>
      </c>
      <c r="O255" s="2">
        <v>69625.2</v>
      </c>
      <c r="P255" s="2">
        <v>183.4</v>
      </c>
      <c r="Q255" s="2">
        <v>1.55</v>
      </c>
      <c r="R255" s="2">
        <v>960.9</v>
      </c>
      <c r="S255" s="5">
        <f t="shared" si="27"/>
        <v>0.6335056876938987</v>
      </c>
      <c r="T255" s="5">
        <f t="shared" si="28"/>
        <v>0.58374999999999999</v>
      </c>
      <c r="U255" s="5">
        <f t="shared" si="29"/>
        <v>1.0852345827732739</v>
      </c>
      <c r="V255" s="5">
        <f t="shared" si="30"/>
        <v>0.98889977146588304</v>
      </c>
      <c r="W255" s="5">
        <f t="shared" si="31"/>
        <v>0.62647362978283339</v>
      </c>
      <c r="X255" s="5">
        <f t="shared" si="32"/>
        <v>1.1100228534116878E-2</v>
      </c>
      <c r="Y255" s="6">
        <f t="shared" si="33"/>
        <v>0.47503101736972708</v>
      </c>
      <c r="Z255" s="6">
        <f t="shared" si="34"/>
        <v>113.65523996082271</v>
      </c>
      <c r="AA255" s="2" t="str">
        <f t="shared" si="35"/>
        <v>Breakdown</v>
      </c>
    </row>
    <row r="256" spans="1:27" x14ac:dyDescent="0.25">
      <c r="A256" s="2">
        <v>252</v>
      </c>
      <c r="B256" s="4">
        <v>46106</v>
      </c>
      <c r="C256" s="2" t="s">
        <v>36</v>
      </c>
      <c r="D256" s="2" t="s">
        <v>35</v>
      </c>
      <c r="E256" s="2" t="s">
        <v>31</v>
      </c>
      <c r="F256" s="2">
        <v>1031</v>
      </c>
      <c r="G256" s="2">
        <v>812.7</v>
      </c>
      <c r="H256" s="2">
        <v>798.3</v>
      </c>
      <c r="I256" s="2">
        <v>14.4</v>
      </c>
      <c r="J256" s="2">
        <v>0.14000000000000001</v>
      </c>
      <c r="K256" s="2" t="s">
        <v>32</v>
      </c>
      <c r="L256" s="2" t="s">
        <v>33</v>
      </c>
      <c r="M256" s="2">
        <v>1624.2</v>
      </c>
      <c r="N256" s="2">
        <v>284.7</v>
      </c>
      <c r="O256" s="2">
        <v>97506.2</v>
      </c>
      <c r="P256" s="2">
        <v>175.4</v>
      </c>
      <c r="Q256" s="2">
        <v>1.76</v>
      </c>
      <c r="R256" s="2">
        <v>0</v>
      </c>
      <c r="S256" s="5">
        <f t="shared" si="27"/>
        <v>0.78826382153249275</v>
      </c>
      <c r="T256" s="5">
        <f t="shared" si="28"/>
        <v>0.98250000000000004</v>
      </c>
      <c r="U256" s="5">
        <f t="shared" si="29"/>
        <v>0.80230414405342765</v>
      </c>
      <c r="V256" s="5">
        <f t="shared" si="30"/>
        <v>0.98228128460686592</v>
      </c>
      <c r="W256" s="5">
        <f t="shared" si="31"/>
        <v>0.77429679922405426</v>
      </c>
      <c r="X256" s="5">
        <f t="shared" si="32"/>
        <v>1.7718715393133997E-2</v>
      </c>
      <c r="Y256" s="6">
        <f t="shared" si="33"/>
        <v>0.5003694126339121</v>
      </c>
      <c r="Z256" s="6">
        <f t="shared" si="34"/>
        <v>119.97809769902793</v>
      </c>
      <c r="AA256" s="2" t="str">
        <f t="shared" si="35"/>
        <v>No Maintenance</v>
      </c>
    </row>
    <row r="257" spans="1:27" x14ac:dyDescent="0.25">
      <c r="A257" s="2">
        <v>253</v>
      </c>
      <c r="B257" s="4">
        <v>46107</v>
      </c>
      <c r="C257" s="2" t="s">
        <v>29</v>
      </c>
      <c r="D257" s="2" t="s">
        <v>30</v>
      </c>
      <c r="E257" s="2" t="s">
        <v>39</v>
      </c>
      <c r="F257" s="2">
        <v>933</v>
      </c>
      <c r="G257" s="2">
        <v>837.2</v>
      </c>
      <c r="H257" s="2">
        <v>821.4</v>
      </c>
      <c r="I257" s="2">
        <v>15.8</v>
      </c>
      <c r="J257" s="2">
        <v>0.09</v>
      </c>
      <c r="K257" s="2" t="s">
        <v>32</v>
      </c>
      <c r="L257" s="2" t="s">
        <v>33</v>
      </c>
      <c r="M257" s="2">
        <v>1665.8</v>
      </c>
      <c r="N257" s="2">
        <v>255.2</v>
      </c>
      <c r="O257" s="2">
        <v>97765.4</v>
      </c>
      <c r="P257" s="2">
        <v>178.9</v>
      </c>
      <c r="Q257" s="2">
        <v>1.65</v>
      </c>
      <c r="R257" s="2">
        <v>0</v>
      </c>
      <c r="S257" s="5">
        <f t="shared" si="27"/>
        <v>0.89732047159699901</v>
      </c>
      <c r="T257" s="5">
        <f t="shared" si="28"/>
        <v>0.98875000000000002</v>
      </c>
      <c r="U257" s="5">
        <f t="shared" si="29"/>
        <v>0.90753018619165515</v>
      </c>
      <c r="V257" s="5">
        <f t="shared" si="30"/>
        <v>0.98112756808408974</v>
      </c>
      <c r="W257" s="5">
        <f t="shared" si="31"/>
        <v>0.88038585209003217</v>
      </c>
      <c r="X257" s="5">
        <f t="shared" si="32"/>
        <v>1.8872431915910176E-2</v>
      </c>
      <c r="Y257" s="6">
        <f t="shared" si="33"/>
        <v>0.502581342297995</v>
      </c>
      <c r="Z257" s="6">
        <f t="shared" si="34"/>
        <v>116.77663640707118</v>
      </c>
      <c r="AA257" s="2" t="str">
        <f t="shared" si="35"/>
        <v>No Maintenance</v>
      </c>
    </row>
    <row r="258" spans="1:27" x14ac:dyDescent="0.25">
      <c r="A258" s="2">
        <v>254</v>
      </c>
      <c r="B258" s="4">
        <v>46107</v>
      </c>
      <c r="C258" s="2" t="s">
        <v>34</v>
      </c>
      <c r="D258" s="2" t="s">
        <v>35</v>
      </c>
      <c r="E258" s="2" t="s">
        <v>31</v>
      </c>
      <c r="F258" s="2">
        <v>984</v>
      </c>
      <c r="G258" s="2">
        <v>902.5</v>
      </c>
      <c r="H258" s="2">
        <v>884.1</v>
      </c>
      <c r="I258" s="2">
        <v>18.399999999999999</v>
      </c>
      <c r="J258" s="2">
        <v>0.28999999999999998</v>
      </c>
      <c r="K258" s="2" t="s">
        <v>32</v>
      </c>
      <c r="L258" s="2" t="s">
        <v>33</v>
      </c>
      <c r="M258" s="2">
        <v>1845.9</v>
      </c>
      <c r="N258" s="2">
        <v>290.39999999999998</v>
      </c>
      <c r="O258" s="2">
        <v>93088.8</v>
      </c>
      <c r="P258" s="2">
        <v>175.6</v>
      </c>
      <c r="Q258" s="2">
        <v>1.72</v>
      </c>
      <c r="R258" s="2">
        <v>0</v>
      </c>
      <c r="S258" s="5">
        <f t="shared" si="27"/>
        <v>0.91717479674796742</v>
      </c>
      <c r="T258" s="5">
        <f t="shared" si="28"/>
        <v>0.96375</v>
      </c>
      <c r="U258" s="5">
        <f t="shared" si="29"/>
        <v>0.95167294085392207</v>
      </c>
      <c r="V258" s="5">
        <f t="shared" si="30"/>
        <v>0.979612188365651</v>
      </c>
      <c r="W258" s="5">
        <f t="shared" si="31"/>
        <v>0.89847560975609753</v>
      </c>
      <c r="X258" s="5">
        <f t="shared" si="32"/>
        <v>2.038781163434903E-2</v>
      </c>
      <c r="Y258" s="6">
        <f t="shared" si="33"/>
        <v>0.48892139335825341</v>
      </c>
      <c r="Z258" s="6">
        <f t="shared" si="34"/>
        <v>103.14548476454294</v>
      </c>
      <c r="AA258" s="2" t="str">
        <f t="shared" si="35"/>
        <v>No Maintenance</v>
      </c>
    </row>
    <row r="259" spans="1:27" x14ac:dyDescent="0.25">
      <c r="A259" s="2">
        <v>255</v>
      </c>
      <c r="B259" s="4">
        <v>46107</v>
      </c>
      <c r="C259" s="2" t="s">
        <v>36</v>
      </c>
      <c r="D259" s="2" t="s">
        <v>30</v>
      </c>
      <c r="E259" s="2" t="s">
        <v>31</v>
      </c>
      <c r="F259" s="2">
        <v>946</v>
      </c>
      <c r="G259" s="2">
        <v>518.1</v>
      </c>
      <c r="H259" s="2">
        <v>512.6</v>
      </c>
      <c r="I259" s="2">
        <v>5.5</v>
      </c>
      <c r="J259" s="2">
        <v>3.22</v>
      </c>
      <c r="K259" s="2" t="s">
        <v>42</v>
      </c>
      <c r="L259" s="2" t="s">
        <v>38</v>
      </c>
      <c r="M259" s="2">
        <v>1070.4000000000001</v>
      </c>
      <c r="N259" s="2">
        <v>148.9</v>
      </c>
      <c r="O259" s="2">
        <v>59471</v>
      </c>
      <c r="P259" s="2">
        <v>175.5</v>
      </c>
      <c r="Q259" s="2">
        <v>1.34</v>
      </c>
      <c r="R259" s="2">
        <v>497.46</v>
      </c>
      <c r="S259" s="5">
        <f t="shared" si="27"/>
        <v>0.54767441860465116</v>
      </c>
      <c r="T259" s="5">
        <f t="shared" si="28"/>
        <v>0.59749999999999992</v>
      </c>
      <c r="U259" s="5">
        <f t="shared" si="29"/>
        <v>0.91660990561447908</v>
      </c>
      <c r="V259" s="5">
        <f t="shared" si="30"/>
        <v>0.98938428874734607</v>
      </c>
      <c r="W259" s="5">
        <f t="shared" si="31"/>
        <v>0.54186046511627906</v>
      </c>
      <c r="X259" s="5">
        <f t="shared" si="32"/>
        <v>1.0615711252653927E-2</v>
      </c>
      <c r="Y259" s="6">
        <f t="shared" si="33"/>
        <v>0.48402466367713004</v>
      </c>
      <c r="Z259" s="6">
        <f t="shared" si="34"/>
        <v>114.78672071028758</v>
      </c>
      <c r="AA259" s="2" t="str">
        <f t="shared" si="35"/>
        <v>Breakdown</v>
      </c>
    </row>
    <row r="260" spans="1:27" x14ac:dyDescent="0.25">
      <c r="A260" s="2">
        <v>256</v>
      </c>
      <c r="B260" s="4">
        <v>46108</v>
      </c>
      <c r="C260" s="2" t="s">
        <v>29</v>
      </c>
      <c r="D260" s="2" t="s">
        <v>30</v>
      </c>
      <c r="E260" s="2" t="s">
        <v>31</v>
      </c>
      <c r="F260" s="2">
        <v>990</v>
      </c>
      <c r="G260" s="2">
        <v>633.20000000000005</v>
      </c>
      <c r="H260" s="2">
        <v>620.29999999999995</v>
      </c>
      <c r="I260" s="2">
        <v>12.9</v>
      </c>
      <c r="J260" s="2">
        <v>1.99</v>
      </c>
      <c r="K260" s="2" t="s">
        <v>42</v>
      </c>
      <c r="L260" s="2" t="s">
        <v>38</v>
      </c>
      <c r="M260" s="2">
        <v>1334.3</v>
      </c>
      <c r="N260" s="2">
        <v>201.2</v>
      </c>
      <c r="O260" s="2">
        <v>77207.199999999997</v>
      </c>
      <c r="P260" s="2">
        <v>171.7</v>
      </c>
      <c r="Q260" s="2">
        <v>1.79</v>
      </c>
      <c r="R260" s="2">
        <v>863.14</v>
      </c>
      <c r="S260" s="5">
        <f t="shared" si="27"/>
        <v>0.63959595959595961</v>
      </c>
      <c r="T260" s="5">
        <f t="shared" si="28"/>
        <v>0.75124999999999997</v>
      </c>
      <c r="U260" s="5">
        <f t="shared" si="29"/>
        <v>0.85137565337232568</v>
      </c>
      <c r="V260" s="5">
        <f t="shared" si="30"/>
        <v>0.97962728995577997</v>
      </c>
      <c r="W260" s="5">
        <f t="shared" si="31"/>
        <v>0.62656565656565644</v>
      </c>
      <c r="X260" s="5">
        <f t="shared" si="32"/>
        <v>2.0372710044219835E-2</v>
      </c>
      <c r="Y260" s="6">
        <f t="shared" si="33"/>
        <v>0.47455594693846964</v>
      </c>
      <c r="Z260" s="6">
        <f t="shared" si="34"/>
        <v>121.93177511054958</v>
      </c>
      <c r="AA260" s="2" t="str">
        <f t="shared" si="35"/>
        <v>Breakdown</v>
      </c>
    </row>
    <row r="261" spans="1:27" x14ac:dyDescent="0.25">
      <c r="A261" s="2">
        <v>257</v>
      </c>
      <c r="B261" s="4">
        <v>46108</v>
      </c>
      <c r="C261" s="2" t="s">
        <v>34</v>
      </c>
      <c r="D261" s="2" t="s">
        <v>30</v>
      </c>
      <c r="E261" s="2" t="s">
        <v>45</v>
      </c>
      <c r="F261" s="2">
        <v>955</v>
      </c>
      <c r="G261" s="2">
        <v>626</v>
      </c>
      <c r="H261" s="2">
        <v>617.4</v>
      </c>
      <c r="I261" s="2">
        <v>8.6</v>
      </c>
      <c r="J261" s="2">
        <v>4.1399999999999997</v>
      </c>
      <c r="K261" s="2" t="s">
        <v>40</v>
      </c>
      <c r="L261" s="2" t="s">
        <v>41</v>
      </c>
      <c r="M261" s="2">
        <v>1271.7</v>
      </c>
      <c r="N261" s="2">
        <v>190.7</v>
      </c>
      <c r="O261" s="2">
        <v>73025.2</v>
      </c>
      <c r="P261" s="2">
        <v>177</v>
      </c>
      <c r="Q261" s="2">
        <v>1.77</v>
      </c>
      <c r="R261" s="2">
        <v>159.37</v>
      </c>
      <c r="S261" s="5">
        <f t="shared" ref="S261:S324" si="36">G261/F261</f>
        <v>0.65549738219895293</v>
      </c>
      <c r="T261" s="5">
        <f t="shared" ref="T261:T324" si="37">MAX(0,1-J261/8)</f>
        <v>0.48250000000000004</v>
      </c>
      <c r="U261" s="5">
        <f t="shared" ref="U261:U324" si="38">IFERROR(G261/(F261*T261),0)</f>
        <v>1.3585437973035293</v>
      </c>
      <c r="V261" s="5">
        <f t="shared" ref="V261:V324" si="39">IFERROR(H261/G261,0)</f>
        <v>0.98626198083067085</v>
      </c>
      <c r="W261" s="5">
        <f t="shared" ref="W261:W324" si="40">T261*U261*V261</f>
        <v>0.64649214659685861</v>
      </c>
      <c r="X261" s="5">
        <f t="shared" ref="X261:X324" si="41">IFERROR(I261/G261,0)</f>
        <v>1.3738019169329072E-2</v>
      </c>
      <c r="Y261" s="6">
        <f t="shared" ref="Y261:Y324" si="42">IFERROR(G261/M261,0)</f>
        <v>0.492254462530471</v>
      </c>
      <c r="Z261" s="6">
        <f t="shared" ref="Z261:Z324" si="43">IFERROR(O261/G261,0)</f>
        <v>116.65367412140574</v>
      </c>
      <c r="AA261" s="2" t="str">
        <f t="shared" ref="AA261:AA324" si="44">IF(L261="None","No Maintenance",IF(L261="Preventive","Planned","Breakdown"))</f>
        <v>Planned</v>
      </c>
    </row>
    <row r="262" spans="1:27" x14ac:dyDescent="0.25">
      <c r="A262" s="2">
        <v>258</v>
      </c>
      <c r="B262" s="4">
        <v>46108</v>
      </c>
      <c r="C262" s="2" t="s">
        <v>36</v>
      </c>
      <c r="D262" s="2" t="s">
        <v>35</v>
      </c>
      <c r="E262" s="2" t="s">
        <v>39</v>
      </c>
      <c r="F262" s="2">
        <v>967</v>
      </c>
      <c r="G262" s="2">
        <v>791.3</v>
      </c>
      <c r="H262" s="2">
        <v>776.5</v>
      </c>
      <c r="I262" s="2">
        <v>14.8</v>
      </c>
      <c r="J262" s="2">
        <v>0.82</v>
      </c>
      <c r="K262" s="2" t="s">
        <v>44</v>
      </c>
      <c r="L262" s="2" t="s">
        <v>38</v>
      </c>
      <c r="M262" s="2">
        <v>1606.3</v>
      </c>
      <c r="N262" s="2">
        <v>274.3</v>
      </c>
      <c r="O262" s="2">
        <v>88112.2</v>
      </c>
      <c r="P262" s="2">
        <v>180.3</v>
      </c>
      <c r="Q262" s="2">
        <v>1.68</v>
      </c>
      <c r="R262" s="2">
        <v>625.57000000000005</v>
      </c>
      <c r="S262" s="5">
        <f t="shared" si="36"/>
        <v>0.81830403309203714</v>
      </c>
      <c r="T262" s="5">
        <f t="shared" si="37"/>
        <v>0.89749999999999996</v>
      </c>
      <c r="U262" s="5">
        <f t="shared" si="38"/>
        <v>0.91175936834767379</v>
      </c>
      <c r="V262" s="5">
        <f t="shared" si="39"/>
        <v>0.98129660053077217</v>
      </c>
      <c r="W262" s="5">
        <f t="shared" si="40"/>
        <v>0.80299896587383657</v>
      </c>
      <c r="X262" s="5">
        <f t="shared" si="41"/>
        <v>1.8703399469227854E-2</v>
      </c>
      <c r="Y262" s="6">
        <f t="shared" si="42"/>
        <v>0.49262279773392265</v>
      </c>
      <c r="Z262" s="6">
        <f t="shared" si="43"/>
        <v>111.35119423733097</v>
      </c>
      <c r="AA262" s="2" t="str">
        <f t="shared" si="44"/>
        <v>Breakdown</v>
      </c>
    </row>
    <row r="263" spans="1:27" x14ac:dyDescent="0.25">
      <c r="A263" s="2">
        <v>259</v>
      </c>
      <c r="B263" s="4">
        <v>46109</v>
      </c>
      <c r="C263" s="2" t="s">
        <v>29</v>
      </c>
      <c r="D263" s="2" t="s">
        <v>30</v>
      </c>
      <c r="E263" s="2" t="s">
        <v>39</v>
      </c>
      <c r="F263" s="2">
        <v>901</v>
      </c>
      <c r="G263" s="2">
        <v>545.9</v>
      </c>
      <c r="H263" s="2">
        <v>537.20000000000005</v>
      </c>
      <c r="I263" s="2">
        <v>8.8000000000000007</v>
      </c>
      <c r="J263" s="2">
        <v>3.09</v>
      </c>
      <c r="K263" s="2" t="s">
        <v>42</v>
      </c>
      <c r="L263" s="2" t="s">
        <v>38</v>
      </c>
      <c r="M263" s="2">
        <v>1132.9000000000001</v>
      </c>
      <c r="N263" s="2">
        <v>170.8</v>
      </c>
      <c r="O263" s="2">
        <v>58188.800000000003</v>
      </c>
      <c r="P263" s="2">
        <v>175.8</v>
      </c>
      <c r="Q263" s="2">
        <v>1.68</v>
      </c>
      <c r="R263" s="2">
        <v>693.81</v>
      </c>
      <c r="S263" s="5">
        <f t="shared" si="36"/>
        <v>0.60588235294117643</v>
      </c>
      <c r="T263" s="5">
        <f t="shared" si="37"/>
        <v>0.61375000000000002</v>
      </c>
      <c r="U263" s="5">
        <f t="shared" si="38"/>
        <v>0.98718102312207978</v>
      </c>
      <c r="V263" s="5">
        <f t="shared" si="39"/>
        <v>0.98406301520424999</v>
      </c>
      <c r="W263" s="5">
        <f t="shared" si="40"/>
        <v>0.59622641509433971</v>
      </c>
      <c r="X263" s="5">
        <f t="shared" si="41"/>
        <v>1.6120168529034622E-2</v>
      </c>
      <c r="Y263" s="6">
        <f t="shared" si="42"/>
        <v>0.48186071144849496</v>
      </c>
      <c r="Z263" s="6">
        <f t="shared" si="43"/>
        <v>106.59241619344203</v>
      </c>
      <c r="AA263" s="2" t="str">
        <f t="shared" si="44"/>
        <v>Breakdown</v>
      </c>
    </row>
    <row r="264" spans="1:27" x14ac:dyDescent="0.25">
      <c r="A264" s="2">
        <v>260</v>
      </c>
      <c r="B264" s="4">
        <v>46109</v>
      </c>
      <c r="C264" s="2" t="s">
        <v>34</v>
      </c>
      <c r="D264" s="2" t="s">
        <v>30</v>
      </c>
      <c r="E264" s="2" t="s">
        <v>31</v>
      </c>
      <c r="F264" s="2">
        <v>1031</v>
      </c>
      <c r="G264" s="2">
        <v>626.29999999999995</v>
      </c>
      <c r="H264" s="2">
        <v>616.5</v>
      </c>
      <c r="I264" s="2">
        <v>9.8000000000000007</v>
      </c>
      <c r="J264" s="2">
        <v>3.33</v>
      </c>
      <c r="K264" s="2" t="s">
        <v>37</v>
      </c>
      <c r="L264" s="2" t="s">
        <v>38</v>
      </c>
      <c r="M264" s="2">
        <v>1251.4000000000001</v>
      </c>
      <c r="N264" s="2">
        <v>212.6</v>
      </c>
      <c r="O264" s="2">
        <v>75764.7</v>
      </c>
      <c r="P264" s="2">
        <v>179.4</v>
      </c>
      <c r="Q264" s="2">
        <v>1.92</v>
      </c>
      <c r="R264" s="2">
        <v>886.76</v>
      </c>
      <c r="S264" s="5">
        <f t="shared" si="36"/>
        <v>0.60746847720659547</v>
      </c>
      <c r="T264" s="5">
        <f t="shared" si="37"/>
        <v>0.58374999999999999</v>
      </c>
      <c r="U264" s="5">
        <f t="shared" si="38"/>
        <v>1.0406312243367803</v>
      </c>
      <c r="V264" s="5">
        <f t="shared" si="39"/>
        <v>0.9843525467028581</v>
      </c>
      <c r="W264" s="5">
        <f t="shared" si="40"/>
        <v>0.59796314258001937</v>
      </c>
      <c r="X264" s="5">
        <f t="shared" si="41"/>
        <v>1.5647453297141949E-2</v>
      </c>
      <c r="Y264" s="6">
        <f t="shared" si="42"/>
        <v>0.50047946300143831</v>
      </c>
      <c r="Z264" s="6">
        <f t="shared" si="43"/>
        <v>120.97189845122146</v>
      </c>
      <c r="AA264" s="2" t="str">
        <f t="shared" si="44"/>
        <v>Breakdown</v>
      </c>
    </row>
    <row r="265" spans="1:27" x14ac:dyDescent="0.25">
      <c r="A265" s="2">
        <v>261</v>
      </c>
      <c r="B265" s="4">
        <v>46109</v>
      </c>
      <c r="C265" s="2" t="s">
        <v>36</v>
      </c>
      <c r="D265" s="2" t="s">
        <v>30</v>
      </c>
      <c r="E265" s="2" t="s">
        <v>45</v>
      </c>
      <c r="F265" s="2">
        <v>1009</v>
      </c>
      <c r="G265" s="2">
        <v>857.8</v>
      </c>
      <c r="H265" s="2">
        <v>843.7</v>
      </c>
      <c r="I265" s="2">
        <v>14.1</v>
      </c>
      <c r="J265" s="2">
        <v>0.32</v>
      </c>
      <c r="K265" s="2" t="s">
        <v>32</v>
      </c>
      <c r="L265" s="2" t="s">
        <v>33</v>
      </c>
      <c r="M265" s="2">
        <v>1792.8</v>
      </c>
      <c r="N265" s="2">
        <v>297.2</v>
      </c>
      <c r="O265" s="2">
        <v>88386.2</v>
      </c>
      <c r="P265" s="2">
        <v>178.5</v>
      </c>
      <c r="Q265" s="2">
        <v>1.87</v>
      </c>
      <c r="R265" s="2">
        <v>0</v>
      </c>
      <c r="S265" s="5">
        <f t="shared" si="36"/>
        <v>0.85014866204162531</v>
      </c>
      <c r="T265" s="5">
        <f t="shared" si="37"/>
        <v>0.96</v>
      </c>
      <c r="U265" s="5">
        <f t="shared" si="38"/>
        <v>0.88557152296002639</v>
      </c>
      <c r="V265" s="5">
        <f t="shared" si="39"/>
        <v>0.98356260200512946</v>
      </c>
      <c r="W265" s="5">
        <f t="shared" si="40"/>
        <v>0.83617443012884041</v>
      </c>
      <c r="X265" s="5">
        <f t="shared" si="41"/>
        <v>1.6437397994870599E-2</v>
      </c>
      <c r="Y265" s="6">
        <f t="shared" si="42"/>
        <v>0.47846943328871039</v>
      </c>
      <c r="Z265" s="6">
        <f t="shared" si="43"/>
        <v>103.03823735136396</v>
      </c>
      <c r="AA265" s="2" t="str">
        <f t="shared" si="44"/>
        <v>No Maintenance</v>
      </c>
    </row>
    <row r="266" spans="1:27" x14ac:dyDescent="0.25">
      <c r="A266" s="2">
        <v>262</v>
      </c>
      <c r="B266" s="4">
        <v>46110</v>
      </c>
      <c r="C266" s="2" t="s">
        <v>29</v>
      </c>
      <c r="D266" s="2" t="s">
        <v>30</v>
      </c>
      <c r="E266" s="2" t="s">
        <v>31</v>
      </c>
      <c r="F266" s="2">
        <v>1048</v>
      </c>
      <c r="G266" s="2">
        <v>939</v>
      </c>
      <c r="H266" s="2">
        <v>928.4</v>
      </c>
      <c r="I266" s="2">
        <v>10.6</v>
      </c>
      <c r="J266" s="2">
        <v>0.57999999999999996</v>
      </c>
      <c r="K266" s="2" t="s">
        <v>46</v>
      </c>
      <c r="L266" s="2" t="s">
        <v>38</v>
      </c>
      <c r="M266" s="2">
        <v>1887.9</v>
      </c>
      <c r="N266" s="2">
        <v>308.3</v>
      </c>
      <c r="O266" s="2">
        <v>106296.1</v>
      </c>
      <c r="P266" s="2">
        <v>177.5</v>
      </c>
      <c r="Q266" s="2">
        <v>1.75</v>
      </c>
      <c r="R266" s="2">
        <v>716.62</v>
      </c>
      <c r="S266" s="5">
        <f t="shared" si="36"/>
        <v>0.89599236641221369</v>
      </c>
      <c r="T266" s="5">
        <f t="shared" si="37"/>
        <v>0.92749999999999999</v>
      </c>
      <c r="U266" s="5">
        <f t="shared" si="38"/>
        <v>0.96602950556572909</v>
      </c>
      <c r="V266" s="5">
        <f t="shared" si="39"/>
        <v>0.98871139510117145</v>
      </c>
      <c r="W266" s="5">
        <f t="shared" si="40"/>
        <v>0.88587786259541978</v>
      </c>
      <c r="X266" s="5">
        <f t="shared" si="41"/>
        <v>1.128860489882854E-2</v>
      </c>
      <c r="Y266" s="6">
        <f t="shared" si="42"/>
        <v>0.49737803909105355</v>
      </c>
      <c r="Z266" s="6">
        <f t="shared" si="43"/>
        <v>113.2013844515442</v>
      </c>
      <c r="AA266" s="2" t="str">
        <f t="shared" si="44"/>
        <v>Breakdown</v>
      </c>
    </row>
    <row r="267" spans="1:27" x14ac:dyDescent="0.25">
      <c r="A267" s="2">
        <v>263</v>
      </c>
      <c r="B267" s="4">
        <v>46110</v>
      </c>
      <c r="C267" s="2" t="s">
        <v>34</v>
      </c>
      <c r="D267" s="2" t="s">
        <v>30</v>
      </c>
      <c r="E267" s="2" t="s">
        <v>39</v>
      </c>
      <c r="F267" s="2">
        <v>1009</v>
      </c>
      <c r="G267" s="2">
        <v>905.2</v>
      </c>
      <c r="H267" s="2">
        <v>886.3</v>
      </c>
      <c r="I267" s="2">
        <v>18.899999999999999</v>
      </c>
      <c r="J267" s="2">
        <v>0.39</v>
      </c>
      <c r="K267" s="2" t="s">
        <v>32</v>
      </c>
      <c r="L267" s="2" t="s">
        <v>33</v>
      </c>
      <c r="M267" s="2">
        <v>1849.2</v>
      </c>
      <c r="N267" s="2">
        <v>287.3</v>
      </c>
      <c r="O267" s="2">
        <v>113208</v>
      </c>
      <c r="P267" s="2">
        <v>171.8</v>
      </c>
      <c r="Q267" s="2">
        <v>2.04</v>
      </c>
      <c r="R267" s="2">
        <v>0</v>
      </c>
      <c r="S267" s="5">
        <f t="shared" si="36"/>
        <v>0.8971258671952429</v>
      </c>
      <c r="T267" s="5">
        <f t="shared" si="37"/>
        <v>0.95125000000000004</v>
      </c>
      <c r="U267" s="5">
        <f t="shared" si="38"/>
        <v>0.94310209429197667</v>
      </c>
      <c r="V267" s="5">
        <f t="shared" si="39"/>
        <v>0.97912063632346436</v>
      </c>
      <c r="W267" s="5">
        <f t="shared" si="40"/>
        <v>0.87839444995044591</v>
      </c>
      <c r="X267" s="5">
        <f t="shared" si="41"/>
        <v>2.0879363676535569E-2</v>
      </c>
      <c r="Y267" s="6">
        <f t="shared" si="42"/>
        <v>0.48950897685485617</v>
      </c>
      <c r="Z267" s="6">
        <f t="shared" si="43"/>
        <v>125.06407423773751</v>
      </c>
      <c r="AA267" s="2" t="str">
        <f t="shared" si="44"/>
        <v>No Maintenance</v>
      </c>
    </row>
    <row r="268" spans="1:27" x14ac:dyDescent="0.25">
      <c r="A268" s="2">
        <v>264</v>
      </c>
      <c r="B268" s="4">
        <v>46110</v>
      </c>
      <c r="C268" s="2" t="s">
        <v>36</v>
      </c>
      <c r="D268" s="2" t="s">
        <v>35</v>
      </c>
      <c r="E268" s="2" t="s">
        <v>39</v>
      </c>
      <c r="F268" s="2">
        <v>1003</v>
      </c>
      <c r="G268" s="2">
        <v>612.1</v>
      </c>
      <c r="H268" s="2">
        <v>603.70000000000005</v>
      </c>
      <c r="I268" s="2">
        <v>8.4</v>
      </c>
      <c r="J268" s="2">
        <v>2.89</v>
      </c>
      <c r="K268" s="2" t="s">
        <v>44</v>
      </c>
      <c r="L268" s="2" t="s">
        <v>43</v>
      </c>
      <c r="M268" s="2">
        <v>1314.4</v>
      </c>
      <c r="N268" s="2">
        <v>185.9</v>
      </c>
      <c r="O268" s="2">
        <v>77288</v>
      </c>
      <c r="P268" s="2">
        <v>174.2</v>
      </c>
      <c r="Q268" s="2">
        <v>1.66</v>
      </c>
      <c r="R268" s="2">
        <v>857.48</v>
      </c>
      <c r="S268" s="5">
        <f t="shared" si="36"/>
        <v>0.61026919242273181</v>
      </c>
      <c r="T268" s="5">
        <f t="shared" si="37"/>
        <v>0.63874999999999993</v>
      </c>
      <c r="U268" s="5">
        <f t="shared" si="38"/>
        <v>0.95541165154243746</v>
      </c>
      <c r="V268" s="5">
        <f t="shared" si="39"/>
        <v>0.98627675216467903</v>
      </c>
      <c r="W268" s="5">
        <f t="shared" si="40"/>
        <v>0.60189431704885343</v>
      </c>
      <c r="X268" s="5">
        <f t="shared" si="41"/>
        <v>1.3723247835321027E-2</v>
      </c>
      <c r="Y268" s="6">
        <f t="shared" si="42"/>
        <v>0.46568776628119291</v>
      </c>
      <c r="Z268" s="6">
        <f t="shared" si="43"/>
        <v>126.2669498447966</v>
      </c>
      <c r="AA268" s="2" t="str">
        <f t="shared" si="44"/>
        <v>Breakdown</v>
      </c>
    </row>
    <row r="269" spans="1:27" x14ac:dyDescent="0.25">
      <c r="A269" s="2">
        <v>265</v>
      </c>
      <c r="B269" s="4">
        <v>46111</v>
      </c>
      <c r="C269" s="2" t="s">
        <v>29</v>
      </c>
      <c r="D269" s="2" t="s">
        <v>35</v>
      </c>
      <c r="E269" s="2" t="s">
        <v>45</v>
      </c>
      <c r="F269" s="2">
        <v>965</v>
      </c>
      <c r="G269" s="2">
        <v>832.9</v>
      </c>
      <c r="H269" s="2">
        <v>822.5</v>
      </c>
      <c r="I269" s="2">
        <v>10.4</v>
      </c>
      <c r="J269" s="2">
        <v>0.31</v>
      </c>
      <c r="K269" s="2" t="s">
        <v>32</v>
      </c>
      <c r="L269" s="2" t="s">
        <v>33</v>
      </c>
      <c r="M269" s="2">
        <v>1716.4</v>
      </c>
      <c r="N269" s="2">
        <v>272</v>
      </c>
      <c r="O269" s="2">
        <v>101836.8</v>
      </c>
      <c r="P269" s="2">
        <v>176</v>
      </c>
      <c r="Q269" s="2">
        <v>1.96</v>
      </c>
      <c r="R269" s="2">
        <v>0</v>
      </c>
      <c r="S269" s="5">
        <f t="shared" si="36"/>
        <v>0.86310880829015546</v>
      </c>
      <c r="T269" s="5">
        <f t="shared" si="37"/>
        <v>0.96125000000000005</v>
      </c>
      <c r="U269" s="5">
        <f t="shared" si="38"/>
        <v>0.89790253138117593</v>
      </c>
      <c r="V269" s="5">
        <f t="shared" si="39"/>
        <v>0.98751350702365237</v>
      </c>
      <c r="W269" s="5">
        <f t="shared" si="40"/>
        <v>0.8523316062176165</v>
      </c>
      <c r="X269" s="5">
        <f t="shared" si="41"/>
        <v>1.2486492976347702E-2</v>
      </c>
      <c r="Y269" s="6">
        <f t="shared" si="42"/>
        <v>0.48525984618969931</v>
      </c>
      <c r="Z269" s="6">
        <f t="shared" si="43"/>
        <v>122.26773922439669</v>
      </c>
      <c r="AA269" s="2" t="str">
        <f t="shared" si="44"/>
        <v>No Maintenance</v>
      </c>
    </row>
    <row r="270" spans="1:27" x14ac:dyDescent="0.25">
      <c r="A270" s="2">
        <v>266</v>
      </c>
      <c r="B270" s="4">
        <v>46111</v>
      </c>
      <c r="C270" s="2" t="s">
        <v>34</v>
      </c>
      <c r="D270" s="2" t="s">
        <v>30</v>
      </c>
      <c r="E270" s="2" t="s">
        <v>31</v>
      </c>
      <c r="F270" s="2">
        <v>981</v>
      </c>
      <c r="G270" s="2">
        <v>569.6</v>
      </c>
      <c r="H270" s="2">
        <v>561.20000000000005</v>
      </c>
      <c r="I270" s="2">
        <v>8.4</v>
      </c>
      <c r="J270" s="2">
        <v>4.2</v>
      </c>
      <c r="K270" s="2" t="s">
        <v>40</v>
      </c>
      <c r="L270" s="2" t="s">
        <v>41</v>
      </c>
      <c r="M270" s="2">
        <v>1143.7</v>
      </c>
      <c r="N270" s="2">
        <v>167</v>
      </c>
      <c r="O270" s="2">
        <v>74954.3</v>
      </c>
      <c r="P270" s="2">
        <v>189</v>
      </c>
      <c r="Q270" s="2">
        <v>2.16</v>
      </c>
      <c r="R270" s="2">
        <v>174.2</v>
      </c>
      <c r="S270" s="5">
        <f t="shared" si="36"/>
        <v>0.58063200815494398</v>
      </c>
      <c r="T270" s="5">
        <f t="shared" si="37"/>
        <v>0.47499999999999998</v>
      </c>
      <c r="U270" s="5">
        <f t="shared" si="38"/>
        <v>1.2223831750630401</v>
      </c>
      <c r="V270" s="5">
        <f t="shared" si="39"/>
        <v>0.98525280898876411</v>
      </c>
      <c r="W270" s="5">
        <f t="shared" si="40"/>
        <v>0.57206931702344554</v>
      </c>
      <c r="X270" s="5">
        <f t="shared" si="41"/>
        <v>1.4747191011235955E-2</v>
      </c>
      <c r="Y270" s="6">
        <f t="shared" si="42"/>
        <v>0.4980327008830987</v>
      </c>
      <c r="Z270" s="6">
        <f t="shared" si="43"/>
        <v>131.5911165730337</v>
      </c>
      <c r="AA270" s="2" t="str">
        <f t="shared" si="44"/>
        <v>Planned</v>
      </c>
    </row>
    <row r="271" spans="1:27" x14ac:dyDescent="0.25">
      <c r="A271" s="2">
        <v>267</v>
      </c>
      <c r="B271" s="4">
        <v>46111</v>
      </c>
      <c r="C271" s="2" t="s">
        <v>36</v>
      </c>
      <c r="D271" s="2" t="s">
        <v>30</v>
      </c>
      <c r="E271" s="2" t="s">
        <v>45</v>
      </c>
      <c r="F271" s="2">
        <v>925</v>
      </c>
      <c r="G271" s="2">
        <v>597.29999999999995</v>
      </c>
      <c r="H271" s="2">
        <v>578.6</v>
      </c>
      <c r="I271" s="2">
        <v>18.7</v>
      </c>
      <c r="J271" s="2">
        <v>1.55</v>
      </c>
      <c r="K271" s="2" t="s">
        <v>46</v>
      </c>
      <c r="L271" s="2" t="s">
        <v>43</v>
      </c>
      <c r="M271" s="2">
        <v>1230.5</v>
      </c>
      <c r="N271" s="2">
        <v>195.4</v>
      </c>
      <c r="O271" s="2">
        <v>69895.100000000006</v>
      </c>
      <c r="P271" s="2">
        <v>186.4</v>
      </c>
      <c r="Q271" s="2">
        <v>1.49</v>
      </c>
      <c r="R271" s="2">
        <v>1538.1</v>
      </c>
      <c r="S271" s="5">
        <f t="shared" si="36"/>
        <v>0.64572972972972964</v>
      </c>
      <c r="T271" s="5">
        <f t="shared" si="37"/>
        <v>0.80625000000000002</v>
      </c>
      <c r="U271" s="5">
        <f t="shared" si="38"/>
        <v>0.80090509113764918</v>
      </c>
      <c r="V271" s="5">
        <f t="shared" si="39"/>
        <v>0.96869244935543286</v>
      </c>
      <c r="W271" s="5">
        <f t="shared" si="40"/>
        <v>0.62551351351351347</v>
      </c>
      <c r="X271" s="5">
        <f t="shared" si="41"/>
        <v>3.1307550644567222E-2</v>
      </c>
      <c r="Y271" s="6">
        <f t="shared" si="42"/>
        <v>0.48541243396993089</v>
      </c>
      <c r="Z271" s="6">
        <f t="shared" si="43"/>
        <v>117.01841620626153</v>
      </c>
      <c r="AA271" s="2" t="str">
        <f t="shared" si="44"/>
        <v>Breakdown</v>
      </c>
    </row>
    <row r="272" spans="1:27" x14ac:dyDescent="0.25">
      <c r="A272" s="2">
        <v>268</v>
      </c>
      <c r="B272" s="4">
        <v>46112</v>
      </c>
      <c r="C272" s="2" t="s">
        <v>29</v>
      </c>
      <c r="D272" s="2" t="s">
        <v>35</v>
      </c>
      <c r="E272" s="2" t="s">
        <v>39</v>
      </c>
      <c r="F272" s="2">
        <v>939</v>
      </c>
      <c r="G272" s="2">
        <v>924.4</v>
      </c>
      <c r="H272" s="2">
        <v>911.1</v>
      </c>
      <c r="I272" s="2">
        <v>13.4</v>
      </c>
      <c r="J272" s="2">
        <v>0.18</v>
      </c>
      <c r="K272" s="2" t="s">
        <v>32</v>
      </c>
      <c r="L272" s="2" t="s">
        <v>33</v>
      </c>
      <c r="M272" s="2">
        <v>1911.1</v>
      </c>
      <c r="N272" s="2">
        <v>283.2</v>
      </c>
      <c r="O272" s="2">
        <v>113249.5</v>
      </c>
      <c r="P272" s="2">
        <v>174.3</v>
      </c>
      <c r="Q272" s="2">
        <v>1.75</v>
      </c>
      <c r="R272" s="2">
        <v>0</v>
      </c>
      <c r="S272" s="5">
        <f t="shared" si="36"/>
        <v>0.98445154419595315</v>
      </c>
      <c r="T272" s="5">
        <f t="shared" si="37"/>
        <v>0.97750000000000004</v>
      </c>
      <c r="U272" s="5">
        <f t="shared" si="38"/>
        <v>1.0071115541646578</v>
      </c>
      <c r="V272" s="5">
        <f t="shared" si="39"/>
        <v>0.98561228905235831</v>
      </c>
      <c r="W272" s="5">
        <f t="shared" si="40"/>
        <v>0.97028753993610217</v>
      </c>
      <c r="X272" s="5">
        <f t="shared" si="41"/>
        <v>1.4495889225443532E-2</v>
      </c>
      <c r="Y272" s="6">
        <f t="shared" si="42"/>
        <v>0.48370048663073623</v>
      </c>
      <c r="Z272" s="6">
        <f t="shared" si="43"/>
        <v>122.51135871916919</v>
      </c>
      <c r="AA272" s="2" t="str">
        <f t="shared" si="44"/>
        <v>No Maintenance</v>
      </c>
    </row>
    <row r="273" spans="1:27" x14ac:dyDescent="0.25">
      <c r="A273" s="2">
        <v>269</v>
      </c>
      <c r="B273" s="4">
        <v>46112</v>
      </c>
      <c r="C273" s="2" t="s">
        <v>34</v>
      </c>
      <c r="D273" s="2" t="s">
        <v>35</v>
      </c>
      <c r="E273" s="2" t="s">
        <v>39</v>
      </c>
      <c r="F273" s="2">
        <v>1000</v>
      </c>
      <c r="G273" s="2">
        <v>850.2</v>
      </c>
      <c r="H273" s="2">
        <v>833.8</v>
      </c>
      <c r="I273" s="2">
        <v>16.399999999999999</v>
      </c>
      <c r="J273" s="2">
        <v>1.1299999999999999</v>
      </c>
      <c r="K273" s="2" t="s">
        <v>46</v>
      </c>
      <c r="L273" s="2" t="s">
        <v>38</v>
      </c>
      <c r="M273" s="2">
        <v>1763.4</v>
      </c>
      <c r="N273" s="2">
        <v>258.10000000000002</v>
      </c>
      <c r="O273" s="2">
        <v>107843.7</v>
      </c>
      <c r="P273" s="2">
        <v>183.1</v>
      </c>
      <c r="Q273" s="2">
        <v>1.75</v>
      </c>
      <c r="R273" s="2">
        <v>305.48</v>
      </c>
      <c r="S273" s="5">
        <f t="shared" si="36"/>
        <v>0.85020000000000007</v>
      </c>
      <c r="T273" s="5">
        <f t="shared" si="37"/>
        <v>0.85875000000000001</v>
      </c>
      <c r="U273" s="5">
        <f t="shared" si="38"/>
        <v>0.99004366812227085</v>
      </c>
      <c r="V273" s="5">
        <f t="shared" si="39"/>
        <v>0.98071042107739348</v>
      </c>
      <c r="W273" s="5">
        <f t="shared" si="40"/>
        <v>0.83379999999999999</v>
      </c>
      <c r="X273" s="5">
        <f t="shared" si="41"/>
        <v>1.9289578922606444E-2</v>
      </c>
      <c r="Y273" s="6">
        <f t="shared" si="42"/>
        <v>0.48213678121810138</v>
      </c>
      <c r="Z273" s="6">
        <f t="shared" si="43"/>
        <v>126.84509527170077</v>
      </c>
      <c r="AA273" s="2" t="str">
        <f t="shared" si="44"/>
        <v>Breakdown</v>
      </c>
    </row>
    <row r="274" spans="1:27" x14ac:dyDescent="0.25">
      <c r="A274" s="2">
        <v>270</v>
      </c>
      <c r="B274" s="4">
        <v>46112</v>
      </c>
      <c r="C274" s="2" t="s">
        <v>36</v>
      </c>
      <c r="D274" s="2" t="s">
        <v>35</v>
      </c>
      <c r="E274" s="2" t="s">
        <v>31</v>
      </c>
      <c r="F274" s="2">
        <v>906</v>
      </c>
      <c r="G274" s="2">
        <v>577.20000000000005</v>
      </c>
      <c r="H274" s="2">
        <v>568.9</v>
      </c>
      <c r="I274" s="2">
        <v>8.3000000000000007</v>
      </c>
      <c r="J274" s="2">
        <v>2.14</v>
      </c>
      <c r="K274" s="2" t="s">
        <v>46</v>
      </c>
      <c r="L274" s="2" t="s">
        <v>38</v>
      </c>
      <c r="M274" s="2">
        <v>1233.0999999999999</v>
      </c>
      <c r="N274" s="2">
        <v>179.5</v>
      </c>
      <c r="O274" s="2">
        <v>68977.600000000006</v>
      </c>
      <c r="P274" s="2">
        <v>180.8</v>
      </c>
      <c r="Q274" s="2">
        <v>1.82</v>
      </c>
      <c r="R274" s="2">
        <v>884.62</v>
      </c>
      <c r="S274" s="5">
        <f t="shared" si="36"/>
        <v>0.63708609271523187</v>
      </c>
      <c r="T274" s="5">
        <f t="shared" si="37"/>
        <v>0.73249999999999993</v>
      </c>
      <c r="U274" s="5">
        <f t="shared" si="38"/>
        <v>0.86974210609587965</v>
      </c>
      <c r="V274" s="5">
        <f t="shared" si="39"/>
        <v>0.98562023562023549</v>
      </c>
      <c r="W274" s="5">
        <f t="shared" si="40"/>
        <v>0.62792494481236194</v>
      </c>
      <c r="X274" s="5">
        <f t="shared" si="41"/>
        <v>1.4379764379764379E-2</v>
      </c>
      <c r="Y274" s="6">
        <f t="shared" si="42"/>
        <v>0.4680885572946234</v>
      </c>
      <c r="Z274" s="6">
        <f t="shared" si="43"/>
        <v>119.50381150381151</v>
      </c>
      <c r="AA274" s="2" t="str">
        <f t="shared" si="44"/>
        <v>Breakdown</v>
      </c>
    </row>
    <row r="275" spans="1:27" x14ac:dyDescent="0.25">
      <c r="A275" s="2">
        <v>271</v>
      </c>
      <c r="B275" s="4">
        <v>46113</v>
      </c>
      <c r="C275" s="2" t="s">
        <v>29</v>
      </c>
      <c r="D275" s="2" t="s">
        <v>30</v>
      </c>
      <c r="E275" s="2" t="s">
        <v>31</v>
      </c>
      <c r="F275" s="2">
        <v>1019</v>
      </c>
      <c r="G275" s="2">
        <v>591.1</v>
      </c>
      <c r="H275" s="2">
        <v>583.70000000000005</v>
      </c>
      <c r="I275" s="2">
        <v>7.4</v>
      </c>
      <c r="J275" s="2">
        <v>4.37</v>
      </c>
      <c r="K275" s="2" t="s">
        <v>40</v>
      </c>
      <c r="L275" s="2" t="s">
        <v>41</v>
      </c>
      <c r="M275" s="2">
        <v>1188.4000000000001</v>
      </c>
      <c r="N275" s="2">
        <v>183.4</v>
      </c>
      <c r="O275" s="2">
        <v>75588.100000000006</v>
      </c>
      <c r="P275" s="2">
        <v>178.7</v>
      </c>
      <c r="Q275" s="2">
        <v>1.58</v>
      </c>
      <c r="R275" s="2">
        <v>161.25</v>
      </c>
      <c r="S275" s="5">
        <f t="shared" si="36"/>
        <v>0.58007850834151131</v>
      </c>
      <c r="T275" s="5">
        <f t="shared" si="37"/>
        <v>0.45374999999999999</v>
      </c>
      <c r="U275" s="5">
        <f t="shared" si="38"/>
        <v>1.2784099357388681</v>
      </c>
      <c r="V275" s="5">
        <f t="shared" si="39"/>
        <v>0.9874809676873626</v>
      </c>
      <c r="W275" s="5">
        <f t="shared" si="40"/>
        <v>0.57281648675171759</v>
      </c>
      <c r="X275" s="5">
        <f t="shared" si="41"/>
        <v>1.2519032312637455E-2</v>
      </c>
      <c r="Y275" s="6">
        <f t="shared" si="42"/>
        <v>0.49739145069000334</v>
      </c>
      <c r="Z275" s="6">
        <f t="shared" si="43"/>
        <v>127.87700896633396</v>
      </c>
      <c r="AA275" s="2" t="str">
        <f t="shared" si="44"/>
        <v>Planned</v>
      </c>
    </row>
    <row r="276" spans="1:27" x14ac:dyDescent="0.25">
      <c r="A276" s="2">
        <v>272</v>
      </c>
      <c r="B276" s="4">
        <v>46113</v>
      </c>
      <c r="C276" s="2" t="s">
        <v>34</v>
      </c>
      <c r="D276" s="2" t="s">
        <v>35</v>
      </c>
      <c r="E276" s="2" t="s">
        <v>45</v>
      </c>
      <c r="F276" s="2">
        <v>971</v>
      </c>
      <c r="G276" s="2">
        <v>650.79999999999995</v>
      </c>
      <c r="H276" s="2">
        <v>644.29999999999995</v>
      </c>
      <c r="I276" s="2">
        <v>6.5</v>
      </c>
      <c r="J276" s="2">
        <v>3.46</v>
      </c>
      <c r="K276" s="2" t="s">
        <v>46</v>
      </c>
      <c r="L276" s="2" t="s">
        <v>38</v>
      </c>
      <c r="M276" s="2">
        <v>1368.3</v>
      </c>
      <c r="N276" s="2">
        <v>217.3</v>
      </c>
      <c r="O276" s="2">
        <v>72127.3</v>
      </c>
      <c r="P276" s="2">
        <v>186.3</v>
      </c>
      <c r="Q276" s="2">
        <v>1.85</v>
      </c>
      <c r="R276" s="2">
        <v>707.59</v>
      </c>
      <c r="S276" s="5">
        <f t="shared" si="36"/>
        <v>0.67023686920700309</v>
      </c>
      <c r="T276" s="5">
        <f t="shared" si="37"/>
        <v>0.5675</v>
      </c>
      <c r="U276" s="5">
        <f t="shared" si="38"/>
        <v>1.1810341307612389</v>
      </c>
      <c r="V276" s="5">
        <f t="shared" si="39"/>
        <v>0.99001229256299939</v>
      </c>
      <c r="W276" s="5">
        <f t="shared" si="40"/>
        <v>0.66354273944387232</v>
      </c>
      <c r="X276" s="5">
        <f t="shared" si="41"/>
        <v>9.9877074370006147E-3</v>
      </c>
      <c r="Y276" s="6">
        <f t="shared" si="42"/>
        <v>0.47562669005335084</v>
      </c>
      <c r="Z276" s="6">
        <f t="shared" si="43"/>
        <v>110.82867240319608</v>
      </c>
      <c r="AA276" s="2" t="str">
        <f t="shared" si="44"/>
        <v>Breakdown</v>
      </c>
    </row>
    <row r="277" spans="1:27" x14ac:dyDescent="0.25">
      <c r="A277" s="2">
        <v>273</v>
      </c>
      <c r="B277" s="4">
        <v>46113</v>
      </c>
      <c r="C277" s="2" t="s">
        <v>36</v>
      </c>
      <c r="D277" s="2" t="s">
        <v>35</v>
      </c>
      <c r="E277" s="2" t="s">
        <v>31</v>
      </c>
      <c r="F277" s="2">
        <v>1036</v>
      </c>
      <c r="G277" s="2">
        <v>855.6</v>
      </c>
      <c r="H277" s="2">
        <v>850.1</v>
      </c>
      <c r="I277" s="2">
        <v>5.5</v>
      </c>
      <c r="J277" s="2">
        <v>0.1</v>
      </c>
      <c r="K277" s="2" t="s">
        <v>32</v>
      </c>
      <c r="L277" s="2" t="s">
        <v>33</v>
      </c>
      <c r="M277" s="2">
        <v>1763.3</v>
      </c>
      <c r="N277" s="2">
        <v>265</v>
      </c>
      <c r="O277" s="2">
        <v>109764.9</v>
      </c>
      <c r="P277" s="2">
        <v>175.9</v>
      </c>
      <c r="Q277" s="2">
        <v>1.41</v>
      </c>
      <c r="R277" s="2">
        <v>0</v>
      </c>
      <c r="S277" s="5">
        <f t="shared" si="36"/>
        <v>0.82586872586872584</v>
      </c>
      <c r="T277" s="5">
        <f t="shared" si="37"/>
        <v>0.98750000000000004</v>
      </c>
      <c r="U277" s="5">
        <f t="shared" si="38"/>
        <v>0.83632276037339326</v>
      </c>
      <c r="V277" s="5">
        <f t="shared" si="39"/>
        <v>0.99357176250584389</v>
      </c>
      <c r="W277" s="5">
        <f t="shared" si="40"/>
        <v>0.82055984555984551</v>
      </c>
      <c r="X277" s="5">
        <f t="shared" si="41"/>
        <v>6.4282374941561473E-3</v>
      </c>
      <c r="Y277" s="6">
        <f t="shared" si="42"/>
        <v>0.48522656382918394</v>
      </c>
      <c r="Z277" s="6">
        <f t="shared" si="43"/>
        <v>128.28997194950909</v>
      </c>
      <c r="AA277" s="2" t="str">
        <f t="shared" si="44"/>
        <v>No Maintenance</v>
      </c>
    </row>
    <row r="278" spans="1:27" x14ac:dyDescent="0.25">
      <c r="A278" s="2">
        <v>274</v>
      </c>
      <c r="B278" s="4">
        <v>46114</v>
      </c>
      <c r="C278" s="2" t="s">
        <v>29</v>
      </c>
      <c r="D278" s="2" t="s">
        <v>30</v>
      </c>
      <c r="E278" s="2" t="s">
        <v>31</v>
      </c>
      <c r="F278" s="2">
        <v>946</v>
      </c>
      <c r="G278" s="2">
        <v>683.1</v>
      </c>
      <c r="H278" s="2">
        <v>669.4</v>
      </c>
      <c r="I278" s="2">
        <v>13.7</v>
      </c>
      <c r="J278" s="2">
        <v>1.41</v>
      </c>
      <c r="K278" s="2" t="s">
        <v>42</v>
      </c>
      <c r="L278" s="2" t="s">
        <v>38</v>
      </c>
      <c r="M278" s="2">
        <v>1377.1</v>
      </c>
      <c r="N278" s="2">
        <v>204.6</v>
      </c>
      <c r="O278" s="2">
        <v>77845</v>
      </c>
      <c r="P278" s="2">
        <v>180.8</v>
      </c>
      <c r="Q278" s="2">
        <v>1.9</v>
      </c>
      <c r="R278" s="2">
        <v>413.92</v>
      </c>
      <c r="S278" s="5">
        <f t="shared" si="36"/>
        <v>0.72209302325581393</v>
      </c>
      <c r="T278" s="5">
        <f t="shared" si="37"/>
        <v>0.82374999999999998</v>
      </c>
      <c r="U278" s="5">
        <f t="shared" si="38"/>
        <v>0.87659244097822642</v>
      </c>
      <c r="V278" s="5">
        <f t="shared" si="39"/>
        <v>0.97994437124871903</v>
      </c>
      <c r="W278" s="5">
        <f t="shared" si="40"/>
        <v>0.70761099365750535</v>
      </c>
      <c r="X278" s="5">
        <f t="shared" si="41"/>
        <v>2.0055628751280922E-2</v>
      </c>
      <c r="Y278" s="6">
        <f t="shared" si="42"/>
        <v>0.49604240795875393</v>
      </c>
      <c r="Z278" s="6">
        <f t="shared" si="43"/>
        <v>113.95842482799004</v>
      </c>
      <c r="AA278" s="2" t="str">
        <f t="shared" si="44"/>
        <v>Breakdown</v>
      </c>
    </row>
    <row r="279" spans="1:27" x14ac:dyDescent="0.25">
      <c r="A279" s="2">
        <v>275</v>
      </c>
      <c r="B279" s="4">
        <v>46114</v>
      </c>
      <c r="C279" s="2" t="s">
        <v>34</v>
      </c>
      <c r="D279" s="2" t="s">
        <v>35</v>
      </c>
      <c r="E279" s="2" t="s">
        <v>45</v>
      </c>
      <c r="F279" s="2">
        <v>1030</v>
      </c>
      <c r="G279" s="2">
        <v>838.8</v>
      </c>
      <c r="H279" s="2">
        <v>824.6</v>
      </c>
      <c r="I279" s="2">
        <v>14.2</v>
      </c>
      <c r="J279" s="2">
        <v>0.69</v>
      </c>
      <c r="K279" s="2" t="s">
        <v>44</v>
      </c>
      <c r="L279" s="2" t="s">
        <v>38</v>
      </c>
      <c r="M279" s="2">
        <v>1753.5</v>
      </c>
      <c r="N279" s="2">
        <v>282.2</v>
      </c>
      <c r="O279" s="2">
        <v>100184.5</v>
      </c>
      <c r="P279" s="2">
        <v>185.1</v>
      </c>
      <c r="Q279" s="2">
        <v>1.91</v>
      </c>
      <c r="R279" s="2">
        <v>678.16</v>
      </c>
      <c r="S279" s="5">
        <f t="shared" si="36"/>
        <v>0.81436893203883487</v>
      </c>
      <c r="T279" s="5">
        <f t="shared" si="37"/>
        <v>0.91375000000000006</v>
      </c>
      <c r="U279" s="5">
        <f t="shared" si="38"/>
        <v>0.89123822931746632</v>
      </c>
      <c r="V279" s="5">
        <f t="shared" si="39"/>
        <v>0.98307105388650462</v>
      </c>
      <c r="W279" s="5">
        <f t="shared" si="40"/>
        <v>0.80058252427184462</v>
      </c>
      <c r="X279" s="5">
        <f t="shared" si="41"/>
        <v>1.692894611349547E-2</v>
      </c>
      <c r="Y279" s="6">
        <f t="shared" si="42"/>
        <v>0.47835757057313943</v>
      </c>
      <c r="Z279" s="6">
        <f t="shared" si="43"/>
        <v>119.43788745827374</v>
      </c>
      <c r="AA279" s="2" t="str">
        <f t="shared" si="44"/>
        <v>Breakdown</v>
      </c>
    </row>
    <row r="280" spans="1:27" x14ac:dyDescent="0.25">
      <c r="A280" s="2">
        <v>276</v>
      </c>
      <c r="B280" s="4">
        <v>46114</v>
      </c>
      <c r="C280" s="2" t="s">
        <v>36</v>
      </c>
      <c r="D280" s="2" t="s">
        <v>35</v>
      </c>
      <c r="E280" s="2" t="s">
        <v>31</v>
      </c>
      <c r="F280" s="2">
        <v>1032</v>
      </c>
      <c r="G280" s="2">
        <v>592.20000000000005</v>
      </c>
      <c r="H280" s="2">
        <v>586.79999999999995</v>
      </c>
      <c r="I280" s="2">
        <v>5.4</v>
      </c>
      <c r="J280" s="2">
        <v>4.59</v>
      </c>
      <c r="K280" s="2" t="s">
        <v>40</v>
      </c>
      <c r="L280" s="2" t="s">
        <v>41</v>
      </c>
      <c r="M280" s="2">
        <v>1212.7</v>
      </c>
      <c r="N280" s="2">
        <v>184.4</v>
      </c>
      <c r="O280" s="2">
        <v>65762.899999999994</v>
      </c>
      <c r="P280" s="2">
        <v>177.6</v>
      </c>
      <c r="Q280" s="2">
        <v>1.56</v>
      </c>
      <c r="R280" s="2">
        <v>220.39</v>
      </c>
      <c r="S280" s="5">
        <f t="shared" si="36"/>
        <v>0.57383720930232562</v>
      </c>
      <c r="T280" s="5">
        <f t="shared" si="37"/>
        <v>0.42625000000000002</v>
      </c>
      <c r="U280" s="5">
        <f t="shared" si="38"/>
        <v>1.3462456523221715</v>
      </c>
      <c r="V280" s="5">
        <f t="shared" si="39"/>
        <v>0.99088145896656521</v>
      </c>
      <c r="W280" s="5">
        <f t="shared" si="40"/>
        <v>0.56860465116279069</v>
      </c>
      <c r="X280" s="5">
        <f t="shared" si="41"/>
        <v>9.11854103343465E-3</v>
      </c>
      <c r="Y280" s="6">
        <f t="shared" si="42"/>
        <v>0.48833182155520743</v>
      </c>
      <c r="Z280" s="6">
        <f t="shared" si="43"/>
        <v>111.04846335697398</v>
      </c>
      <c r="AA280" s="2" t="str">
        <f t="shared" si="44"/>
        <v>Planned</v>
      </c>
    </row>
    <row r="281" spans="1:27" x14ac:dyDescent="0.25">
      <c r="A281" s="2">
        <v>277</v>
      </c>
      <c r="B281" s="4">
        <v>46115</v>
      </c>
      <c r="C281" s="2" t="s">
        <v>29</v>
      </c>
      <c r="D281" s="2" t="s">
        <v>35</v>
      </c>
      <c r="E281" s="2" t="s">
        <v>45</v>
      </c>
      <c r="F281" s="2">
        <v>1046</v>
      </c>
      <c r="G281" s="2">
        <v>902.3</v>
      </c>
      <c r="H281" s="2">
        <v>893</v>
      </c>
      <c r="I281" s="2">
        <v>9.3000000000000007</v>
      </c>
      <c r="J281" s="2">
        <v>0.52</v>
      </c>
      <c r="K281" s="2" t="s">
        <v>47</v>
      </c>
      <c r="L281" s="2" t="s">
        <v>38</v>
      </c>
      <c r="M281" s="2">
        <v>1878.1</v>
      </c>
      <c r="N281" s="2">
        <v>317.5</v>
      </c>
      <c r="O281" s="2">
        <v>116211.6</v>
      </c>
      <c r="P281" s="2">
        <v>176.1</v>
      </c>
      <c r="Q281" s="2">
        <v>1.46</v>
      </c>
      <c r="R281" s="2">
        <v>401.14</v>
      </c>
      <c r="S281" s="5">
        <f t="shared" si="36"/>
        <v>0.86261950286806877</v>
      </c>
      <c r="T281" s="5">
        <f t="shared" si="37"/>
        <v>0.93500000000000005</v>
      </c>
      <c r="U281" s="5">
        <f t="shared" si="38"/>
        <v>0.92258770360221254</v>
      </c>
      <c r="V281" s="5">
        <f t="shared" si="39"/>
        <v>0.98969300676050098</v>
      </c>
      <c r="W281" s="5">
        <f t="shared" si="40"/>
        <v>0.85372848948374758</v>
      </c>
      <c r="X281" s="5">
        <f t="shared" si="41"/>
        <v>1.030699323949906E-2</v>
      </c>
      <c r="Y281" s="6">
        <f t="shared" si="42"/>
        <v>0.4804323518449497</v>
      </c>
      <c r="Z281" s="6">
        <f t="shared" si="43"/>
        <v>128.79485758616869</v>
      </c>
      <c r="AA281" s="2" t="str">
        <f t="shared" si="44"/>
        <v>Breakdown</v>
      </c>
    </row>
    <row r="282" spans="1:27" x14ac:dyDescent="0.25">
      <c r="A282" s="2">
        <v>278</v>
      </c>
      <c r="B282" s="4">
        <v>46115</v>
      </c>
      <c r="C282" s="2" t="s">
        <v>34</v>
      </c>
      <c r="D282" s="2" t="s">
        <v>30</v>
      </c>
      <c r="E282" s="2" t="s">
        <v>31</v>
      </c>
      <c r="F282" s="2">
        <v>1048</v>
      </c>
      <c r="G282" s="2">
        <v>677.7</v>
      </c>
      <c r="H282" s="2">
        <v>673.1</v>
      </c>
      <c r="I282" s="2">
        <v>4.7</v>
      </c>
      <c r="J282" s="2">
        <v>3.63</v>
      </c>
      <c r="K282" s="2" t="s">
        <v>48</v>
      </c>
      <c r="L282" s="2" t="s">
        <v>38</v>
      </c>
      <c r="M282" s="2">
        <v>1364.9</v>
      </c>
      <c r="N282" s="2">
        <v>228.8</v>
      </c>
      <c r="O282" s="2">
        <v>76758.7</v>
      </c>
      <c r="P282" s="2">
        <v>179.1</v>
      </c>
      <c r="Q282" s="2">
        <v>1.35</v>
      </c>
      <c r="R282" s="2">
        <v>717.91</v>
      </c>
      <c r="S282" s="5">
        <f t="shared" si="36"/>
        <v>0.64666030534351149</v>
      </c>
      <c r="T282" s="5">
        <f t="shared" si="37"/>
        <v>0.54625000000000001</v>
      </c>
      <c r="U282" s="5">
        <f t="shared" si="38"/>
        <v>1.1838174926197007</v>
      </c>
      <c r="V282" s="5">
        <f t="shared" si="39"/>
        <v>0.99321233584181789</v>
      </c>
      <c r="W282" s="5">
        <f t="shared" si="40"/>
        <v>0.64227099236641227</v>
      </c>
      <c r="X282" s="5">
        <f t="shared" si="41"/>
        <v>6.9352220746643056E-3</v>
      </c>
      <c r="Y282" s="6">
        <f t="shared" si="42"/>
        <v>0.49651989156714776</v>
      </c>
      <c r="Z282" s="6">
        <f t="shared" si="43"/>
        <v>113.26353843883723</v>
      </c>
      <c r="AA282" s="2" t="str">
        <f t="shared" si="44"/>
        <v>Breakdown</v>
      </c>
    </row>
    <row r="283" spans="1:27" x14ac:dyDescent="0.25">
      <c r="A283" s="2">
        <v>279</v>
      </c>
      <c r="B283" s="4">
        <v>46115</v>
      </c>
      <c r="C283" s="2" t="s">
        <v>36</v>
      </c>
      <c r="D283" s="2" t="s">
        <v>35</v>
      </c>
      <c r="E283" s="2" t="s">
        <v>31</v>
      </c>
      <c r="F283" s="2">
        <v>950</v>
      </c>
      <c r="G283" s="2">
        <v>873.5</v>
      </c>
      <c r="H283" s="2">
        <v>855.1</v>
      </c>
      <c r="I283" s="2">
        <v>18.399999999999999</v>
      </c>
      <c r="J283" s="2">
        <v>0.05</v>
      </c>
      <c r="K283" s="2" t="s">
        <v>32</v>
      </c>
      <c r="L283" s="2" t="s">
        <v>33</v>
      </c>
      <c r="M283" s="2">
        <v>1780.2</v>
      </c>
      <c r="N283" s="2">
        <v>275.39999999999998</v>
      </c>
      <c r="O283" s="2">
        <v>101983.9</v>
      </c>
      <c r="P283" s="2">
        <v>172.2</v>
      </c>
      <c r="Q283" s="2">
        <v>1.8</v>
      </c>
      <c r="R283" s="2">
        <v>0</v>
      </c>
      <c r="S283" s="5">
        <f t="shared" si="36"/>
        <v>0.91947368421052633</v>
      </c>
      <c r="T283" s="5">
        <f t="shared" si="37"/>
        <v>0.99375000000000002</v>
      </c>
      <c r="U283" s="5">
        <f t="shared" si="38"/>
        <v>0.92525653757034099</v>
      </c>
      <c r="V283" s="5">
        <f t="shared" si="39"/>
        <v>0.97893531768746422</v>
      </c>
      <c r="W283" s="5">
        <f t="shared" si="40"/>
        <v>0.90010526315789474</v>
      </c>
      <c r="X283" s="5">
        <f t="shared" si="41"/>
        <v>2.1064682312535773E-2</v>
      </c>
      <c r="Y283" s="6">
        <f t="shared" si="42"/>
        <v>0.49067520503314233</v>
      </c>
      <c r="Z283" s="6">
        <f t="shared" si="43"/>
        <v>116.75317687464224</v>
      </c>
      <c r="AA283" s="2" t="str">
        <f t="shared" si="44"/>
        <v>No Maintenance</v>
      </c>
    </row>
    <row r="284" spans="1:27" x14ac:dyDescent="0.25">
      <c r="A284" s="2">
        <v>280</v>
      </c>
      <c r="B284" s="4">
        <v>46116</v>
      </c>
      <c r="C284" s="2" t="s">
        <v>29</v>
      </c>
      <c r="D284" s="2" t="s">
        <v>30</v>
      </c>
      <c r="E284" s="2" t="s">
        <v>31</v>
      </c>
      <c r="F284" s="2">
        <v>1011</v>
      </c>
      <c r="G284" s="2">
        <v>747.1</v>
      </c>
      <c r="H284" s="2">
        <v>742.2</v>
      </c>
      <c r="I284" s="2">
        <v>4.9000000000000004</v>
      </c>
      <c r="J284" s="2">
        <v>1.17</v>
      </c>
      <c r="K284" s="2" t="s">
        <v>47</v>
      </c>
      <c r="L284" s="2" t="s">
        <v>38</v>
      </c>
      <c r="M284" s="2">
        <v>1511.6</v>
      </c>
      <c r="N284" s="2">
        <v>227.2</v>
      </c>
      <c r="O284" s="2">
        <v>86293.1</v>
      </c>
      <c r="P284" s="2">
        <v>173.3</v>
      </c>
      <c r="Q284" s="2">
        <v>1.93</v>
      </c>
      <c r="R284" s="2">
        <v>755.89</v>
      </c>
      <c r="S284" s="5">
        <f t="shared" si="36"/>
        <v>0.73897131552917905</v>
      </c>
      <c r="T284" s="5">
        <f t="shared" si="37"/>
        <v>0.85375000000000001</v>
      </c>
      <c r="U284" s="5">
        <f t="shared" si="38"/>
        <v>0.86555937397268412</v>
      </c>
      <c r="V284" s="5">
        <f t="shared" si="39"/>
        <v>0.99344130638468753</v>
      </c>
      <c r="W284" s="5">
        <f t="shared" si="40"/>
        <v>0.73412462908011877</v>
      </c>
      <c r="X284" s="5">
        <f t="shared" si="41"/>
        <v>6.5586936153125422E-3</v>
      </c>
      <c r="Y284" s="6">
        <f t="shared" si="42"/>
        <v>0.49424450912939938</v>
      </c>
      <c r="Z284" s="6">
        <f t="shared" si="43"/>
        <v>115.50408245214831</v>
      </c>
      <c r="AA284" s="2" t="str">
        <f t="shared" si="44"/>
        <v>Breakdown</v>
      </c>
    </row>
    <row r="285" spans="1:27" x14ac:dyDescent="0.25">
      <c r="A285" s="2">
        <v>281</v>
      </c>
      <c r="B285" s="4">
        <v>46116</v>
      </c>
      <c r="C285" s="2" t="s">
        <v>34</v>
      </c>
      <c r="D285" s="2" t="s">
        <v>30</v>
      </c>
      <c r="E285" s="2" t="s">
        <v>39</v>
      </c>
      <c r="F285" s="2">
        <v>979</v>
      </c>
      <c r="G285" s="2">
        <v>596</v>
      </c>
      <c r="H285" s="2">
        <v>589.70000000000005</v>
      </c>
      <c r="I285" s="2">
        <v>6.3</v>
      </c>
      <c r="J285" s="2">
        <v>2.99</v>
      </c>
      <c r="K285" s="2" t="s">
        <v>40</v>
      </c>
      <c r="L285" s="2" t="s">
        <v>41</v>
      </c>
      <c r="M285" s="2">
        <v>1275</v>
      </c>
      <c r="N285" s="2">
        <v>206.8</v>
      </c>
      <c r="O285" s="2">
        <v>68956.100000000006</v>
      </c>
      <c r="P285" s="2">
        <v>180.7</v>
      </c>
      <c r="Q285" s="2">
        <v>1.5</v>
      </c>
      <c r="R285" s="2">
        <v>210.2</v>
      </c>
      <c r="S285" s="5">
        <f t="shared" si="36"/>
        <v>0.60878447395301327</v>
      </c>
      <c r="T285" s="5">
        <f t="shared" si="37"/>
        <v>0.62624999999999997</v>
      </c>
      <c r="U285" s="5">
        <f t="shared" si="38"/>
        <v>0.97211093645191737</v>
      </c>
      <c r="V285" s="5">
        <f t="shared" si="39"/>
        <v>0.98942953020134239</v>
      </c>
      <c r="W285" s="5">
        <f t="shared" si="40"/>
        <v>0.60234933605720131</v>
      </c>
      <c r="X285" s="5">
        <f t="shared" si="41"/>
        <v>1.0570469798657717E-2</v>
      </c>
      <c r="Y285" s="6">
        <f t="shared" si="42"/>
        <v>0.46745098039215688</v>
      </c>
      <c r="Z285" s="6">
        <f t="shared" si="43"/>
        <v>115.69815436241612</v>
      </c>
      <c r="AA285" s="2" t="str">
        <f t="shared" si="44"/>
        <v>Planned</v>
      </c>
    </row>
    <row r="286" spans="1:27" x14ac:dyDescent="0.25">
      <c r="A286" s="2">
        <v>282</v>
      </c>
      <c r="B286" s="4">
        <v>46116</v>
      </c>
      <c r="C286" s="2" t="s">
        <v>36</v>
      </c>
      <c r="D286" s="2" t="s">
        <v>35</v>
      </c>
      <c r="E286" s="2" t="s">
        <v>31</v>
      </c>
      <c r="F286" s="2">
        <v>987</v>
      </c>
      <c r="G286" s="2">
        <v>693.7</v>
      </c>
      <c r="H286" s="2">
        <v>677.2</v>
      </c>
      <c r="I286" s="2">
        <v>16.600000000000001</v>
      </c>
      <c r="J286" s="2">
        <v>1.6</v>
      </c>
      <c r="K286" s="2" t="s">
        <v>42</v>
      </c>
      <c r="L286" s="2" t="s">
        <v>38</v>
      </c>
      <c r="M286" s="2">
        <v>1392.7</v>
      </c>
      <c r="N286" s="2">
        <v>233.2</v>
      </c>
      <c r="O286" s="2">
        <v>77057</v>
      </c>
      <c r="P286" s="2">
        <v>179</v>
      </c>
      <c r="Q286" s="2">
        <v>1.68</v>
      </c>
      <c r="R286" s="2">
        <v>327.14</v>
      </c>
      <c r="S286" s="5">
        <f t="shared" si="36"/>
        <v>0.70283687943262418</v>
      </c>
      <c r="T286" s="5">
        <f t="shared" si="37"/>
        <v>0.8</v>
      </c>
      <c r="U286" s="5">
        <f t="shared" si="38"/>
        <v>0.8785460992907802</v>
      </c>
      <c r="V286" s="5">
        <f t="shared" si="39"/>
        <v>0.97621450194608617</v>
      </c>
      <c r="W286" s="5">
        <f t="shared" si="40"/>
        <v>0.68611955420466064</v>
      </c>
      <c r="X286" s="5">
        <f t="shared" si="41"/>
        <v>2.3929652587573881E-2</v>
      </c>
      <c r="Y286" s="6">
        <f t="shared" si="42"/>
        <v>0.49809722122495875</v>
      </c>
      <c r="Z286" s="6">
        <f t="shared" si="43"/>
        <v>111.08115900245062</v>
      </c>
      <c r="AA286" s="2" t="str">
        <f t="shared" si="44"/>
        <v>Breakdown</v>
      </c>
    </row>
    <row r="287" spans="1:27" x14ac:dyDescent="0.25">
      <c r="A287" s="2">
        <v>283</v>
      </c>
      <c r="B287" s="4">
        <v>46117</v>
      </c>
      <c r="C287" s="2" t="s">
        <v>29</v>
      </c>
      <c r="D287" s="2" t="s">
        <v>30</v>
      </c>
      <c r="E287" s="2" t="s">
        <v>39</v>
      </c>
      <c r="F287" s="2">
        <v>928</v>
      </c>
      <c r="G287" s="2">
        <v>715.6</v>
      </c>
      <c r="H287" s="2">
        <v>708.1</v>
      </c>
      <c r="I287" s="2">
        <v>7.5</v>
      </c>
      <c r="J287" s="2">
        <v>1.63</v>
      </c>
      <c r="K287" s="2" t="s">
        <v>37</v>
      </c>
      <c r="L287" s="2" t="s">
        <v>38</v>
      </c>
      <c r="M287" s="2">
        <v>1472.8</v>
      </c>
      <c r="N287" s="2">
        <v>236.8</v>
      </c>
      <c r="O287" s="2">
        <v>87656.8</v>
      </c>
      <c r="P287" s="2">
        <v>175.9</v>
      </c>
      <c r="Q287" s="2">
        <v>1.63</v>
      </c>
      <c r="R287" s="2">
        <v>510.75</v>
      </c>
      <c r="S287" s="5">
        <f t="shared" si="36"/>
        <v>0.77112068965517244</v>
      </c>
      <c r="T287" s="5">
        <f t="shared" si="37"/>
        <v>0.79625000000000001</v>
      </c>
      <c r="U287" s="5">
        <f t="shared" si="38"/>
        <v>0.96844042656850549</v>
      </c>
      <c r="V287" s="5">
        <f t="shared" si="39"/>
        <v>0.98951928451648963</v>
      </c>
      <c r="W287" s="5">
        <f t="shared" si="40"/>
        <v>0.76303879310344835</v>
      </c>
      <c r="X287" s="5">
        <f t="shared" si="41"/>
        <v>1.0480715483510341E-2</v>
      </c>
      <c r="Y287" s="6">
        <f t="shared" si="42"/>
        <v>0.48587724063009236</v>
      </c>
      <c r="Z287" s="6">
        <f t="shared" si="43"/>
        <v>122.49413079932924</v>
      </c>
      <c r="AA287" s="2" t="str">
        <f t="shared" si="44"/>
        <v>Breakdown</v>
      </c>
    </row>
    <row r="288" spans="1:27" x14ac:dyDescent="0.25">
      <c r="A288" s="2">
        <v>284</v>
      </c>
      <c r="B288" s="4">
        <v>46117</v>
      </c>
      <c r="C288" s="2" t="s">
        <v>34</v>
      </c>
      <c r="D288" s="2" t="s">
        <v>35</v>
      </c>
      <c r="E288" s="2" t="s">
        <v>45</v>
      </c>
      <c r="F288" s="2">
        <v>953</v>
      </c>
      <c r="G288" s="2">
        <v>654.29999999999995</v>
      </c>
      <c r="H288" s="2">
        <v>644.6</v>
      </c>
      <c r="I288" s="2">
        <v>9.6999999999999993</v>
      </c>
      <c r="J288" s="2">
        <v>1.95</v>
      </c>
      <c r="K288" s="2" t="s">
        <v>47</v>
      </c>
      <c r="L288" s="2" t="s">
        <v>43</v>
      </c>
      <c r="M288" s="2">
        <v>1337.8</v>
      </c>
      <c r="N288" s="2">
        <v>194.8</v>
      </c>
      <c r="O288" s="2">
        <v>79626.100000000006</v>
      </c>
      <c r="P288" s="2">
        <v>175.8</v>
      </c>
      <c r="Q288" s="2">
        <v>1.77</v>
      </c>
      <c r="R288" s="2">
        <v>956.6</v>
      </c>
      <c r="S288" s="5">
        <f t="shared" si="36"/>
        <v>0.68656873032528853</v>
      </c>
      <c r="T288" s="5">
        <f t="shared" si="37"/>
        <v>0.75624999999999998</v>
      </c>
      <c r="U288" s="5">
        <f t="shared" si="38"/>
        <v>0.90785947811608403</v>
      </c>
      <c r="V288" s="5">
        <f t="shared" si="39"/>
        <v>0.98517499617912285</v>
      </c>
      <c r="W288" s="5">
        <f t="shared" si="40"/>
        <v>0.67639034627492134</v>
      </c>
      <c r="X288" s="5">
        <f t="shared" si="41"/>
        <v>1.4825003820877274E-2</v>
      </c>
      <c r="Y288" s="6">
        <f t="shared" si="42"/>
        <v>0.48908656002391987</v>
      </c>
      <c r="Z288" s="6">
        <f t="shared" si="43"/>
        <v>121.69662234449031</v>
      </c>
      <c r="AA288" s="2" t="str">
        <f t="shared" si="44"/>
        <v>Breakdown</v>
      </c>
    </row>
    <row r="289" spans="1:27" x14ac:dyDescent="0.25">
      <c r="A289" s="2">
        <v>285</v>
      </c>
      <c r="B289" s="4">
        <v>46117</v>
      </c>
      <c r="C289" s="2" t="s">
        <v>36</v>
      </c>
      <c r="D289" s="2" t="s">
        <v>30</v>
      </c>
      <c r="E289" s="2" t="s">
        <v>45</v>
      </c>
      <c r="F289" s="2">
        <v>1011</v>
      </c>
      <c r="G289" s="2">
        <v>857.6</v>
      </c>
      <c r="H289" s="2">
        <v>844.8</v>
      </c>
      <c r="I289" s="2">
        <v>12.8</v>
      </c>
      <c r="J289" s="2">
        <v>0.36</v>
      </c>
      <c r="K289" s="2" t="s">
        <v>32</v>
      </c>
      <c r="L289" s="2" t="s">
        <v>33</v>
      </c>
      <c r="M289" s="2">
        <v>1709.6</v>
      </c>
      <c r="N289" s="2">
        <v>288.39999999999998</v>
      </c>
      <c r="O289" s="2">
        <v>98428.3</v>
      </c>
      <c r="P289" s="2">
        <v>172</v>
      </c>
      <c r="Q289" s="2">
        <v>1.3</v>
      </c>
      <c r="R289" s="2">
        <v>0</v>
      </c>
      <c r="S289" s="5">
        <f t="shared" si="36"/>
        <v>0.84826904055390706</v>
      </c>
      <c r="T289" s="5">
        <f t="shared" si="37"/>
        <v>0.95499999999999996</v>
      </c>
      <c r="U289" s="5">
        <f t="shared" si="38"/>
        <v>0.88823983304074039</v>
      </c>
      <c r="V289" s="5">
        <f t="shared" si="39"/>
        <v>0.9850746268656716</v>
      </c>
      <c r="W289" s="5">
        <f t="shared" si="40"/>
        <v>0.8356083086053413</v>
      </c>
      <c r="X289" s="5">
        <f t="shared" si="41"/>
        <v>1.4925373134328358E-2</v>
      </c>
      <c r="Y289" s="6">
        <f t="shared" si="42"/>
        <v>0.5016378100140384</v>
      </c>
      <c r="Z289" s="6">
        <f t="shared" si="43"/>
        <v>114.77180503731343</v>
      </c>
      <c r="AA289" s="2" t="str">
        <f t="shared" si="44"/>
        <v>No Maintenance</v>
      </c>
    </row>
    <row r="290" spans="1:27" x14ac:dyDescent="0.25">
      <c r="A290" s="2">
        <v>286</v>
      </c>
      <c r="B290" s="4">
        <v>46118</v>
      </c>
      <c r="C290" s="2" t="s">
        <v>29</v>
      </c>
      <c r="D290" s="2" t="s">
        <v>30</v>
      </c>
      <c r="E290" s="2" t="s">
        <v>31</v>
      </c>
      <c r="F290" s="2">
        <v>922</v>
      </c>
      <c r="G290" s="2">
        <v>766.2</v>
      </c>
      <c r="H290" s="2">
        <v>749.2</v>
      </c>
      <c r="I290" s="2">
        <v>16.899999999999999</v>
      </c>
      <c r="J290" s="2">
        <v>0.66</v>
      </c>
      <c r="K290" s="2" t="s">
        <v>48</v>
      </c>
      <c r="L290" s="2" t="s">
        <v>38</v>
      </c>
      <c r="M290" s="2">
        <v>1559.6</v>
      </c>
      <c r="N290" s="2">
        <v>237</v>
      </c>
      <c r="O290" s="2">
        <v>94722.1</v>
      </c>
      <c r="P290" s="2">
        <v>177.5</v>
      </c>
      <c r="Q290" s="2">
        <v>1.53</v>
      </c>
      <c r="R290" s="2">
        <v>797.3</v>
      </c>
      <c r="S290" s="5">
        <f t="shared" si="36"/>
        <v>0.83101952277657276</v>
      </c>
      <c r="T290" s="5">
        <f t="shared" si="37"/>
        <v>0.91749999999999998</v>
      </c>
      <c r="U290" s="5">
        <f t="shared" si="38"/>
        <v>0.90574334907528364</v>
      </c>
      <c r="V290" s="5">
        <f t="shared" si="39"/>
        <v>0.97781258157139128</v>
      </c>
      <c r="W290" s="5">
        <f t="shared" si="40"/>
        <v>0.8125813449023862</v>
      </c>
      <c r="X290" s="5">
        <f t="shared" si="41"/>
        <v>2.2056904202558077E-2</v>
      </c>
      <c r="Y290" s="6">
        <f t="shared" si="42"/>
        <v>0.491279815337266</v>
      </c>
      <c r="Z290" s="6">
        <f t="shared" si="43"/>
        <v>123.62581571391281</v>
      </c>
      <c r="AA290" s="2" t="str">
        <f t="shared" si="44"/>
        <v>Breakdown</v>
      </c>
    </row>
    <row r="291" spans="1:27" x14ac:dyDescent="0.25">
      <c r="A291" s="2">
        <v>287</v>
      </c>
      <c r="B291" s="4">
        <v>46118</v>
      </c>
      <c r="C291" s="2" t="s">
        <v>34</v>
      </c>
      <c r="D291" s="2" t="s">
        <v>35</v>
      </c>
      <c r="E291" s="2" t="s">
        <v>31</v>
      </c>
      <c r="F291" s="2">
        <v>976</v>
      </c>
      <c r="G291" s="2">
        <v>686</v>
      </c>
      <c r="H291" s="2">
        <v>677.5</v>
      </c>
      <c r="I291" s="2">
        <v>8.5</v>
      </c>
      <c r="J291" s="2">
        <v>2.09</v>
      </c>
      <c r="K291" s="2" t="s">
        <v>37</v>
      </c>
      <c r="L291" s="2" t="s">
        <v>38</v>
      </c>
      <c r="M291" s="2">
        <v>1383.7</v>
      </c>
      <c r="N291" s="2">
        <v>217.8</v>
      </c>
      <c r="O291" s="2">
        <v>77343.199999999997</v>
      </c>
      <c r="P291" s="2">
        <v>186.2</v>
      </c>
      <c r="Q291" s="2">
        <v>1.73</v>
      </c>
      <c r="R291" s="2">
        <v>560.5</v>
      </c>
      <c r="S291" s="5">
        <f t="shared" si="36"/>
        <v>0.70286885245901642</v>
      </c>
      <c r="T291" s="5">
        <f t="shared" si="37"/>
        <v>0.73875000000000002</v>
      </c>
      <c r="U291" s="5">
        <f t="shared" si="38"/>
        <v>0.95142991872624894</v>
      </c>
      <c r="V291" s="5">
        <f t="shared" si="39"/>
        <v>0.98760932944606417</v>
      </c>
      <c r="W291" s="5">
        <f t="shared" si="40"/>
        <v>0.69415983606557385</v>
      </c>
      <c r="X291" s="5">
        <f t="shared" si="41"/>
        <v>1.239067055393586E-2</v>
      </c>
      <c r="Y291" s="6">
        <f t="shared" si="42"/>
        <v>0.49577220495772201</v>
      </c>
      <c r="Z291" s="6">
        <f t="shared" si="43"/>
        <v>112.74518950437317</v>
      </c>
      <c r="AA291" s="2" t="str">
        <f t="shared" si="44"/>
        <v>Breakdown</v>
      </c>
    </row>
    <row r="292" spans="1:27" x14ac:dyDescent="0.25">
      <c r="A292" s="2">
        <v>288</v>
      </c>
      <c r="B292" s="4">
        <v>46118</v>
      </c>
      <c r="C292" s="2" t="s">
        <v>36</v>
      </c>
      <c r="D292" s="2" t="s">
        <v>35</v>
      </c>
      <c r="E292" s="2" t="s">
        <v>45</v>
      </c>
      <c r="F292" s="2">
        <v>1043</v>
      </c>
      <c r="G292" s="2">
        <v>795.3</v>
      </c>
      <c r="H292" s="2">
        <v>770.8</v>
      </c>
      <c r="I292" s="2">
        <v>24.5</v>
      </c>
      <c r="J292" s="2">
        <v>1.01</v>
      </c>
      <c r="K292" s="2" t="s">
        <v>46</v>
      </c>
      <c r="L292" s="2" t="s">
        <v>38</v>
      </c>
      <c r="M292" s="2">
        <v>1570.9</v>
      </c>
      <c r="N292" s="2">
        <v>254.1</v>
      </c>
      <c r="O292" s="2">
        <v>84610.9</v>
      </c>
      <c r="P292" s="2">
        <v>172.8</v>
      </c>
      <c r="Q292" s="2">
        <v>1.83</v>
      </c>
      <c r="R292" s="2">
        <v>892.78</v>
      </c>
      <c r="S292" s="5">
        <f t="shared" si="36"/>
        <v>0.76251198465963566</v>
      </c>
      <c r="T292" s="5">
        <f t="shared" si="37"/>
        <v>0.87375000000000003</v>
      </c>
      <c r="U292" s="5">
        <f t="shared" si="38"/>
        <v>0.8726889667063068</v>
      </c>
      <c r="V292" s="5">
        <f t="shared" si="39"/>
        <v>0.96919401483716838</v>
      </c>
      <c r="W292" s="5">
        <f t="shared" si="40"/>
        <v>0.73902205177372948</v>
      </c>
      <c r="X292" s="5">
        <f t="shared" si="41"/>
        <v>3.0805985162831638E-2</v>
      </c>
      <c r="Y292" s="6">
        <f t="shared" si="42"/>
        <v>0.50627029091603537</v>
      </c>
      <c r="Z292" s="6">
        <f t="shared" si="43"/>
        <v>106.38865836791148</v>
      </c>
      <c r="AA292" s="2" t="str">
        <f t="shared" si="44"/>
        <v>Breakdown</v>
      </c>
    </row>
    <row r="293" spans="1:27" x14ac:dyDescent="0.25">
      <c r="A293" s="2">
        <v>289</v>
      </c>
      <c r="B293" s="4">
        <v>46119</v>
      </c>
      <c r="C293" s="2" t="s">
        <v>29</v>
      </c>
      <c r="D293" s="2" t="s">
        <v>30</v>
      </c>
      <c r="E293" s="2" t="s">
        <v>31</v>
      </c>
      <c r="F293" s="2">
        <v>1050</v>
      </c>
      <c r="G293" s="2">
        <v>929.5</v>
      </c>
      <c r="H293" s="2">
        <v>911.4</v>
      </c>
      <c r="I293" s="2">
        <v>18.100000000000001</v>
      </c>
      <c r="J293" s="2">
        <v>0.09</v>
      </c>
      <c r="K293" s="2" t="s">
        <v>32</v>
      </c>
      <c r="L293" s="2" t="s">
        <v>33</v>
      </c>
      <c r="M293" s="2">
        <v>1965.1</v>
      </c>
      <c r="N293" s="2">
        <v>299.5</v>
      </c>
      <c r="O293" s="2">
        <v>98248.8</v>
      </c>
      <c r="P293" s="2">
        <v>183.2</v>
      </c>
      <c r="Q293" s="2">
        <v>1.63</v>
      </c>
      <c r="R293" s="2">
        <v>0</v>
      </c>
      <c r="S293" s="5">
        <f t="shared" si="36"/>
        <v>0.88523809523809527</v>
      </c>
      <c r="T293" s="5">
        <f t="shared" si="37"/>
        <v>0.98875000000000002</v>
      </c>
      <c r="U293" s="5">
        <f t="shared" si="38"/>
        <v>0.89531033652399017</v>
      </c>
      <c r="V293" s="5">
        <f t="shared" si="39"/>
        <v>0.98052716514254978</v>
      </c>
      <c r="W293" s="5">
        <f t="shared" si="40"/>
        <v>0.8680000000000001</v>
      </c>
      <c r="X293" s="5">
        <f t="shared" si="41"/>
        <v>1.9472834857450244E-2</v>
      </c>
      <c r="Y293" s="6">
        <f t="shared" si="42"/>
        <v>0.4730039183756552</v>
      </c>
      <c r="Z293" s="6">
        <f t="shared" si="43"/>
        <v>105.7006993006993</v>
      </c>
      <c r="AA293" s="2" t="str">
        <f t="shared" si="44"/>
        <v>No Maintenance</v>
      </c>
    </row>
    <row r="294" spans="1:27" x14ac:dyDescent="0.25">
      <c r="A294" s="2">
        <v>290</v>
      </c>
      <c r="B294" s="4">
        <v>46119</v>
      </c>
      <c r="C294" s="2" t="s">
        <v>34</v>
      </c>
      <c r="D294" s="2" t="s">
        <v>35</v>
      </c>
      <c r="E294" s="2" t="s">
        <v>31</v>
      </c>
      <c r="F294" s="2">
        <v>1046</v>
      </c>
      <c r="G294" s="2">
        <v>931.4</v>
      </c>
      <c r="H294" s="2">
        <v>925.7</v>
      </c>
      <c r="I294" s="2">
        <v>5.7</v>
      </c>
      <c r="J294" s="2">
        <v>0.27</v>
      </c>
      <c r="K294" s="2" t="s">
        <v>32</v>
      </c>
      <c r="L294" s="2" t="s">
        <v>33</v>
      </c>
      <c r="M294" s="2">
        <v>1943.3</v>
      </c>
      <c r="N294" s="2">
        <v>276.10000000000002</v>
      </c>
      <c r="O294" s="2">
        <v>108668.4</v>
      </c>
      <c r="P294" s="2">
        <v>180.8</v>
      </c>
      <c r="Q294" s="2">
        <v>1.66</v>
      </c>
      <c r="R294" s="2">
        <v>0</v>
      </c>
      <c r="S294" s="5">
        <f t="shared" si="36"/>
        <v>0.8904397705544933</v>
      </c>
      <c r="T294" s="5">
        <f t="shared" si="37"/>
        <v>0.96625000000000005</v>
      </c>
      <c r="U294" s="5">
        <f t="shared" si="38"/>
        <v>0.92154180652470186</v>
      </c>
      <c r="V294" s="5">
        <f t="shared" si="39"/>
        <v>0.99388018037363113</v>
      </c>
      <c r="W294" s="5">
        <f t="shared" si="40"/>
        <v>0.88499043977055436</v>
      </c>
      <c r="X294" s="5">
        <f t="shared" si="41"/>
        <v>6.1198196263689076E-3</v>
      </c>
      <c r="Y294" s="6">
        <f t="shared" si="42"/>
        <v>0.4792878093963876</v>
      </c>
      <c r="Z294" s="6">
        <f t="shared" si="43"/>
        <v>116.67210650633454</v>
      </c>
      <c r="AA294" s="2" t="str">
        <f t="shared" si="44"/>
        <v>No Maintenance</v>
      </c>
    </row>
    <row r="295" spans="1:27" x14ac:dyDescent="0.25">
      <c r="A295" s="2">
        <v>291</v>
      </c>
      <c r="B295" s="4">
        <v>46119</v>
      </c>
      <c r="C295" s="2" t="s">
        <v>36</v>
      </c>
      <c r="D295" s="2" t="s">
        <v>30</v>
      </c>
      <c r="E295" s="2" t="s">
        <v>39</v>
      </c>
      <c r="F295" s="2">
        <v>980</v>
      </c>
      <c r="G295" s="2">
        <v>576.1</v>
      </c>
      <c r="H295" s="2">
        <v>557.20000000000005</v>
      </c>
      <c r="I295" s="2">
        <v>18.8</v>
      </c>
      <c r="J295" s="2">
        <v>2.4900000000000002</v>
      </c>
      <c r="K295" s="2" t="s">
        <v>44</v>
      </c>
      <c r="L295" s="2" t="s">
        <v>43</v>
      </c>
      <c r="M295" s="2">
        <v>1191.5</v>
      </c>
      <c r="N295" s="2">
        <v>182.5</v>
      </c>
      <c r="O295" s="2">
        <v>69441.5</v>
      </c>
      <c r="P295" s="2">
        <v>180.1</v>
      </c>
      <c r="Q295" s="2">
        <v>1.56</v>
      </c>
      <c r="R295" s="2">
        <v>1318.93</v>
      </c>
      <c r="S295" s="5">
        <f t="shared" si="36"/>
        <v>0.58785714285714286</v>
      </c>
      <c r="T295" s="5">
        <f t="shared" si="37"/>
        <v>0.68874999999999997</v>
      </c>
      <c r="U295" s="5">
        <f t="shared" si="38"/>
        <v>0.85351309307752143</v>
      </c>
      <c r="V295" s="5">
        <f t="shared" si="39"/>
        <v>0.96719319562575945</v>
      </c>
      <c r="W295" s="5">
        <f t="shared" si="40"/>
        <v>0.56857142857142862</v>
      </c>
      <c r="X295" s="5">
        <f t="shared" si="41"/>
        <v>3.2633223398715501E-2</v>
      </c>
      <c r="Y295" s="6">
        <f t="shared" si="42"/>
        <v>0.48350818296265213</v>
      </c>
      <c r="Z295" s="6">
        <f t="shared" si="43"/>
        <v>120.53723311925013</v>
      </c>
      <c r="AA295" s="2" t="str">
        <f t="shared" si="44"/>
        <v>Breakdown</v>
      </c>
    </row>
    <row r="296" spans="1:27" x14ac:dyDescent="0.25">
      <c r="A296" s="2">
        <v>292</v>
      </c>
      <c r="B296" s="4">
        <v>46120</v>
      </c>
      <c r="C296" s="2" t="s">
        <v>29</v>
      </c>
      <c r="D296" s="2" t="s">
        <v>35</v>
      </c>
      <c r="E296" s="2" t="s">
        <v>39</v>
      </c>
      <c r="F296" s="2">
        <v>982</v>
      </c>
      <c r="G296" s="2">
        <v>907.5</v>
      </c>
      <c r="H296" s="2">
        <v>897</v>
      </c>
      <c r="I296" s="2">
        <v>10.6</v>
      </c>
      <c r="J296" s="2">
        <v>0.13</v>
      </c>
      <c r="K296" s="2" t="s">
        <v>32</v>
      </c>
      <c r="L296" s="2" t="s">
        <v>33</v>
      </c>
      <c r="M296" s="2">
        <v>1882.8</v>
      </c>
      <c r="N296" s="2">
        <v>259.8</v>
      </c>
      <c r="O296" s="2">
        <v>100253.2</v>
      </c>
      <c r="P296" s="2">
        <v>167.9</v>
      </c>
      <c r="Q296" s="2">
        <v>2</v>
      </c>
      <c r="R296" s="2">
        <v>0</v>
      </c>
      <c r="S296" s="5">
        <f t="shared" si="36"/>
        <v>0.92413441955193487</v>
      </c>
      <c r="T296" s="5">
        <f t="shared" si="37"/>
        <v>0.98375000000000001</v>
      </c>
      <c r="U296" s="5">
        <f t="shared" si="38"/>
        <v>0.93939966409345343</v>
      </c>
      <c r="V296" s="5">
        <f t="shared" si="39"/>
        <v>0.98842975206611572</v>
      </c>
      <c r="W296" s="5">
        <f t="shared" si="40"/>
        <v>0.9134419551934827</v>
      </c>
      <c r="X296" s="5">
        <f t="shared" si="41"/>
        <v>1.1680440771349863E-2</v>
      </c>
      <c r="Y296" s="6">
        <f t="shared" si="42"/>
        <v>0.48199490121096239</v>
      </c>
      <c r="Z296" s="6">
        <f t="shared" si="43"/>
        <v>110.47184573002754</v>
      </c>
      <c r="AA296" s="2" t="str">
        <f t="shared" si="44"/>
        <v>No Maintenance</v>
      </c>
    </row>
    <row r="297" spans="1:27" x14ac:dyDescent="0.25">
      <c r="A297" s="2">
        <v>293</v>
      </c>
      <c r="B297" s="4">
        <v>46120</v>
      </c>
      <c r="C297" s="2" t="s">
        <v>34</v>
      </c>
      <c r="D297" s="2" t="s">
        <v>35</v>
      </c>
      <c r="E297" s="2" t="s">
        <v>45</v>
      </c>
      <c r="F297" s="2">
        <v>1043</v>
      </c>
      <c r="G297" s="2">
        <v>848.5</v>
      </c>
      <c r="H297" s="2">
        <v>830.3</v>
      </c>
      <c r="I297" s="2">
        <v>18.2</v>
      </c>
      <c r="J297" s="2">
        <v>0.27</v>
      </c>
      <c r="K297" s="2" t="s">
        <v>32</v>
      </c>
      <c r="L297" s="2" t="s">
        <v>33</v>
      </c>
      <c r="M297" s="2">
        <v>1662.9</v>
      </c>
      <c r="N297" s="2">
        <v>254.6</v>
      </c>
      <c r="O297" s="2">
        <v>100105.1</v>
      </c>
      <c r="P297" s="2">
        <v>187.3</v>
      </c>
      <c r="Q297" s="2">
        <v>1.59</v>
      </c>
      <c r="R297" s="2">
        <v>0</v>
      </c>
      <c r="S297" s="5">
        <f t="shared" si="36"/>
        <v>0.8135186960690316</v>
      </c>
      <c r="T297" s="5">
        <f t="shared" si="37"/>
        <v>0.96625000000000005</v>
      </c>
      <c r="U297" s="5">
        <f t="shared" si="38"/>
        <v>0.8419339674711841</v>
      </c>
      <c r="V297" s="5">
        <f t="shared" si="39"/>
        <v>0.97855038302887443</v>
      </c>
      <c r="W297" s="5">
        <f t="shared" si="40"/>
        <v>0.79606903163950149</v>
      </c>
      <c r="X297" s="5">
        <f t="shared" si="41"/>
        <v>2.1449616971125515E-2</v>
      </c>
      <c r="Y297" s="6">
        <f t="shared" si="42"/>
        <v>0.51025317216910215</v>
      </c>
      <c r="Z297" s="6">
        <f t="shared" si="43"/>
        <v>117.9789039481438</v>
      </c>
      <c r="AA297" s="2" t="str">
        <f t="shared" si="44"/>
        <v>No Maintenance</v>
      </c>
    </row>
    <row r="298" spans="1:27" x14ac:dyDescent="0.25">
      <c r="A298" s="2">
        <v>294</v>
      </c>
      <c r="B298" s="4">
        <v>46120</v>
      </c>
      <c r="C298" s="2" t="s">
        <v>36</v>
      </c>
      <c r="D298" s="2" t="s">
        <v>35</v>
      </c>
      <c r="E298" s="2" t="s">
        <v>39</v>
      </c>
      <c r="F298" s="2">
        <v>1044</v>
      </c>
      <c r="G298" s="2">
        <v>707.9</v>
      </c>
      <c r="H298" s="2">
        <v>688.8</v>
      </c>
      <c r="I298" s="2">
        <v>19</v>
      </c>
      <c r="J298" s="2">
        <v>4.71</v>
      </c>
      <c r="K298" s="2" t="s">
        <v>40</v>
      </c>
      <c r="L298" s="2" t="s">
        <v>41</v>
      </c>
      <c r="M298" s="2">
        <v>1438.3</v>
      </c>
      <c r="N298" s="2">
        <v>232.3</v>
      </c>
      <c r="O298" s="2">
        <v>78923.8</v>
      </c>
      <c r="P298" s="2">
        <v>185.7</v>
      </c>
      <c r="Q298" s="2">
        <v>1.69</v>
      </c>
      <c r="R298" s="2">
        <v>158.43</v>
      </c>
      <c r="S298" s="5">
        <f t="shared" si="36"/>
        <v>0.67806513409961688</v>
      </c>
      <c r="T298" s="5">
        <f t="shared" si="37"/>
        <v>0.41125</v>
      </c>
      <c r="U298" s="5">
        <f t="shared" si="38"/>
        <v>1.6487905996343266</v>
      </c>
      <c r="V298" s="5">
        <f t="shared" si="39"/>
        <v>0.97301878796440167</v>
      </c>
      <c r="W298" s="5">
        <f t="shared" si="40"/>
        <v>0.65977011494252857</v>
      </c>
      <c r="X298" s="5">
        <f t="shared" si="41"/>
        <v>2.6839949145359514E-2</v>
      </c>
      <c r="Y298" s="6">
        <f t="shared" si="42"/>
        <v>0.49217826600848225</v>
      </c>
      <c r="Z298" s="6">
        <f t="shared" si="43"/>
        <v>111.49004096623818</v>
      </c>
      <c r="AA298" s="2" t="str">
        <f t="shared" si="44"/>
        <v>Planned</v>
      </c>
    </row>
    <row r="299" spans="1:27" x14ac:dyDescent="0.25">
      <c r="A299" s="2">
        <v>295</v>
      </c>
      <c r="B299" s="4">
        <v>46121</v>
      </c>
      <c r="C299" s="2" t="s">
        <v>29</v>
      </c>
      <c r="D299" s="2" t="s">
        <v>30</v>
      </c>
      <c r="E299" s="2" t="s">
        <v>31</v>
      </c>
      <c r="F299" s="2">
        <v>916</v>
      </c>
      <c r="G299" s="2">
        <v>587.79999999999995</v>
      </c>
      <c r="H299" s="2">
        <v>577</v>
      </c>
      <c r="I299" s="2">
        <v>10.8</v>
      </c>
      <c r="J299" s="2">
        <v>2.85</v>
      </c>
      <c r="K299" s="2" t="s">
        <v>47</v>
      </c>
      <c r="L299" s="2" t="s">
        <v>38</v>
      </c>
      <c r="M299" s="2">
        <v>1250.3</v>
      </c>
      <c r="N299" s="2">
        <v>200.3</v>
      </c>
      <c r="O299" s="2">
        <v>67243.600000000006</v>
      </c>
      <c r="P299" s="2">
        <v>180.2</v>
      </c>
      <c r="Q299" s="2">
        <v>1.78</v>
      </c>
      <c r="R299" s="2">
        <v>796.61</v>
      </c>
      <c r="S299" s="5">
        <f t="shared" si="36"/>
        <v>0.64170305676855888</v>
      </c>
      <c r="T299" s="5">
        <f t="shared" si="37"/>
        <v>0.64375000000000004</v>
      </c>
      <c r="U299" s="5">
        <f t="shared" si="38"/>
        <v>0.99682028235892628</v>
      </c>
      <c r="V299" s="5">
        <f t="shared" si="39"/>
        <v>0.98162640353861863</v>
      </c>
      <c r="W299" s="5">
        <f t="shared" si="40"/>
        <v>0.62991266375545851</v>
      </c>
      <c r="X299" s="5">
        <f t="shared" si="41"/>
        <v>1.8373596461381425E-2</v>
      </c>
      <c r="Y299" s="6">
        <f t="shared" si="42"/>
        <v>0.47012716947932492</v>
      </c>
      <c r="Z299" s="6">
        <f t="shared" si="43"/>
        <v>114.39877509356926</v>
      </c>
      <c r="AA299" s="2" t="str">
        <f t="shared" si="44"/>
        <v>Breakdown</v>
      </c>
    </row>
    <row r="300" spans="1:27" x14ac:dyDescent="0.25">
      <c r="A300" s="2">
        <v>296</v>
      </c>
      <c r="B300" s="4">
        <v>46121</v>
      </c>
      <c r="C300" s="2" t="s">
        <v>34</v>
      </c>
      <c r="D300" s="2" t="s">
        <v>30</v>
      </c>
      <c r="E300" s="2" t="s">
        <v>31</v>
      </c>
      <c r="F300" s="2">
        <v>902</v>
      </c>
      <c r="G300" s="2">
        <v>560.5</v>
      </c>
      <c r="H300" s="2">
        <v>549.9</v>
      </c>
      <c r="I300" s="2">
        <v>10.6</v>
      </c>
      <c r="J300" s="2">
        <v>3.73</v>
      </c>
      <c r="K300" s="2" t="s">
        <v>48</v>
      </c>
      <c r="L300" s="2" t="s">
        <v>38</v>
      </c>
      <c r="M300" s="2">
        <v>1150.9000000000001</v>
      </c>
      <c r="N300" s="2">
        <v>169.7</v>
      </c>
      <c r="O300" s="2">
        <v>72009.2</v>
      </c>
      <c r="P300" s="2">
        <v>179.4</v>
      </c>
      <c r="Q300" s="2">
        <v>1.67</v>
      </c>
      <c r="R300" s="2">
        <v>595</v>
      </c>
      <c r="S300" s="5">
        <f t="shared" si="36"/>
        <v>0.62139689578713964</v>
      </c>
      <c r="T300" s="5">
        <f t="shared" si="37"/>
        <v>0.53374999999999995</v>
      </c>
      <c r="U300" s="5">
        <f t="shared" si="38"/>
        <v>1.1642096408189972</v>
      </c>
      <c r="V300" s="5">
        <f t="shared" si="39"/>
        <v>0.98108831400535235</v>
      </c>
      <c r="W300" s="5">
        <f t="shared" si="40"/>
        <v>0.60964523281596461</v>
      </c>
      <c r="X300" s="5">
        <f t="shared" si="41"/>
        <v>1.8911685994647636E-2</v>
      </c>
      <c r="Y300" s="6">
        <f t="shared" si="42"/>
        <v>0.48701016595707702</v>
      </c>
      <c r="Z300" s="6">
        <f t="shared" si="43"/>
        <v>128.47314897413023</v>
      </c>
      <c r="AA300" s="2" t="str">
        <f t="shared" si="44"/>
        <v>Breakdown</v>
      </c>
    </row>
    <row r="301" spans="1:27" x14ac:dyDescent="0.25">
      <c r="A301" s="2">
        <v>297</v>
      </c>
      <c r="B301" s="4">
        <v>46121</v>
      </c>
      <c r="C301" s="2" t="s">
        <v>36</v>
      </c>
      <c r="D301" s="2" t="s">
        <v>35</v>
      </c>
      <c r="E301" s="2" t="s">
        <v>39</v>
      </c>
      <c r="F301" s="2">
        <v>959</v>
      </c>
      <c r="G301" s="2">
        <v>625.4</v>
      </c>
      <c r="H301" s="2">
        <v>615.20000000000005</v>
      </c>
      <c r="I301" s="2">
        <v>10.199999999999999</v>
      </c>
      <c r="J301" s="2">
        <v>1.7</v>
      </c>
      <c r="K301" s="2" t="s">
        <v>46</v>
      </c>
      <c r="L301" s="2" t="s">
        <v>38</v>
      </c>
      <c r="M301" s="2">
        <v>1235.9000000000001</v>
      </c>
      <c r="N301" s="2">
        <v>193.7</v>
      </c>
      <c r="O301" s="2">
        <v>70712.399999999994</v>
      </c>
      <c r="P301" s="2">
        <v>183.5</v>
      </c>
      <c r="Q301" s="2">
        <v>1.72</v>
      </c>
      <c r="R301" s="2">
        <v>899.97</v>
      </c>
      <c r="S301" s="5">
        <f t="shared" si="36"/>
        <v>0.65213764337851932</v>
      </c>
      <c r="T301" s="5">
        <f t="shared" si="37"/>
        <v>0.78749999999999998</v>
      </c>
      <c r="U301" s="5">
        <f t="shared" si="38"/>
        <v>0.82811129317907206</v>
      </c>
      <c r="V301" s="5">
        <f t="shared" si="39"/>
        <v>0.98369043811960355</v>
      </c>
      <c r="W301" s="5">
        <f t="shared" si="40"/>
        <v>0.64150156412930137</v>
      </c>
      <c r="X301" s="5">
        <f t="shared" si="41"/>
        <v>1.6309561880396544E-2</v>
      </c>
      <c r="Y301" s="6">
        <f t="shared" si="42"/>
        <v>0.50602799579253976</v>
      </c>
      <c r="Z301" s="6">
        <f t="shared" si="43"/>
        <v>113.0674768148385</v>
      </c>
      <c r="AA301" s="2" t="str">
        <f t="shared" si="44"/>
        <v>Breakdown</v>
      </c>
    </row>
    <row r="302" spans="1:27" x14ac:dyDescent="0.25">
      <c r="A302" s="2">
        <v>298</v>
      </c>
      <c r="B302" s="4">
        <v>46122</v>
      </c>
      <c r="C302" s="2" t="s">
        <v>29</v>
      </c>
      <c r="D302" s="2" t="s">
        <v>30</v>
      </c>
      <c r="E302" s="2" t="s">
        <v>45</v>
      </c>
      <c r="F302" s="2">
        <v>963</v>
      </c>
      <c r="G302" s="2">
        <v>679.7</v>
      </c>
      <c r="H302" s="2">
        <v>667.5</v>
      </c>
      <c r="I302" s="2">
        <v>12.2</v>
      </c>
      <c r="J302" s="2">
        <v>1.99</v>
      </c>
      <c r="K302" s="2" t="s">
        <v>47</v>
      </c>
      <c r="L302" s="2" t="s">
        <v>38</v>
      </c>
      <c r="M302" s="2">
        <v>1354.2</v>
      </c>
      <c r="N302" s="2">
        <v>191.8</v>
      </c>
      <c r="O302" s="2">
        <v>85012.2</v>
      </c>
      <c r="P302" s="2">
        <v>173.7</v>
      </c>
      <c r="Q302" s="2">
        <v>1.57</v>
      </c>
      <c r="R302" s="2">
        <v>339.02</v>
      </c>
      <c r="S302" s="5">
        <f t="shared" si="36"/>
        <v>0.70581516095534791</v>
      </c>
      <c r="T302" s="5">
        <f t="shared" si="37"/>
        <v>0.75124999999999997</v>
      </c>
      <c r="U302" s="5">
        <f t="shared" si="38"/>
        <v>0.93952101291893231</v>
      </c>
      <c r="V302" s="5">
        <f t="shared" si="39"/>
        <v>0.98205090481094592</v>
      </c>
      <c r="W302" s="5">
        <f t="shared" si="40"/>
        <v>0.69314641744548289</v>
      </c>
      <c r="X302" s="5">
        <f t="shared" si="41"/>
        <v>1.7949095189053993E-2</v>
      </c>
      <c r="Y302" s="6">
        <f t="shared" si="42"/>
        <v>0.50191995273962486</v>
      </c>
      <c r="Z302" s="6">
        <f t="shared" si="43"/>
        <v>125.07312049433573</v>
      </c>
      <c r="AA302" s="2" t="str">
        <f t="shared" si="44"/>
        <v>Breakdown</v>
      </c>
    </row>
    <row r="303" spans="1:27" x14ac:dyDescent="0.25">
      <c r="A303" s="2">
        <v>299</v>
      </c>
      <c r="B303" s="4">
        <v>46122</v>
      </c>
      <c r="C303" s="2" t="s">
        <v>34</v>
      </c>
      <c r="D303" s="2" t="s">
        <v>35</v>
      </c>
      <c r="E303" s="2" t="s">
        <v>39</v>
      </c>
      <c r="F303" s="2">
        <v>948</v>
      </c>
      <c r="G303" s="2">
        <v>619</v>
      </c>
      <c r="H303" s="2">
        <v>606.4</v>
      </c>
      <c r="I303" s="2">
        <v>12.7</v>
      </c>
      <c r="J303" s="2">
        <v>2.89</v>
      </c>
      <c r="K303" s="2" t="s">
        <v>42</v>
      </c>
      <c r="L303" s="2" t="s">
        <v>38</v>
      </c>
      <c r="M303" s="2">
        <v>1253.0999999999999</v>
      </c>
      <c r="N303" s="2">
        <v>211.3</v>
      </c>
      <c r="O303" s="2">
        <v>73315.600000000006</v>
      </c>
      <c r="P303" s="2">
        <v>181</v>
      </c>
      <c r="Q303" s="2">
        <v>1.84</v>
      </c>
      <c r="R303" s="2">
        <v>718.61</v>
      </c>
      <c r="S303" s="5">
        <f t="shared" si="36"/>
        <v>0.65295358649789026</v>
      </c>
      <c r="T303" s="5">
        <f t="shared" si="37"/>
        <v>0.63874999999999993</v>
      </c>
      <c r="U303" s="5">
        <f t="shared" si="38"/>
        <v>1.022236534634662</v>
      </c>
      <c r="V303" s="5">
        <f t="shared" si="39"/>
        <v>0.97964458804523424</v>
      </c>
      <c r="W303" s="5">
        <f t="shared" si="40"/>
        <v>0.63966244725738397</v>
      </c>
      <c r="X303" s="5">
        <f t="shared" si="41"/>
        <v>2.0516962843295638E-2</v>
      </c>
      <c r="Y303" s="6">
        <f t="shared" si="42"/>
        <v>0.4939749421434842</v>
      </c>
      <c r="Z303" s="6">
        <f t="shared" si="43"/>
        <v>118.44200323101778</v>
      </c>
      <c r="AA303" s="2" t="str">
        <f t="shared" si="44"/>
        <v>Breakdown</v>
      </c>
    </row>
    <row r="304" spans="1:27" x14ac:dyDescent="0.25">
      <c r="A304" s="2">
        <v>300</v>
      </c>
      <c r="B304" s="4">
        <v>46122</v>
      </c>
      <c r="C304" s="2" t="s">
        <v>36</v>
      </c>
      <c r="D304" s="2" t="s">
        <v>35</v>
      </c>
      <c r="E304" s="2" t="s">
        <v>39</v>
      </c>
      <c r="F304" s="2">
        <v>1038</v>
      </c>
      <c r="G304" s="2">
        <v>809.4</v>
      </c>
      <c r="H304" s="2">
        <v>790.3</v>
      </c>
      <c r="I304" s="2">
        <v>19</v>
      </c>
      <c r="J304" s="2">
        <v>0.9</v>
      </c>
      <c r="K304" s="2" t="s">
        <v>37</v>
      </c>
      <c r="L304" s="2" t="s">
        <v>38</v>
      </c>
      <c r="M304" s="2">
        <v>1657.1</v>
      </c>
      <c r="N304" s="2">
        <v>239.9</v>
      </c>
      <c r="O304" s="2">
        <v>94989.5</v>
      </c>
      <c r="P304" s="2">
        <v>171.7</v>
      </c>
      <c r="Q304" s="2">
        <v>1.49</v>
      </c>
      <c r="R304" s="2">
        <v>863.31</v>
      </c>
      <c r="S304" s="5">
        <f t="shared" si="36"/>
        <v>0.7797687861271676</v>
      </c>
      <c r="T304" s="5">
        <f t="shared" si="37"/>
        <v>0.88749999999999996</v>
      </c>
      <c r="U304" s="5">
        <f t="shared" si="38"/>
        <v>0.8786127167630059</v>
      </c>
      <c r="V304" s="5">
        <f t="shared" si="39"/>
        <v>0.97640227328885587</v>
      </c>
      <c r="W304" s="5">
        <f t="shared" si="40"/>
        <v>0.76136801541425825</v>
      </c>
      <c r="X304" s="5">
        <f t="shared" si="41"/>
        <v>2.3474178403755871E-2</v>
      </c>
      <c r="Y304" s="6">
        <f t="shared" si="42"/>
        <v>0.4884436666465512</v>
      </c>
      <c r="Z304" s="6">
        <f t="shared" si="43"/>
        <v>117.35791944650359</v>
      </c>
      <c r="AA304" s="2" t="str">
        <f t="shared" si="44"/>
        <v>Breakdown</v>
      </c>
    </row>
    <row r="305" spans="1:27" x14ac:dyDescent="0.25">
      <c r="A305" s="2">
        <v>301</v>
      </c>
      <c r="B305" s="4">
        <v>46123</v>
      </c>
      <c r="C305" s="2" t="s">
        <v>29</v>
      </c>
      <c r="D305" s="2" t="s">
        <v>30</v>
      </c>
      <c r="E305" s="2" t="s">
        <v>39</v>
      </c>
      <c r="F305" s="2">
        <v>1016</v>
      </c>
      <c r="G305" s="2">
        <v>670.5</v>
      </c>
      <c r="H305" s="2">
        <v>661</v>
      </c>
      <c r="I305" s="2">
        <v>9.5</v>
      </c>
      <c r="J305" s="2">
        <v>3.59</v>
      </c>
      <c r="K305" s="2" t="s">
        <v>46</v>
      </c>
      <c r="L305" s="2" t="s">
        <v>38</v>
      </c>
      <c r="M305" s="2">
        <v>1370.4</v>
      </c>
      <c r="N305" s="2">
        <v>220.2</v>
      </c>
      <c r="O305" s="2">
        <v>81596.100000000006</v>
      </c>
      <c r="P305" s="2">
        <v>178.2</v>
      </c>
      <c r="Q305" s="2">
        <v>1.7</v>
      </c>
      <c r="R305" s="2">
        <v>501.2</v>
      </c>
      <c r="S305" s="5">
        <f t="shared" si="36"/>
        <v>0.65994094488188981</v>
      </c>
      <c r="T305" s="5">
        <f t="shared" si="37"/>
        <v>0.55125000000000002</v>
      </c>
      <c r="U305" s="5">
        <f t="shared" si="38"/>
        <v>1.197171782098666</v>
      </c>
      <c r="V305" s="5">
        <f t="shared" si="39"/>
        <v>0.98583146905294561</v>
      </c>
      <c r="W305" s="5">
        <f t="shared" si="40"/>
        <v>0.65059055118110232</v>
      </c>
      <c r="X305" s="5">
        <f t="shared" si="41"/>
        <v>1.4168530947054437E-2</v>
      </c>
      <c r="Y305" s="6">
        <f t="shared" si="42"/>
        <v>0.48927320490367771</v>
      </c>
      <c r="Z305" s="6">
        <f t="shared" si="43"/>
        <v>121.6944071588367</v>
      </c>
      <c r="AA305" s="2" t="str">
        <f t="shared" si="44"/>
        <v>Breakdown</v>
      </c>
    </row>
    <row r="306" spans="1:27" x14ac:dyDescent="0.25">
      <c r="A306" s="2">
        <v>302</v>
      </c>
      <c r="B306" s="4">
        <v>46123</v>
      </c>
      <c r="C306" s="2" t="s">
        <v>34</v>
      </c>
      <c r="D306" s="2" t="s">
        <v>30</v>
      </c>
      <c r="E306" s="2" t="s">
        <v>31</v>
      </c>
      <c r="F306" s="2">
        <v>957</v>
      </c>
      <c r="G306" s="2">
        <v>790.6</v>
      </c>
      <c r="H306" s="2">
        <v>779.1</v>
      </c>
      <c r="I306" s="2">
        <v>11.6</v>
      </c>
      <c r="J306" s="2">
        <v>0.31</v>
      </c>
      <c r="K306" s="2" t="s">
        <v>32</v>
      </c>
      <c r="L306" s="2" t="s">
        <v>33</v>
      </c>
      <c r="M306" s="2">
        <v>1623.3</v>
      </c>
      <c r="N306" s="2">
        <v>246.1</v>
      </c>
      <c r="O306" s="2">
        <v>92657.9</v>
      </c>
      <c r="P306" s="2">
        <v>177.2</v>
      </c>
      <c r="Q306" s="2">
        <v>1.87</v>
      </c>
      <c r="R306" s="2">
        <v>0</v>
      </c>
      <c r="S306" s="5">
        <f t="shared" si="36"/>
        <v>0.82612330198537098</v>
      </c>
      <c r="T306" s="5">
        <f t="shared" si="37"/>
        <v>0.96125000000000005</v>
      </c>
      <c r="U306" s="5">
        <f t="shared" si="38"/>
        <v>0.8594260618833508</v>
      </c>
      <c r="V306" s="5">
        <f t="shared" si="39"/>
        <v>0.98545408550467994</v>
      </c>
      <c r="W306" s="5">
        <f t="shared" si="40"/>
        <v>0.81410658307210026</v>
      </c>
      <c r="X306" s="5">
        <f t="shared" si="41"/>
        <v>1.4672400708322791E-2</v>
      </c>
      <c r="Y306" s="6">
        <f t="shared" si="42"/>
        <v>0.48703258793815069</v>
      </c>
      <c r="Z306" s="6">
        <f t="shared" si="43"/>
        <v>117.19946875790538</v>
      </c>
      <c r="AA306" s="2" t="str">
        <f t="shared" si="44"/>
        <v>No Maintenance</v>
      </c>
    </row>
    <row r="307" spans="1:27" x14ac:dyDescent="0.25">
      <c r="A307" s="2">
        <v>303</v>
      </c>
      <c r="B307" s="4">
        <v>46123</v>
      </c>
      <c r="C307" s="2" t="s">
        <v>36</v>
      </c>
      <c r="D307" s="2" t="s">
        <v>30</v>
      </c>
      <c r="E307" s="2" t="s">
        <v>39</v>
      </c>
      <c r="F307" s="2">
        <v>910</v>
      </c>
      <c r="G307" s="2">
        <v>514.79999999999995</v>
      </c>
      <c r="H307" s="2">
        <v>504.6</v>
      </c>
      <c r="I307" s="2">
        <v>10.199999999999999</v>
      </c>
      <c r="J307" s="2">
        <v>3.33</v>
      </c>
      <c r="K307" s="2" t="s">
        <v>40</v>
      </c>
      <c r="L307" s="2" t="s">
        <v>41</v>
      </c>
      <c r="M307" s="2">
        <v>1003.3</v>
      </c>
      <c r="N307" s="2">
        <v>193.4</v>
      </c>
      <c r="O307" s="2">
        <v>60573.2</v>
      </c>
      <c r="P307" s="2">
        <v>184.9</v>
      </c>
      <c r="Q307" s="2">
        <v>1.27</v>
      </c>
      <c r="R307" s="2">
        <v>126.49</v>
      </c>
      <c r="S307" s="5">
        <f t="shared" si="36"/>
        <v>0.56571428571428561</v>
      </c>
      <c r="T307" s="5">
        <f t="shared" si="37"/>
        <v>0.58374999999999999</v>
      </c>
      <c r="U307" s="5">
        <f t="shared" si="38"/>
        <v>0.96910370143774849</v>
      </c>
      <c r="V307" s="5">
        <f t="shared" si="39"/>
        <v>0.98018648018648036</v>
      </c>
      <c r="W307" s="5">
        <f t="shared" si="40"/>
        <v>0.55450549450549458</v>
      </c>
      <c r="X307" s="5">
        <f t="shared" si="41"/>
        <v>1.9813519813519812E-2</v>
      </c>
      <c r="Y307" s="6">
        <f t="shared" si="42"/>
        <v>0.51310674773248277</v>
      </c>
      <c r="Z307" s="6">
        <f t="shared" si="43"/>
        <v>117.66355866355867</v>
      </c>
      <c r="AA307" s="2" t="str">
        <f t="shared" si="44"/>
        <v>Planned</v>
      </c>
    </row>
    <row r="308" spans="1:27" x14ac:dyDescent="0.25">
      <c r="A308" s="2">
        <v>304</v>
      </c>
      <c r="B308" s="4">
        <v>46124</v>
      </c>
      <c r="C308" s="2" t="s">
        <v>29</v>
      </c>
      <c r="D308" s="2" t="s">
        <v>30</v>
      </c>
      <c r="E308" s="2" t="s">
        <v>45</v>
      </c>
      <c r="F308" s="2">
        <v>988</v>
      </c>
      <c r="G308" s="2">
        <v>644.70000000000005</v>
      </c>
      <c r="H308" s="2">
        <v>633</v>
      </c>
      <c r="I308" s="2">
        <v>11.8</v>
      </c>
      <c r="J308" s="2">
        <v>2.4</v>
      </c>
      <c r="K308" s="2" t="s">
        <v>37</v>
      </c>
      <c r="L308" s="2" t="s">
        <v>38</v>
      </c>
      <c r="M308" s="2">
        <v>1335.9</v>
      </c>
      <c r="N308" s="2">
        <v>221.6</v>
      </c>
      <c r="O308" s="2">
        <v>81058.3</v>
      </c>
      <c r="P308" s="2">
        <v>171.3</v>
      </c>
      <c r="Q308" s="2">
        <v>1.73</v>
      </c>
      <c r="R308" s="2">
        <v>583.01</v>
      </c>
      <c r="S308" s="5">
        <f t="shared" si="36"/>
        <v>0.6525303643724697</v>
      </c>
      <c r="T308" s="5">
        <f t="shared" si="37"/>
        <v>0.7</v>
      </c>
      <c r="U308" s="5">
        <f t="shared" si="38"/>
        <v>0.93218623481781393</v>
      </c>
      <c r="V308" s="5">
        <f t="shared" si="39"/>
        <v>0.981852024197301</v>
      </c>
      <c r="W308" s="5">
        <f t="shared" si="40"/>
        <v>0.64068825910931171</v>
      </c>
      <c r="X308" s="5">
        <f t="shared" si="41"/>
        <v>1.83030867069955E-2</v>
      </c>
      <c r="Y308" s="6">
        <f t="shared" si="42"/>
        <v>0.48259600269481251</v>
      </c>
      <c r="Z308" s="6">
        <f t="shared" si="43"/>
        <v>125.73026213742826</v>
      </c>
      <c r="AA308" s="2" t="str">
        <f t="shared" si="44"/>
        <v>Breakdown</v>
      </c>
    </row>
    <row r="309" spans="1:27" x14ac:dyDescent="0.25">
      <c r="A309" s="2">
        <v>305</v>
      </c>
      <c r="B309" s="4">
        <v>46124</v>
      </c>
      <c r="C309" s="2" t="s">
        <v>34</v>
      </c>
      <c r="D309" s="2" t="s">
        <v>35</v>
      </c>
      <c r="E309" s="2" t="s">
        <v>31</v>
      </c>
      <c r="F309" s="2">
        <v>1037</v>
      </c>
      <c r="G309" s="2">
        <v>801.8</v>
      </c>
      <c r="H309" s="2">
        <v>794.7</v>
      </c>
      <c r="I309" s="2">
        <v>7.1</v>
      </c>
      <c r="J309" s="2">
        <v>0.15</v>
      </c>
      <c r="K309" s="2" t="s">
        <v>32</v>
      </c>
      <c r="L309" s="2" t="s">
        <v>33</v>
      </c>
      <c r="M309" s="2">
        <v>1572.9</v>
      </c>
      <c r="N309" s="2">
        <v>245.9</v>
      </c>
      <c r="O309" s="2">
        <v>88670.8</v>
      </c>
      <c r="P309" s="2">
        <v>184.9</v>
      </c>
      <c r="Q309" s="2">
        <v>1.64</v>
      </c>
      <c r="R309" s="2">
        <v>0</v>
      </c>
      <c r="S309" s="5">
        <f t="shared" si="36"/>
        <v>0.7731918997107039</v>
      </c>
      <c r="T309" s="5">
        <f t="shared" si="37"/>
        <v>0.98124999999999996</v>
      </c>
      <c r="U309" s="5">
        <f t="shared" si="38"/>
        <v>0.78796626722109953</v>
      </c>
      <c r="V309" s="5">
        <f t="shared" si="39"/>
        <v>0.99114492392117748</v>
      </c>
      <c r="W309" s="5">
        <f t="shared" si="40"/>
        <v>0.7663452266152363</v>
      </c>
      <c r="X309" s="5">
        <f t="shared" si="41"/>
        <v>8.8550760788226497E-3</v>
      </c>
      <c r="Y309" s="6">
        <f t="shared" si="42"/>
        <v>0.50975904380443759</v>
      </c>
      <c r="Z309" s="6">
        <f t="shared" si="43"/>
        <v>110.58967323522076</v>
      </c>
      <c r="AA309" s="2" t="str">
        <f t="shared" si="44"/>
        <v>No Maintenance</v>
      </c>
    </row>
    <row r="310" spans="1:27" x14ac:dyDescent="0.25">
      <c r="A310" s="2">
        <v>306</v>
      </c>
      <c r="B310" s="4">
        <v>46124</v>
      </c>
      <c r="C310" s="2" t="s">
        <v>36</v>
      </c>
      <c r="D310" s="2" t="s">
        <v>30</v>
      </c>
      <c r="E310" s="2" t="s">
        <v>39</v>
      </c>
      <c r="F310" s="2">
        <v>980</v>
      </c>
      <c r="G310" s="2">
        <v>798.5</v>
      </c>
      <c r="H310" s="2">
        <v>788.8</v>
      </c>
      <c r="I310" s="2">
        <v>9.6999999999999993</v>
      </c>
      <c r="J310" s="2">
        <v>0.56000000000000005</v>
      </c>
      <c r="K310" s="2" t="s">
        <v>48</v>
      </c>
      <c r="L310" s="2" t="s">
        <v>38</v>
      </c>
      <c r="M310" s="2">
        <v>1610.2</v>
      </c>
      <c r="N310" s="2">
        <v>277.3</v>
      </c>
      <c r="O310" s="2">
        <v>94666.9</v>
      </c>
      <c r="P310" s="2">
        <v>176.8</v>
      </c>
      <c r="Q310" s="2">
        <v>1.58</v>
      </c>
      <c r="R310" s="2">
        <v>450.2</v>
      </c>
      <c r="S310" s="5">
        <f t="shared" si="36"/>
        <v>0.81479591836734699</v>
      </c>
      <c r="T310" s="5">
        <f t="shared" si="37"/>
        <v>0.92999999999999994</v>
      </c>
      <c r="U310" s="5">
        <f t="shared" si="38"/>
        <v>0.87612464340574947</v>
      </c>
      <c r="V310" s="5">
        <f t="shared" si="39"/>
        <v>0.98785222291797115</v>
      </c>
      <c r="W310" s="5">
        <f t="shared" si="40"/>
        <v>0.80489795918367346</v>
      </c>
      <c r="X310" s="5">
        <f t="shared" si="41"/>
        <v>1.2147777082028802E-2</v>
      </c>
      <c r="Y310" s="6">
        <f t="shared" si="42"/>
        <v>0.49590113029437338</v>
      </c>
      <c r="Z310" s="6">
        <f t="shared" si="43"/>
        <v>118.55591734502191</v>
      </c>
      <c r="AA310" s="2" t="str">
        <f t="shared" si="44"/>
        <v>Breakdown</v>
      </c>
    </row>
    <row r="311" spans="1:27" x14ac:dyDescent="0.25">
      <c r="A311" s="2">
        <v>307</v>
      </c>
      <c r="B311" s="4">
        <v>46125</v>
      </c>
      <c r="C311" s="2" t="s">
        <v>29</v>
      </c>
      <c r="D311" s="2" t="s">
        <v>35</v>
      </c>
      <c r="E311" s="2" t="s">
        <v>31</v>
      </c>
      <c r="F311" s="2">
        <v>996</v>
      </c>
      <c r="G311" s="2">
        <v>758.2</v>
      </c>
      <c r="H311" s="2">
        <v>755.4</v>
      </c>
      <c r="I311" s="2">
        <v>2.8</v>
      </c>
      <c r="J311" s="2">
        <v>1.38</v>
      </c>
      <c r="K311" s="2" t="s">
        <v>48</v>
      </c>
      <c r="L311" s="2" t="s">
        <v>38</v>
      </c>
      <c r="M311" s="2">
        <v>1528.1</v>
      </c>
      <c r="N311" s="2">
        <v>238.5</v>
      </c>
      <c r="O311" s="2">
        <v>89664.7</v>
      </c>
      <c r="P311" s="2">
        <v>179.4</v>
      </c>
      <c r="Q311" s="2">
        <v>1.67</v>
      </c>
      <c r="R311" s="2">
        <v>675.66</v>
      </c>
      <c r="S311" s="5">
        <f t="shared" si="36"/>
        <v>0.76124497991967877</v>
      </c>
      <c r="T311" s="5">
        <f t="shared" si="37"/>
        <v>0.82750000000000001</v>
      </c>
      <c r="U311" s="5">
        <f t="shared" si="38"/>
        <v>0.91993351047695315</v>
      </c>
      <c r="V311" s="5">
        <f t="shared" si="39"/>
        <v>0.99630704299657069</v>
      </c>
      <c r="W311" s="5">
        <f t="shared" si="40"/>
        <v>0.75843373493975896</v>
      </c>
      <c r="X311" s="5">
        <f t="shared" si="41"/>
        <v>3.6929570034291738E-3</v>
      </c>
      <c r="Y311" s="6">
        <f t="shared" si="42"/>
        <v>0.49617171651069963</v>
      </c>
      <c r="Z311" s="6">
        <f t="shared" si="43"/>
        <v>118.25995779477709</v>
      </c>
      <c r="AA311" s="2" t="str">
        <f t="shared" si="44"/>
        <v>Breakdown</v>
      </c>
    </row>
    <row r="312" spans="1:27" x14ac:dyDescent="0.25">
      <c r="A312" s="2">
        <v>308</v>
      </c>
      <c r="B312" s="4">
        <v>46125</v>
      </c>
      <c r="C312" s="2" t="s">
        <v>34</v>
      </c>
      <c r="D312" s="2" t="s">
        <v>35</v>
      </c>
      <c r="E312" s="2" t="s">
        <v>31</v>
      </c>
      <c r="F312" s="2">
        <v>1010</v>
      </c>
      <c r="G312" s="2">
        <v>652.9</v>
      </c>
      <c r="H312" s="2">
        <v>647.5</v>
      </c>
      <c r="I312" s="2">
        <v>5.4</v>
      </c>
      <c r="J312" s="2">
        <v>3.15</v>
      </c>
      <c r="K312" s="2" t="s">
        <v>40</v>
      </c>
      <c r="L312" s="2" t="s">
        <v>41</v>
      </c>
      <c r="M312" s="2">
        <v>1366.5</v>
      </c>
      <c r="N312" s="2">
        <v>213.8</v>
      </c>
      <c r="O312" s="2">
        <v>79349.600000000006</v>
      </c>
      <c r="P312" s="2">
        <v>169.4</v>
      </c>
      <c r="Q312" s="2">
        <v>1.77</v>
      </c>
      <c r="R312" s="2">
        <v>177.66</v>
      </c>
      <c r="S312" s="5">
        <f t="shared" si="36"/>
        <v>0.64643564356435645</v>
      </c>
      <c r="T312" s="5">
        <f t="shared" si="37"/>
        <v>0.60624999999999996</v>
      </c>
      <c r="U312" s="5">
        <f t="shared" si="38"/>
        <v>1.0662855976319281</v>
      </c>
      <c r="V312" s="5">
        <f t="shared" si="39"/>
        <v>0.9917292081482616</v>
      </c>
      <c r="W312" s="5">
        <f t="shared" si="40"/>
        <v>0.64108910891089099</v>
      </c>
      <c r="X312" s="5">
        <f t="shared" si="41"/>
        <v>8.2707918517383981E-3</v>
      </c>
      <c r="Y312" s="6">
        <f t="shared" si="42"/>
        <v>0.47778997438712034</v>
      </c>
      <c r="Z312" s="6">
        <f t="shared" si="43"/>
        <v>121.53407872568542</v>
      </c>
      <c r="AA312" s="2" t="str">
        <f t="shared" si="44"/>
        <v>Planned</v>
      </c>
    </row>
    <row r="313" spans="1:27" x14ac:dyDescent="0.25">
      <c r="A313" s="2">
        <v>309</v>
      </c>
      <c r="B313" s="4">
        <v>46125</v>
      </c>
      <c r="C313" s="2" t="s">
        <v>36</v>
      </c>
      <c r="D313" s="2" t="s">
        <v>30</v>
      </c>
      <c r="E313" s="2" t="s">
        <v>31</v>
      </c>
      <c r="F313" s="2">
        <v>932</v>
      </c>
      <c r="G313" s="2">
        <v>657.4</v>
      </c>
      <c r="H313" s="2">
        <v>647.5</v>
      </c>
      <c r="I313" s="2">
        <v>9.8000000000000007</v>
      </c>
      <c r="J313" s="2">
        <v>0.19</v>
      </c>
      <c r="K313" s="2" t="s">
        <v>32</v>
      </c>
      <c r="L313" s="2" t="s">
        <v>33</v>
      </c>
      <c r="M313" s="2">
        <v>1360.4</v>
      </c>
      <c r="N313" s="2">
        <v>207.6</v>
      </c>
      <c r="O313" s="2">
        <v>74972.2</v>
      </c>
      <c r="P313" s="2">
        <v>181.6</v>
      </c>
      <c r="Q313" s="2">
        <v>1.95</v>
      </c>
      <c r="R313" s="2">
        <v>0</v>
      </c>
      <c r="S313" s="5">
        <f t="shared" si="36"/>
        <v>0.7053648068669528</v>
      </c>
      <c r="T313" s="5">
        <f t="shared" si="37"/>
        <v>0.97624999999999995</v>
      </c>
      <c r="U313" s="5">
        <f t="shared" si="38"/>
        <v>0.72252477015821026</v>
      </c>
      <c r="V313" s="5">
        <f t="shared" si="39"/>
        <v>0.98494067538789176</v>
      </c>
      <c r="W313" s="5">
        <f t="shared" si="40"/>
        <v>0.69474248927038618</v>
      </c>
      <c r="X313" s="5">
        <f t="shared" si="41"/>
        <v>1.4907210222087011E-2</v>
      </c>
      <c r="Y313" s="6">
        <f t="shared" si="42"/>
        <v>0.48324022346368711</v>
      </c>
      <c r="Z313" s="6">
        <f t="shared" si="43"/>
        <v>114.04350471554609</v>
      </c>
      <c r="AA313" s="2" t="str">
        <f t="shared" si="44"/>
        <v>No Maintenance</v>
      </c>
    </row>
    <row r="314" spans="1:27" x14ac:dyDescent="0.25">
      <c r="A314" s="2">
        <v>310</v>
      </c>
      <c r="B314" s="4">
        <v>46126</v>
      </c>
      <c r="C314" s="2" t="s">
        <v>29</v>
      </c>
      <c r="D314" s="2" t="s">
        <v>30</v>
      </c>
      <c r="E314" s="2" t="s">
        <v>39</v>
      </c>
      <c r="F314" s="2">
        <v>911</v>
      </c>
      <c r="G314" s="2">
        <v>547.5</v>
      </c>
      <c r="H314" s="2">
        <v>537.29999999999995</v>
      </c>
      <c r="I314" s="2">
        <v>10.1</v>
      </c>
      <c r="J314" s="2">
        <v>3.8</v>
      </c>
      <c r="K314" s="2" t="s">
        <v>40</v>
      </c>
      <c r="L314" s="2" t="s">
        <v>41</v>
      </c>
      <c r="M314" s="2">
        <v>1152</v>
      </c>
      <c r="N314" s="2">
        <v>176.8</v>
      </c>
      <c r="O314" s="2">
        <v>65448.6</v>
      </c>
      <c r="P314" s="2">
        <v>177.6</v>
      </c>
      <c r="Q314" s="2">
        <v>1.76</v>
      </c>
      <c r="R314" s="2">
        <v>167.52</v>
      </c>
      <c r="S314" s="5">
        <f t="shared" si="36"/>
        <v>0.60098792535675083</v>
      </c>
      <c r="T314" s="5">
        <f t="shared" si="37"/>
        <v>0.52500000000000002</v>
      </c>
      <c r="U314" s="5">
        <f t="shared" si="38"/>
        <v>1.1447389054414301</v>
      </c>
      <c r="V314" s="5">
        <f t="shared" si="39"/>
        <v>0.98136986301369855</v>
      </c>
      <c r="W314" s="5">
        <f t="shared" si="40"/>
        <v>0.58979143798024147</v>
      </c>
      <c r="X314" s="5">
        <f t="shared" si="41"/>
        <v>1.8447488584474887E-2</v>
      </c>
      <c r="Y314" s="6">
        <f t="shared" si="42"/>
        <v>0.47526041666666669</v>
      </c>
      <c r="Z314" s="6">
        <f t="shared" si="43"/>
        <v>119.54082191780822</v>
      </c>
      <c r="AA314" s="2" t="str">
        <f t="shared" si="44"/>
        <v>Planned</v>
      </c>
    </row>
    <row r="315" spans="1:27" x14ac:dyDescent="0.25">
      <c r="A315" s="2">
        <v>311</v>
      </c>
      <c r="B315" s="4">
        <v>46126</v>
      </c>
      <c r="C315" s="2" t="s">
        <v>34</v>
      </c>
      <c r="D315" s="2" t="s">
        <v>35</v>
      </c>
      <c r="E315" s="2" t="s">
        <v>39</v>
      </c>
      <c r="F315" s="2">
        <v>1005</v>
      </c>
      <c r="G315" s="2">
        <v>891.8</v>
      </c>
      <c r="H315" s="2">
        <v>875.2</v>
      </c>
      <c r="I315" s="2">
        <v>16.600000000000001</v>
      </c>
      <c r="J315" s="2">
        <v>0.12</v>
      </c>
      <c r="K315" s="2" t="s">
        <v>32</v>
      </c>
      <c r="L315" s="2" t="s">
        <v>33</v>
      </c>
      <c r="M315" s="2">
        <v>1838.9</v>
      </c>
      <c r="N315" s="2">
        <v>310.89999999999998</v>
      </c>
      <c r="O315" s="2">
        <v>104054.5</v>
      </c>
      <c r="P315" s="2">
        <v>179.6</v>
      </c>
      <c r="Q315" s="2">
        <v>1.97</v>
      </c>
      <c r="R315" s="2">
        <v>0</v>
      </c>
      <c r="S315" s="5">
        <f t="shared" si="36"/>
        <v>0.88736318407960191</v>
      </c>
      <c r="T315" s="5">
        <f t="shared" si="37"/>
        <v>0.98499999999999999</v>
      </c>
      <c r="U315" s="5">
        <f t="shared" si="38"/>
        <v>0.9008763290148244</v>
      </c>
      <c r="V315" s="5">
        <f t="shared" si="39"/>
        <v>0.98138596097779784</v>
      </c>
      <c r="W315" s="5">
        <f t="shared" si="40"/>
        <v>0.87084577114427875</v>
      </c>
      <c r="X315" s="5">
        <f t="shared" si="41"/>
        <v>1.8614039022202291E-2</v>
      </c>
      <c r="Y315" s="6">
        <f t="shared" si="42"/>
        <v>0.48496383707651308</v>
      </c>
      <c r="Z315" s="6">
        <f t="shared" si="43"/>
        <v>116.67918815878001</v>
      </c>
      <c r="AA315" s="2" t="str">
        <f t="shared" si="44"/>
        <v>No Maintenance</v>
      </c>
    </row>
    <row r="316" spans="1:27" x14ac:dyDescent="0.25">
      <c r="A316" s="2">
        <v>312</v>
      </c>
      <c r="B316" s="4">
        <v>46126</v>
      </c>
      <c r="C316" s="2" t="s">
        <v>36</v>
      </c>
      <c r="D316" s="2" t="s">
        <v>35</v>
      </c>
      <c r="E316" s="2" t="s">
        <v>39</v>
      </c>
      <c r="F316" s="2">
        <v>990</v>
      </c>
      <c r="G316" s="2">
        <v>580.5</v>
      </c>
      <c r="H316" s="2">
        <v>570</v>
      </c>
      <c r="I316" s="2">
        <v>10.5</v>
      </c>
      <c r="J316" s="2">
        <v>2.96</v>
      </c>
      <c r="K316" s="2" t="s">
        <v>47</v>
      </c>
      <c r="L316" s="2" t="s">
        <v>38</v>
      </c>
      <c r="M316" s="2">
        <v>1239.5</v>
      </c>
      <c r="N316" s="2">
        <v>185.8</v>
      </c>
      <c r="O316" s="2">
        <v>73783</v>
      </c>
      <c r="P316" s="2">
        <v>173.3</v>
      </c>
      <c r="Q316" s="2">
        <v>1.71</v>
      </c>
      <c r="R316" s="2">
        <v>486.15</v>
      </c>
      <c r="S316" s="5">
        <f t="shared" si="36"/>
        <v>0.58636363636363631</v>
      </c>
      <c r="T316" s="5">
        <f t="shared" si="37"/>
        <v>0.63</v>
      </c>
      <c r="U316" s="5">
        <f t="shared" si="38"/>
        <v>0.93073593073593064</v>
      </c>
      <c r="V316" s="5">
        <f t="shared" si="39"/>
        <v>0.98191214470284238</v>
      </c>
      <c r="W316" s="5">
        <f t="shared" si="40"/>
        <v>0.57575757575757569</v>
      </c>
      <c r="X316" s="5">
        <f t="shared" si="41"/>
        <v>1.8087855297157621E-2</v>
      </c>
      <c r="Y316" s="6">
        <f t="shared" si="42"/>
        <v>0.46833400564743849</v>
      </c>
      <c r="Z316" s="6">
        <f t="shared" si="43"/>
        <v>127.10249784668389</v>
      </c>
      <c r="AA316" s="2" t="str">
        <f t="shared" si="44"/>
        <v>Breakdown</v>
      </c>
    </row>
    <row r="317" spans="1:27" x14ac:dyDescent="0.25">
      <c r="A317" s="2">
        <v>313</v>
      </c>
      <c r="B317" s="4">
        <v>46127</v>
      </c>
      <c r="C317" s="2" t="s">
        <v>29</v>
      </c>
      <c r="D317" s="2" t="s">
        <v>35</v>
      </c>
      <c r="E317" s="2" t="s">
        <v>39</v>
      </c>
      <c r="F317" s="2">
        <v>941</v>
      </c>
      <c r="G317" s="2">
        <v>911.1</v>
      </c>
      <c r="H317" s="2">
        <v>894.4</v>
      </c>
      <c r="I317" s="2">
        <v>16.7</v>
      </c>
      <c r="J317" s="2">
        <v>0.39</v>
      </c>
      <c r="K317" s="2" t="s">
        <v>32</v>
      </c>
      <c r="L317" s="2" t="s">
        <v>33</v>
      </c>
      <c r="M317" s="2">
        <v>1962.2</v>
      </c>
      <c r="N317" s="2">
        <v>311.10000000000002</v>
      </c>
      <c r="O317" s="2">
        <v>103469.1</v>
      </c>
      <c r="P317" s="2">
        <v>179.4</v>
      </c>
      <c r="Q317" s="2">
        <v>1.91</v>
      </c>
      <c r="R317" s="2">
        <v>0</v>
      </c>
      <c r="S317" s="5">
        <f t="shared" si="36"/>
        <v>0.96822529224229548</v>
      </c>
      <c r="T317" s="5">
        <f t="shared" si="37"/>
        <v>0.95125000000000004</v>
      </c>
      <c r="U317" s="5">
        <f t="shared" si="38"/>
        <v>1.017845248086513</v>
      </c>
      <c r="V317" s="5">
        <f t="shared" si="39"/>
        <v>0.98167050817692891</v>
      </c>
      <c r="W317" s="5">
        <f t="shared" si="40"/>
        <v>0.95047821466524973</v>
      </c>
      <c r="X317" s="5">
        <f t="shared" si="41"/>
        <v>1.832949182307101E-2</v>
      </c>
      <c r="Y317" s="6">
        <f t="shared" si="42"/>
        <v>0.46432575680358779</v>
      </c>
      <c r="Z317" s="6">
        <f t="shared" si="43"/>
        <v>113.56503128086928</v>
      </c>
      <c r="AA317" s="2" t="str">
        <f t="shared" si="44"/>
        <v>No Maintenance</v>
      </c>
    </row>
    <row r="318" spans="1:27" x14ac:dyDescent="0.25">
      <c r="A318" s="2">
        <v>314</v>
      </c>
      <c r="B318" s="4">
        <v>46127</v>
      </c>
      <c r="C318" s="2" t="s">
        <v>34</v>
      </c>
      <c r="D318" s="2" t="s">
        <v>30</v>
      </c>
      <c r="E318" s="2" t="s">
        <v>31</v>
      </c>
      <c r="F318" s="2">
        <v>971</v>
      </c>
      <c r="G318" s="2">
        <v>616</v>
      </c>
      <c r="H318" s="2">
        <v>599.6</v>
      </c>
      <c r="I318" s="2">
        <v>16.399999999999999</v>
      </c>
      <c r="J318" s="2">
        <v>3.31</v>
      </c>
      <c r="K318" s="2" t="s">
        <v>44</v>
      </c>
      <c r="L318" s="2" t="s">
        <v>38</v>
      </c>
      <c r="M318" s="2">
        <v>1279.5</v>
      </c>
      <c r="N318" s="2">
        <v>191.5</v>
      </c>
      <c r="O318" s="2">
        <v>67584.800000000003</v>
      </c>
      <c r="P318" s="2">
        <v>174.4</v>
      </c>
      <c r="Q318" s="2">
        <v>1.63</v>
      </c>
      <c r="R318" s="2">
        <v>533.54</v>
      </c>
      <c r="S318" s="5">
        <f t="shared" si="36"/>
        <v>0.63439752832131824</v>
      </c>
      <c r="T318" s="5">
        <f t="shared" si="37"/>
        <v>0.58624999999999994</v>
      </c>
      <c r="U318" s="5">
        <f t="shared" si="38"/>
        <v>1.0821279800790078</v>
      </c>
      <c r="V318" s="5">
        <f t="shared" si="39"/>
        <v>0.97337662337662345</v>
      </c>
      <c r="W318" s="5">
        <f t="shared" si="40"/>
        <v>0.61750772399588061</v>
      </c>
      <c r="X318" s="5">
        <f t="shared" si="41"/>
        <v>2.6623376623376622E-2</v>
      </c>
      <c r="Y318" s="6">
        <f t="shared" si="42"/>
        <v>0.4814380617428683</v>
      </c>
      <c r="Z318" s="6">
        <f t="shared" si="43"/>
        <v>109.71558441558442</v>
      </c>
      <c r="AA318" s="2" t="str">
        <f t="shared" si="44"/>
        <v>Breakdown</v>
      </c>
    </row>
    <row r="319" spans="1:27" x14ac:dyDescent="0.25">
      <c r="A319" s="2">
        <v>315</v>
      </c>
      <c r="B319" s="4">
        <v>46127</v>
      </c>
      <c r="C319" s="2" t="s">
        <v>36</v>
      </c>
      <c r="D319" s="2" t="s">
        <v>30</v>
      </c>
      <c r="E319" s="2" t="s">
        <v>45</v>
      </c>
      <c r="F319" s="2">
        <v>1045</v>
      </c>
      <c r="G319" s="2">
        <v>767.3</v>
      </c>
      <c r="H319" s="2">
        <v>757.1</v>
      </c>
      <c r="I319" s="2">
        <v>10.199999999999999</v>
      </c>
      <c r="J319" s="2">
        <v>0.57999999999999996</v>
      </c>
      <c r="K319" s="2" t="s">
        <v>42</v>
      </c>
      <c r="L319" s="2" t="s">
        <v>38</v>
      </c>
      <c r="M319" s="2">
        <v>1614.9</v>
      </c>
      <c r="N319" s="2">
        <v>264.39999999999998</v>
      </c>
      <c r="O319" s="2">
        <v>91913.7</v>
      </c>
      <c r="P319" s="2">
        <v>178.2</v>
      </c>
      <c r="Q319" s="2">
        <v>1.94</v>
      </c>
      <c r="R319" s="2">
        <v>739</v>
      </c>
      <c r="S319" s="5">
        <f t="shared" si="36"/>
        <v>0.73425837320574161</v>
      </c>
      <c r="T319" s="5">
        <f t="shared" si="37"/>
        <v>0.92749999999999999</v>
      </c>
      <c r="U319" s="5">
        <f t="shared" si="38"/>
        <v>0.79165323256683728</v>
      </c>
      <c r="V319" s="5">
        <f t="shared" si="39"/>
        <v>0.98670663365046274</v>
      </c>
      <c r="W319" s="5">
        <f t="shared" si="40"/>
        <v>0.72449760765550242</v>
      </c>
      <c r="X319" s="5">
        <f t="shared" si="41"/>
        <v>1.3293366349537339E-2</v>
      </c>
      <c r="Y319" s="6">
        <f t="shared" si="42"/>
        <v>0.47513777942906676</v>
      </c>
      <c r="Z319" s="6">
        <f t="shared" si="43"/>
        <v>119.78847908249708</v>
      </c>
      <c r="AA319" s="2" t="str">
        <f t="shared" si="44"/>
        <v>Breakdown</v>
      </c>
    </row>
    <row r="320" spans="1:27" x14ac:dyDescent="0.25">
      <c r="A320" s="2">
        <v>316</v>
      </c>
      <c r="B320" s="4">
        <v>46128</v>
      </c>
      <c r="C320" s="2" t="s">
        <v>29</v>
      </c>
      <c r="D320" s="2" t="s">
        <v>30</v>
      </c>
      <c r="E320" s="2" t="s">
        <v>39</v>
      </c>
      <c r="F320" s="2">
        <v>914</v>
      </c>
      <c r="G320" s="2">
        <v>711.1</v>
      </c>
      <c r="H320" s="2">
        <v>701.9</v>
      </c>
      <c r="I320" s="2">
        <v>9.3000000000000007</v>
      </c>
      <c r="J320" s="2">
        <v>0.14000000000000001</v>
      </c>
      <c r="K320" s="2" t="s">
        <v>32</v>
      </c>
      <c r="L320" s="2" t="s">
        <v>33</v>
      </c>
      <c r="M320" s="2">
        <v>1487.3</v>
      </c>
      <c r="N320" s="2">
        <v>222.9</v>
      </c>
      <c r="O320" s="2">
        <v>80936.399999999994</v>
      </c>
      <c r="P320" s="2">
        <v>177.4</v>
      </c>
      <c r="Q320" s="2">
        <v>1.56</v>
      </c>
      <c r="R320" s="2">
        <v>0</v>
      </c>
      <c r="S320" s="5">
        <f t="shared" si="36"/>
        <v>0.77800875273522974</v>
      </c>
      <c r="T320" s="5">
        <f t="shared" si="37"/>
        <v>0.98250000000000004</v>
      </c>
      <c r="U320" s="5">
        <f t="shared" si="38"/>
        <v>0.79186641499768939</v>
      </c>
      <c r="V320" s="5">
        <f t="shared" si="39"/>
        <v>0.98706229784840382</v>
      </c>
      <c r="W320" s="5">
        <f t="shared" si="40"/>
        <v>0.76794310722100656</v>
      </c>
      <c r="X320" s="5">
        <f t="shared" si="41"/>
        <v>1.3078329348896077E-2</v>
      </c>
      <c r="Y320" s="6">
        <f t="shared" si="42"/>
        <v>0.4781147044980838</v>
      </c>
      <c r="Z320" s="6">
        <f t="shared" si="43"/>
        <v>113.81859091548304</v>
      </c>
      <c r="AA320" s="2" t="str">
        <f t="shared" si="44"/>
        <v>No Maintenance</v>
      </c>
    </row>
    <row r="321" spans="1:27" x14ac:dyDescent="0.25">
      <c r="A321" s="2">
        <v>317</v>
      </c>
      <c r="B321" s="4">
        <v>46128</v>
      </c>
      <c r="C321" s="2" t="s">
        <v>34</v>
      </c>
      <c r="D321" s="2" t="s">
        <v>35</v>
      </c>
      <c r="E321" s="2" t="s">
        <v>39</v>
      </c>
      <c r="F321" s="2">
        <v>960</v>
      </c>
      <c r="G321" s="2">
        <v>879.7</v>
      </c>
      <c r="H321" s="2">
        <v>862.4</v>
      </c>
      <c r="I321" s="2">
        <v>17.3</v>
      </c>
      <c r="J321" s="2">
        <v>0.33</v>
      </c>
      <c r="K321" s="2" t="s">
        <v>32</v>
      </c>
      <c r="L321" s="2" t="s">
        <v>33</v>
      </c>
      <c r="M321" s="2">
        <v>1807.1</v>
      </c>
      <c r="N321" s="2">
        <v>243.3</v>
      </c>
      <c r="O321" s="2">
        <v>99126.7</v>
      </c>
      <c r="P321" s="2">
        <v>173.8</v>
      </c>
      <c r="Q321" s="2">
        <v>1.84</v>
      </c>
      <c r="R321" s="2">
        <v>0</v>
      </c>
      <c r="S321" s="5">
        <f t="shared" si="36"/>
        <v>0.91635416666666669</v>
      </c>
      <c r="T321" s="5">
        <f t="shared" si="37"/>
        <v>0.95874999999999999</v>
      </c>
      <c r="U321" s="5">
        <f t="shared" si="38"/>
        <v>0.95578009561060417</v>
      </c>
      <c r="V321" s="5">
        <f t="shared" si="39"/>
        <v>0.98033420484255984</v>
      </c>
      <c r="W321" s="5">
        <f t="shared" si="40"/>
        <v>0.89833333333333321</v>
      </c>
      <c r="X321" s="5">
        <f t="shared" si="41"/>
        <v>1.9665795157440037E-2</v>
      </c>
      <c r="Y321" s="6">
        <f t="shared" si="42"/>
        <v>0.48680205854684305</v>
      </c>
      <c r="Z321" s="6">
        <f t="shared" si="43"/>
        <v>112.68239172445151</v>
      </c>
      <c r="AA321" s="2" t="str">
        <f t="shared" si="44"/>
        <v>No Maintenance</v>
      </c>
    </row>
    <row r="322" spans="1:27" x14ac:dyDescent="0.25">
      <c r="A322" s="2">
        <v>318</v>
      </c>
      <c r="B322" s="4">
        <v>46128</v>
      </c>
      <c r="C322" s="2" t="s">
        <v>36</v>
      </c>
      <c r="D322" s="2" t="s">
        <v>35</v>
      </c>
      <c r="E322" s="2" t="s">
        <v>45</v>
      </c>
      <c r="F322" s="2">
        <v>1045</v>
      </c>
      <c r="G322" s="2">
        <v>763</v>
      </c>
      <c r="H322" s="2">
        <v>754.6</v>
      </c>
      <c r="I322" s="2">
        <v>8.4</v>
      </c>
      <c r="J322" s="2">
        <v>0.95</v>
      </c>
      <c r="K322" s="2" t="s">
        <v>47</v>
      </c>
      <c r="L322" s="2" t="s">
        <v>38</v>
      </c>
      <c r="M322" s="2">
        <v>1495.6</v>
      </c>
      <c r="N322" s="2">
        <v>231.4</v>
      </c>
      <c r="O322" s="2">
        <v>82069</v>
      </c>
      <c r="P322" s="2">
        <v>173.6</v>
      </c>
      <c r="Q322" s="2">
        <v>1.76</v>
      </c>
      <c r="R322" s="2">
        <v>412.01</v>
      </c>
      <c r="S322" s="5">
        <f t="shared" si="36"/>
        <v>0.73014354066985643</v>
      </c>
      <c r="T322" s="5">
        <f t="shared" si="37"/>
        <v>0.88124999999999998</v>
      </c>
      <c r="U322" s="5">
        <f t="shared" si="38"/>
        <v>0.82853167735586553</v>
      </c>
      <c r="V322" s="5">
        <f t="shared" si="39"/>
        <v>0.98899082568807339</v>
      </c>
      <c r="W322" s="5">
        <f t="shared" si="40"/>
        <v>0.72210526315789469</v>
      </c>
      <c r="X322" s="5">
        <f t="shared" si="41"/>
        <v>1.1009174311926606E-2</v>
      </c>
      <c r="Y322" s="6">
        <f t="shared" si="42"/>
        <v>0.51016314522599626</v>
      </c>
      <c r="Z322" s="6">
        <f t="shared" si="43"/>
        <v>107.56094364351245</v>
      </c>
      <c r="AA322" s="2" t="str">
        <f t="shared" si="44"/>
        <v>Breakdown</v>
      </c>
    </row>
    <row r="323" spans="1:27" x14ac:dyDescent="0.25">
      <c r="A323" s="2">
        <v>319</v>
      </c>
      <c r="B323" s="4">
        <v>46129</v>
      </c>
      <c r="C323" s="2" t="s">
        <v>29</v>
      </c>
      <c r="D323" s="2" t="s">
        <v>30</v>
      </c>
      <c r="E323" s="2" t="s">
        <v>45</v>
      </c>
      <c r="F323" s="2">
        <v>903</v>
      </c>
      <c r="G323" s="2">
        <v>728.4</v>
      </c>
      <c r="H323" s="2">
        <v>718</v>
      </c>
      <c r="I323" s="2">
        <v>10.4</v>
      </c>
      <c r="J323" s="2">
        <v>1.48</v>
      </c>
      <c r="K323" s="2" t="s">
        <v>44</v>
      </c>
      <c r="L323" s="2" t="s">
        <v>38</v>
      </c>
      <c r="M323" s="2">
        <v>1500.3</v>
      </c>
      <c r="N323" s="2">
        <v>238.5</v>
      </c>
      <c r="O323" s="2">
        <v>97507</v>
      </c>
      <c r="P323" s="2">
        <v>171.7</v>
      </c>
      <c r="Q323" s="2">
        <v>1.78</v>
      </c>
      <c r="R323" s="2">
        <v>773.08</v>
      </c>
      <c r="S323" s="5">
        <f t="shared" si="36"/>
        <v>0.80664451827242523</v>
      </c>
      <c r="T323" s="5">
        <f t="shared" si="37"/>
        <v>0.81499999999999995</v>
      </c>
      <c r="U323" s="5">
        <f t="shared" si="38"/>
        <v>0.98974787518088991</v>
      </c>
      <c r="V323" s="5">
        <f t="shared" si="39"/>
        <v>0.98572213069741899</v>
      </c>
      <c r="W323" s="5">
        <f t="shared" si="40"/>
        <v>0.7951273532668881</v>
      </c>
      <c r="X323" s="5">
        <f t="shared" si="41"/>
        <v>1.4277869302581001E-2</v>
      </c>
      <c r="Y323" s="6">
        <f t="shared" si="42"/>
        <v>0.48550289942011599</v>
      </c>
      <c r="Z323" s="6">
        <f t="shared" si="43"/>
        <v>133.86463481603516</v>
      </c>
      <c r="AA323" s="2" t="str">
        <f t="shared" si="44"/>
        <v>Breakdown</v>
      </c>
    </row>
    <row r="324" spans="1:27" x14ac:dyDescent="0.25">
      <c r="A324" s="2">
        <v>320</v>
      </c>
      <c r="B324" s="4">
        <v>46129</v>
      </c>
      <c r="C324" s="2" t="s">
        <v>34</v>
      </c>
      <c r="D324" s="2" t="s">
        <v>35</v>
      </c>
      <c r="E324" s="2" t="s">
        <v>31</v>
      </c>
      <c r="F324" s="2">
        <v>950</v>
      </c>
      <c r="G324" s="2">
        <v>574.5</v>
      </c>
      <c r="H324" s="2">
        <v>567.6</v>
      </c>
      <c r="I324" s="2">
        <v>7</v>
      </c>
      <c r="J324" s="2">
        <v>2.86</v>
      </c>
      <c r="K324" s="2" t="s">
        <v>42</v>
      </c>
      <c r="L324" s="2" t="s">
        <v>38</v>
      </c>
      <c r="M324" s="2">
        <v>1200.4000000000001</v>
      </c>
      <c r="N324" s="2">
        <v>191.4</v>
      </c>
      <c r="O324" s="2">
        <v>68816.600000000006</v>
      </c>
      <c r="P324" s="2">
        <v>177.3</v>
      </c>
      <c r="Q324" s="2">
        <v>1.59</v>
      </c>
      <c r="R324" s="2">
        <v>884.58</v>
      </c>
      <c r="S324" s="5">
        <f t="shared" si="36"/>
        <v>0.60473684210526313</v>
      </c>
      <c r="T324" s="5">
        <f t="shared" si="37"/>
        <v>0.64250000000000007</v>
      </c>
      <c r="U324" s="5">
        <f t="shared" si="38"/>
        <v>0.94122465697317204</v>
      </c>
      <c r="V324" s="5">
        <f t="shared" si="39"/>
        <v>0.98798955613577022</v>
      </c>
      <c r="W324" s="5">
        <f t="shared" si="40"/>
        <v>0.59747368421052627</v>
      </c>
      <c r="X324" s="5">
        <f t="shared" si="41"/>
        <v>1.2184508268059183E-2</v>
      </c>
      <c r="Y324" s="6">
        <f t="shared" si="42"/>
        <v>0.47859046984338549</v>
      </c>
      <c r="Z324" s="6">
        <f t="shared" si="43"/>
        <v>119.78520452567452</v>
      </c>
      <c r="AA324" s="2" t="str">
        <f t="shared" si="44"/>
        <v>Breakdown</v>
      </c>
    </row>
    <row r="325" spans="1:27" x14ac:dyDescent="0.25">
      <c r="A325" s="2">
        <v>321</v>
      </c>
      <c r="B325" s="4">
        <v>46129</v>
      </c>
      <c r="C325" s="2" t="s">
        <v>36</v>
      </c>
      <c r="D325" s="2" t="s">
        <v>35</v>
      </c>
      <c r="E325" s="2" t="s">
        <v>39</v>
      </c>
      <c r="F325" s="2">
        <v>932</v>
      </c>
      <c r="G325" s="2">
        <v>594.1</v>
      </c>
      <c r="H325" s="2">
        <v>587.9</v>
      </c>
      <c r="I325" s="2">
        <v>6.2</v>
      </c>
      <c r="J325" s="2">
        <v>2.81</v>
      </c>
      <c r="K325" s="2" t="s">
        <v>37</v>
      </c>
      <c r="L325" s="2" t="s">
        <v>38</v>
      </c>
      <c r="M325" s="2">
        <v>1178</v>
      </c>
      <c r="N325" s="2">
        <v>175.3</v>
      </c>
      <c r="O325" s="2">
        <v>71048</v>
      </c>
      <c r="P325" s="2">
        <v>177.9</v>
      </c>
      <c r="Q325" s="2">
        <v>1.38</v>
      </c>
      <c r="R325" s="2">
        <v>437.85</v>
      </c>
      <c r="S325" s="5">
        <f t="shared" ref="S325:S364" si="45">G325/F325</f>
        <v>0.63744635193133048</v>
      </c>
      <c r="T325" s="5">
        <f t="shared" ref="T325:T364" si="46">MAX(0,1-J325/8)</f>
        <v>0.64874999999999994</v>
      </c>
      <c r="U325" s="5">
        <f t="shared" ref="U325:U364" si="47">IFERROR(G325/(F325*T325),0)</f>
        <v>0.98257626501939188</v>
      </c>
      <c r="V325" s="5">
        <f t="shared" ref="V325:V364" si="48">IFERROR(H325/G325,0)</f>
        <v>0.98956404645682539</v>
      </c>
      <c r="W325" s="5">
        <f t="shared" ref="W325:W364" si="49">T325*U325*V325</f>
        <v>0.63079399141630887</v>
      </c>
      <c r="X325" s="5">
        <f t="shared" ref="X325:X364" si="50">IFERROR(I325/G325,0)</f>
        <v>1.043595354317455E-2</v>
      </c>
      <c r="Y325" s="6">
        <f t="shared" ref="Y325:Y364" si="51">IFERROR(G325/M325,0)</f>
        <v>0.50432937181663839</v>
      </c>
      <c r="Z325" s="6">
        <f t="shared" ref="Z325:Z364" si="52">IFERROR(O325/G325,0)</f>
        <v>119.58929473152668</v>
      </c>
      <c r="AA325" s="2" t="str">
        <f t="shared" ref="AA325:AA364" si="53">IF(L325="None","No Maintenance",IF(L325="Preventive","Planned","Breakdown"))</f>
        <v>Breakdown</v>
      </c>
    </row>
    <row r="326" spans="1:27" x14ac:dyDescent="0.25">
      <c r="A326" s="2">
        <v>322</v>
      </c>
      <c r="B326" s="4">
        <v>46130</v>
      </c>
      <c r="C326" s="2" t="s">
        <v>29</v>
      </c>
      <c r="D326" s="2" t="s">
        <v>30</v>
      </c>
      <c r="E326" s="2" t="s">
        <v>31</v>
      </c>
      <c r="F326" s="2">
        <v>1028</v>
      </c>
      <c r="G326" s="2">
        <v>649.70000000000005</v>
      </c>
      <c r="H326" s="2">
        <v>634.9</v>
      </c>
      <c r="I326" s="2">
        <v>14.8</v>
      </c>
      <c r="J326" s="2">
        <v>3.09</v>
      </c>
      <c r="K326" s="2" t="s">
        <v>46</v>
      </c>
      <c r="L326" s="2" t="s">
        <v>38</v>
      </c>
      <c r="M326" s="2">
        <v>1363.1</v>
      </c>
      <c r="N326" s="2">
        <v>220.7</v>
      </c>
      <c r="O326" s="2">
        <v>78795.5</v>
      </c>
      <c r="P326" s="2">
        <v>172.1</v>
      </c>
      <c r="Q326" s="2">
        <v>1.85</v>
      </c>
      <c r="R326" s="2">
        <v>899.65</v>
      </c>
      <c r="S326" s="5">
        <f t="shared" si="45"/>
        <v>0.63200389105058374</v>
      </c>
      <c r="T326" s="5">
        <f t="shared" si="46"/>
        <v>0.61375000000000002</v>
      </c>
      <c r="U326" s="5">
        <f t="shared" si="47"/>
        <v>1.029741574013171</v>
      </c>
      <c r="V326" s="5">
        <f t="shared" si="48"/>
        <v>0.97722025550253955</v>
      </c>
      <c r="W326" s="5">
        <f t="shared" si="49"/>
        <v>0.61760700389105061</v>
      </c>
      <c r="X326" s="5">
        <f t="shared" si="50"/>
        <v>2.2779744497460366E-2</v>
      </c>
      <c r="Y326" s="6">
        <f t="shared" si="51"/>
        <v>0.47663414276282012</v>
      </c>
      <c r="Z326" s="6">
        <f t="shared" si="52"/>
        <v>121.27982145605664</v>
      </c>
      <c r="AA326" s="2" t="str">
        <f t="shared" si="53"/>
        <v>Breakdown</v>
      </c>
    </row>
    <row r="327" spans="1:27" x14ac:dyDescent="0.25">
      <c r="A327" s="2">
        <v>323</v>
      </c>
      <c r="B327" s="4">
        <v>46130</v>
      </c>
      <c r="C327" s="2" t="s">
        <v>34</v>
      </c>
      <c r="D327" s="2" t="s">
        <v>35</v>
      </c>
      <c r="E327" s="2" t="s">
        <v>39</v>
      </c>
      <c r="F327" s="2">
        <v>901</v>
      </c>
      <c r="G327" s="2">
        <v>810.5</v>
      </c>
      <c r="H327" s="2">
        <v>798.3</v>
      </c>
      <c r="I327" s="2">
        <v>12.2</v>
      </c>
      <c r="J327" s="2">
        <v>0.06</v>
      </c>
      <c r="K327" s="2" t="s">
        <v>32</v>
      </c>
      <c r="L327" s="2" t="s">
        <v>33</v>
      </c>
      <c r="M327" s="2">
        <v>1621.5</v>
      </c>
      <c r="N327" s="2">
        <v>266.2</v>
      </c>
      <c r="O327" s="2">
        <v>91269.3</v>
      </c>
      <c r="P327" s="2">
        <v>182.4</v>
      </c>
      <c r="Q327" s="2">
        <v>1.73</v>
      </c>
      <c r="R327" s="2">
        <v>0</v>
      </c>
      <c r="S327" s="5">
        <f t="shared" si="45"/>
        <v>0.89955604883462814</v>
      </c>
      <c r="T327" s="5">
        <f t="shared" si="46"/>
        <v>0.99250000000000005</v>
      </c>
      <c r="U327" s="5">
        <f t="shared" si="47"/>
        <v>0.90635370159660267</v>
      </c>
      <c r="V327" s="5">
        <f t="shared" si="48"/>
        <v>0.98494756323257238</v>
      </c>
      <c r="W327" s="5">
        <f t="shared" si="49"/>
        <v>0.88601553829078783</v>
      </c>
      <c r="X327" s="5">
        <f t="shared" si="50"/>
        <v>1.5052436767427513E-2</v>
      </c>
      <c r="Y327" s="6">
        <f t="shared" si="51"/>
        <v>0.49984582176996606</v>
      </c>
      <c r="Z327" s="6">
        <f t="shared" si="52"/>
        <v>112.60863664404688</v>
      </c>
      <c r="AA327" s="2" t="str">
        <f t="shared" si="53"/>
        <v>No Maintenance</v>
      </c>
    </row>
    <row r="328" spans="1:27" x14ac:dyDescent="0.25">
      <c r="A328" s="2">
        <v>324</v>
      </c>
      <c r="B328" s="4">
        <v>46130</v>
      </c>
      <c r="C328" s="2" t="s">
        <v>36</v>
      </c>
      <c r="D328" s="2" t="s">
        <v>30</v>
      </c>
      <c r="E328" s="2" t="s">
        <v>39</v>
      </c>
      <c r="F328" s="2">
        <v>1014</v>
      </c>
      <c r="G328" s="2">
        <v>851.6</v>
      </c>
      <c r="H328" s="2">
        <v>838.7</v>
      </c>
      <c r="I328" s="2">
        <v>13</v>
      </c>
      <c r="J328" s="2">
        <v>0.04</v>
      </c>
      <c r="K328" s="2" t="s">
        <v>32</v>
      </c>
      <c r="L328" s="2" t="s">
        <v>33</v>
      </c>
      <c r="M328" s="2">
        <v>1765.4</v>
      </c>
      <c r="N328" s="2">
        <v>257.60000000000002</v>
      </c>
      <c r="O328" s="2">
        <v>97857</v>
      </c>
      <c r="P328" s="2">
        <v>184.9</v>
      </c>
      <c r="Q328" s="2">
        <v>1.9</v>
      </c>
      <c r="R328" s="2">
        <v>0</v>
      </c>
      <c r="S328" s="5">
        <f t="shared" si="45"/>
        <v>0.83984220907297835</v>
      </c>
      <c r="T328" s="5">
        <f t="shared" si="46"/>
        <v>0.995</v>
      </c>
      <c r="U328" s="5">
        <f t="shared" si="47"/>
        <v>0.84406252168138529</v>
      </c>
      <c r="V328" s="5">
        <f t="shared" si="48"/>
        <v>0.98485204321277597</v>
      </c>
      <c r="W328" s="5">
        <f t="shared" si="49"/>
        <v>0.82712031558185406</v>
      </c>
      <c r="X328" s="5">
        <f t="shared" si="50"/>
        <v>1.5265382808830436E-2</v>
      </c>
      <c r="Y328" s="6">
        <f t="shared" si="51"/>
        <v>0.48238359578565765</v>
      </c>
      <c r="Z328" s="6">
        <f t="shared" si="52"/>
        <v>114.90958196336308</v>
      </c>
      <c r="AA328" s="2" t="str">
        <f t="shared" si="53"/>
        <v>No Maintenance</v>
      </c>
    </row>
    <row r="329" spans="1:27" x14ac:dyDescent="0.25">
      <c r="A329" s="2">
        <v>325</v>
      </c>
      <c r="B329" s="4">
        <v>46131</v>
      </c>
      <c r="C329" s="2" t="s">
        <v>29</v>
      </c>
      <c r="D329" s="2" t="s">
        <v>35</v>
      </c>
      <c r="E329" s="2" t="s">
        <v>45</v>
      </c>
      <c r="F329" s="2">
        <v>950</v>
      </c>
      <c r="G329" s="2">
        <v>878.5</v>
      </c>
      <c r="H329" s="2">
        <v>858.3</v>
      </c>
      <c r="I329" s="2">
        <v>20.2</v>
      </c>
      <c r="J329" s="2">
        <v>0.08</v>
      </c>
      <c r="K329" s="2" t="s">
        <v>32</v>
      </c>
      <c r="L329" s="2" t="s">
        <v>33</v>
      </c>
      <c r="M329" s="2">
        <v>1800.6</v>
      </c>
      <c r="N329" s="2">
        <v>312.8</v>
      </c>
      <c r="O329" s="2">
        <v>101654.39999999999</v>
      </c>
      <c r="P329" s="2">
        <v>174</v>
      </c>
      <c r="Q329" s="2">
        <v>1.76</v>
      </c>
      <c r="R329" s="2">
        <v>0</v>
      </c>
      <c r="S329" s="5">
        <f t="shared" si="45"/>
        <v>0.92473684210526319</v>
      </c>
      <c r="T329" s="5">
        <f t="shared" si="46"/>
        <v>0.99</v>
      </c>
      <c r="U329" s="5">
        <f t="shared" si="47"/>
        <v>0.93407761828814462</v>
      </c>
      <c r="V329" s="5">
        <f t="shared" si="48"/>
        <v>0.97700626067159924</v>
      </c>
      <c r="W329" s="5">
        <f t="shared" si="49"/>
        <v>0.90347368421052632</v>
      </c>
      <c r="X329" s="5">
        <f t="shared" si="50"/>
        <v>2.2993739328400681E-2</v>
      </c>
      <c r="Y329" s="6">
        <f t="shared" si="51"/>
        <v>0.48789292458069533</v>
      </c>
      <c r="Z329" s="6">
        <f t="shared" si="52"/>
        <v>115.71360273192941</v>
      </c>
      <c r="AA329" s="2" t="str">
        <f t="shared" si="53"/>
        <v>No Maintenance</v>
      </c>
    </row>
    <row r="330" spans="1:27" x14ac:dyDescent="0.25">
      <c r="A330" s="2">
        <v>326</v>
      </c>
      <c r="B330" s="4">
        <v>46131</v>
      </c>
      <c r="C330" s="2" t="s">
        <v>34</v>
      </c>
      <c r="D330" s="2" t="s">
        <v>35</v>
      </c>
      <c r="E330" s="2" t="s">
        <v>45</v>
      </c>
      <c r="F330" s="2">
        <v>934</v>
      </c>
      <c r="G330" s="2">
        <v>621.6</v>
      </c>
      <c r="H330" s="2">
        <v>617.70000000000005</v>
      </c>
      <c r="I330" s="2">
        <v>4</v>
      </c>
      <c r="J330" s="2">
        <v>1.66</v>
      </c>
      <c r="K330" s="2" t="s">
        <v>47</v>
      </c>
      <c r="L330" s="2" t="s">
        <v>38</v>
      </c>
      <c r="M330" s="2">
        <v>1264.8</v>
      </c>
      <c r="N330" s="2">
        <v>179.4</v>
      </c>
      <c r="O330" s="2">
        <v>68120.2</v>
      </c>
      <c r="P330" s="2">
        <v>179.3</v>
      </c>
      <c r="Q330" s="2">
        <v>1.73</v>
      </c>
      <c r="R330" s="2">
        <v>501.58</v>
      </c>
      <c r="S330" s="5">
        <f t="shared" si="45"/>
        <v>0.66552462526766598</v>
      </c>
      <c r="T330" s="5">
        <f t="shared" si="46"/>
        <v>0.79249999999999998</v>
      </c>
      <c r="U330" s="5">
        <f t="shared" si="47"/>
        <v>0.83977870696235457</v>
      </c>
      <c r="V330" s="5">
        <f t="shared" si="48"/>
        <v>0.99372586872586877</v>
      </c>
      <c r="W330" s="5">
        <f t="shared" si="49"/>
        <v>0.6613490364025697</v>
      </c>
      <c r="X330" s="5">
        <f t="shared" si="50"/>
        <v>6.4350064350064346E-3</v>
      </c>
      <c r="Y330" s="6">
        <f t="shared" si="51"/>
        <v>0.49146110056926001</v>
      </c>
      <c r="Z330" s="6">
        <f t="shared" si="52"/>
        <v>109.58848133848133</v>
      </c>
      <c r="AA330" s="2" t="str">
        <f t="shared" si="53"/>
        <v>Breakdown</v>
      </c>
    </row>
    <row r="331" spans="1:27" x14ac:dyDescent="0.25">
      <c r="A331" s="2">
        <v>327</v>
      </c>
      <c r="B331" s="4">
        <v>46131</v>
      </c>
      <c r="C331" s="2" t="s">
        <v>36</v>
      </c>
      <c r="D331" s="2" t="s">
        <v>30</v>
      </c>
      <c r="E331" s="2" t="s">
        <v>39</v>
      </c>
      <c r="F331" s="2">
        <v>948</v>
      </c>
      <c r="G331" s="2">
        <v>542.5</v>
      </c>
      <c r="H331" s="2">
        <v>530.29999999999995</v>
      </c>
      <c r="I331" s="2">
        <v>12.2</v>
      </c>
      <c r="J331" s="2">
        <v>3.15</v>
      </c>
      <c r="K331" s="2" t="s">
        <v>46</v>
      </c>
      <c r="L331" s="2" t="s">
        <v>38</v>
      </c>
      <c r="M331" s="2">
        <v>1087.8</v>
      </c>
      <c r="N331" s="2">
        <v>169</v>
      </c>
      <c r="O331" s="2">
        <v>64993.599999999999</v>
      </c>
      <c r="P331" s="2">
        <v>180.1</v>
      </c>
      <c r="Q331" s="2">
        <v>1.81</v>
      </c>
      <c r="R331" s="2">
        <v>762.53</v>
      </c>
      <c r="S331" s="5">
        <f t="shared" si="45"/>
        <v>0.5722573839662447</v>
      </c>
      <c r="T331" s="5">
        <f t="shared" si="46"/>
        <v>0.60624999999999996</v>
      </c>
      <c r="U331" s="5">
        <f t="shared" si="47"/>
        <v>0.94392970551133171</v>
      </c>
      <c r="V331" s="5">
        <f t="shared" si="48"/>
        <v>0.97751152073732706</v>
      </c>
      <c r="W331" s="5">
        <f t="shared" si="49"/>
        <v>0.5593881856540085</v>
      </c>
      <c r="X331" s="5">
        <f t="shared" si="50"/>
        <v>2.2488479262672809E-2</v>
      </c>
      <c r="Y331" s="6">
        <f t="shared" si="51"/>
        <v>0.49871299871299873</v>
      </c>
      <c r="Z331" s="6">
        <f t="shared" si="52"/>
        <v>119.80387096774193</v>
      </c>
      <c r="AA331" s="2" t="str">
        <f t="shared" si="53"/>
        <v>Breakdown</v>
      </c>
    </row>
    <row r="332" spans="1:27" x14ac:dyDescent="0.25">
      <c r="A332" s="2">
        <v>328</v>
      </c>
      <c r="B332" s="4">
        <v>46132</v>
      </c>
      <c r="C332" s="2" t="s">
        <v>29</v>
      </c>
      <c r="D332" s="2" t="s">
        <v>30</v>
      </c>
      <c r="E332" s="2" t="s">
        <v>31</v>
      </c>
      <c r="F332" s="2">
        <v>980</v>
      </c>
      <c r="G332" s="2">
        <v>769.8</v>
      </c>
      <c r="H332" s="2">
        <v>761.9</v>
      </c>
      <c r="I332" s="2">
        <v>7.9</v>
      </c>
      <c r="J332" s="2">
        <v>0.51</v>
      </c>
      <c r="K332" s="2" t="s">
        <v>48</v>
      </c>
      <c r="L332" s="2" t="s">
        <v>38</v>
      </c>
      <c r="M332" s="2">
        <v>1572.9</v>
      </c>
      <c r="N332" s="2">
        <v>234</v>
      </c>
      <c r="O332" s="2">
        <v>93955</v>
      </c>
      <c r="P332" s="2">
        <v>178.1</v>
      </c>
      <c r="Q332" s="2">
        <v>1.54</v>
      </c>
      <c r="R332" s="2">
        <v>733.83</v>
      </c>
      <c r="S332" s="5">
        <f t="shared" si="45"/>
        <v>0.78551020408163263</v>
      </c>
      <c r="T332" s="5">
        <f t="shared" si="46"/>
        <v>0.93625000000000003</v>
      </c>
      <c r="U332" s="5">
        <f t="shared" si="47"/>
        <v>0.83899621263725777</v>
      </c>
      <c r="V332" s="5">
        <f t="shared" si="48"/>
        <v>0.9897375941803066</v>
      </c>
      <c r="W332" s="5">
        <f t="shared" si="49"/>
        <v>0.77744897959183679</v>
      </c>
      <c r="X332" s="5">
        <f t="shared" si="50"/>
        <v>1.0262405819693428E-2</v>
      </c>
      <c r="Y332" s="6">
        <f t="shared" si="51"/>
        <v>0.48941445737173367</v>
      </c>
      <c r="Z332" s="6">
        <f t="shared" si="52"/>
        <v>122.05118212522734</v>
      </c>
      <c r="AA332" s="2" t="str">
        <f t="shared" si="53"/>
        <v>Breakdown</v>
      </c>
    </row>
    <row r="333" spans="1:27" x14ac:dyDescent="0.25">
      <c r="A333" s="2">
        <v>329</v>
      </c>
      <c r="B333" s="4">
        <v>46132</v>
      </c>
      <c r="C333" s="2" t="s">
        <v>34</v>
      </c>
      <c r="D333" s="2" t="s">
        <v>35</v>
      </c>
      <c r="E333" s="2" t="s">
        <v>31</v>
      </c>
      <c r="F333" s="2">
        <v>1042</v>
      </c>
      <c r="G333" s="2">
        <v>713.3</v>
      </c>
      <c r="H333" s="2">
        <v>699.1</v>
      </c>
      <c r="I333" s="2">
        <v>14.2</v>
      </c>
      <c r="J333" s="2">
        <v>2.85</v>
      </c>
      <c r="K333" s="2" t="s">
        <v>46</v>
      </c>
      <c r="L333" s="2" t="s">
        <v>38</v>
      </c>
      <c r="M333" s="2">
        <v>1430</v>
      </c>
      <c r="N333" s="2">
        <v>241.8</v>
      </c>
      <c r="O333" s="2">
        <v>85200.2</v>
      </c>
      <c r="P333" s="2">
        <v>179.1</v>
      </c>
      <c r="Q333" s="2">
        <v>1.6</v>
      </c>
      <c r="R333" s="2">
        <v>367.78</v>
      </c>
      <c r="S333" s="5">
        <f t="shared" si="45"/>
        <v>0.68454894433781188</v>
      </c>
      <c r="T333" s="5">
        <f t="shared" si="46"/>
        <v>0.64375000000000004</v>
      </c>
      <c r="U333" s="5">
        <f t="shared" si="47"/>
        <v>1.0633770009131058</v>
      </c>
      <c r="V333" s="5">
        <f t="shared" si="48"/>
        <v>0.98009252768820987</v>
      </c>
      <c r="W333" s="5">
        <f t="shared" si="49"/>
        <v>0.67092130518234172</v>
      </c>
      <c r="X333" s="5">
        <f t="shared" si="50"/>
        <v>1.990747231179027E-2</v>
      </c>
      <c r="Y333" s="6">
        <f t="shared" si="51"/>
        <v>0.4988111888111888</v>
      </c>
      <c r="Z333" s="6">
        <f t="shared" si="52"/>
        <v>119.4451142576756</v>
      </c>
      <c r="AA333" s="2" t="str">
        <f t="shared" si="53"/>
        <v>Breakdown</v>
      </c>
    </row>
    <row r="334" spans="1:27" x14ac:dyDescent="0.25">
      <c r="A334" s="2">
        <v>330</v>
      </c>
      <c r="B334" s="4">
        <v>46132</v>
      </c>
      <c r="C334" s="2" t="s">
        <v>36</v>
      </c>
      <c r="D334" s="2" t="s">
        <v>30</v>
      </c>
      <c r="E334" s="2" t="s">
        <v>31</v>
      </c>
      <c r="F334" s="2">
        <v>955</v>
      </c>
      <c r="G334" s="2">
        <v>769.6</v>
      </c>
      <c r="H334" s="2">
        <v>748.8</v>
      </c>
      <c r="I334" s="2">
        <v>20.7</v>
      </c>
      <c r="J334" s="2">
        <v>0.2</v>
      </c>
      <c r="K334" s="2" t="s">
        <v>32</v>
      </c>
      <c r="L334" s="2" t="s">
        <v>33</v>
      </c>
      <c r="M334" s="2">
        <v>1569.3</v>
      </c>
      <c r="N334" s="2">
        <v>241.2</v>
      </c>
      <c r="O334" s="2">
        <v>96432.1</v>
      </c>
      <c r="P334" s="2">
        <v>177.5</v>
      </c>
      <c r="Q334" s="2">
        <v>1.78</v>
      </c>
      <c r="R334" s="2">
        <v>0</v>
      </c>
      <c r="S334" s="5">
        <f t="shared" si="45"/>
        <v>0.80586387434554974</v>
      </c>
      <c r="T334" s="5">
        <f t="shared" si="46"/>
        <v>0.97499999999999998</v>
      </c>
      <c r="U334" s="5">
        <f t="shared" si="47"/>
        <v>0.82652705061082032</v>
      </c>
      <c r="V334" s="5">
        <f t="shared" si="48"/>
        <v>0.97297297297297292</v>
      </c>
      <c r="W334" s="5">
        <f t="shared" si="49"/>
        <v>0.7840837696335079</v>
      </c>
      <c r="X334" s="5">
        <f t="shared" si="50"/>
        <v>2.6897089397089395E-2</v>
      </c>
      <c r="Y334" s="6">
        <f t="shared" si="51"/>
        <v>0.49040973682533617</v>
      </c>
      <c r="Z334" s="6">
        <f t="shared" si="52"/>
        <v>125.30158523908524</v>
      </c>
      <c r="AA334" s="2" t="str">
        <f t="shared" si="53"/>
        <v>No Maintenance</v>
      </c>
    </row>
    <row r="335" spans="1:27" x14ac:dyDescent="0.25">
      <c r="A335" s="2">
        <v>331</v>
      </c>
      <c r="B335" s="4">
        <v>46133</v>
      </c>
      <c r="C335" s="2" t="s">
        <v>29</v>
      </c>
      <c r="D335" s="2" t="s">
        <v>30</v>
      </c>
      <c r="E335" s="2" t="s">
        <v>45</v>
      </c>
      <c r="F335" s="2">
        <v>1030</v>
      </c>
      <c r="G335" s="2">
        <v>615.20000000000005</v>
      </c>
      <c r="H335" s="2">
        <v>607</v>
      </c>
      <c r="I335" s="2">
        <v>8.1999999999999993</v>
      </c>
      <c r="J335" s="2">
        <v>2.7</v>
      </c>
      <c r="K335" s="2" t="s">
        <v>44</v>
      </c>
      <c r="L335" s="2" t="s">
        <v>43</v>
      </c>
      <c r="M335" s="2">
        <v>1232</v>
      </c>
      <c r="N335" s="2">
        <v>198</v>
      </c>
      <c r="O335" s="2">
        <v>64487.3</v>
      </c>
      <c r="P335" s="2">
        <v>183.5</v>
      </c>
      <c r="Q335" s="2">
        <v>1.78</v>
      </c>
      <c r="R335" s="2">
        <v>1488.2</v>
      </c>
      <c r="S335" s="5">
        <f t="shared" si="45"/>
        <v>0.59728155339805833</v>
      </c>
      <c r="T335" s="5">
        <f t="shared" si="46"/>
        <v>0.66249999999999998</v>
      </c>
      <c r="U335" s="5">
        <f t="shared" si="47"/>
        <v>0.90155706173291816</v>
      </c>
      <c r="V335" s="5">
        <f t="shared" si="48"/>
        <v>0.98667100130039009</v>
      </c>
      <c r="W335" s="5">
        <f t="shared" si="49"/>
        <v>0.5893203883495145</v>
      </c>
      <c r="X335" s="5">
        <f t="shared" si="50"/>
        <v>1.332899869960988E-2</v>
      </c>
      <c r="Y335" s="6">
        <f t="shared" si="51"/>
        <v>0.49935064935064938</v>
      </c>
      <c r="Z335" s="6">
        <f t="shared" si="52"/>
        <v>104.82330949284786</v>
      </c>
      <c r="AA335" s="2" t="str">
        <f t="shared" si="53"/>
        <v>Breakdown</v>
      </c>
    </row>
    <row r="336" spans="1:27" x14ac:dyDescent="0.25">
      <c r="A336" s="2">
        <v>332</v>
      </c>
      <c r="B336" s="4">
        <v>46133</v>
      </c>
      <c r="C336" s="2" t="s">
        <v>34</v>
      </c>
      <c r="D336" s="2" t="s">
        <v>35</v>
      </c>
      <c r="E336" s="2" t="s">
        <v>39</v>
      </c>
      <c r="F336" s="2">
        <v>1040</v>
      </c>
      <c r="G336" s="2">
        <v>667</v>
      </c>
      <c r="H336" s="2">
        <v>650.70000000000005</v>
      </c>
      <c r="I336" s="2">
        <v>16.3</v>
      </c>
      <c r="J336" s="2">
        <v>3.05</v>
      </c>
      <c r="K336" s="2" t="s">
        <v>40</v>
      </c>
      <c r="L336" s="2" t="s">
        <v>41</v>
      </c>
      <c r="M336" s="2">
        <v>1411.9</v>
      </c>
      <c r="N336" s="2">
        <v>217.3</v>
      </c>
      <c r="O336" s="2">
        <v>85222</v>
      </c>
      <c r="P336" s="2">
        <v>183.9</v>
      </c>
      <c r="Q336" s="2">
        <v>1.86</v>
      </c>
      <c r="R336" s="2">
        <v>150.94</v>
      </c>
      <c r="S336" s="5">
        <f t="shared" si="45"/>
        <v>0.6413461538461539</v>
      </c>
      <c r="T336" s="5">
        <f t="shared" si="46"/>
        <v>0.61875000000000002</v>
      </c>
      <c r="U336" s="5">
        <f t="shared" si="47"/>
        <v>1.0365190365190364</v>
      </c>
      <c r="V336" s="5">
        <f t="shared" si="48"/>
        <v>0.97556221889055483</v>
      </c>
      <c r="W336" s="5">
        <f t="shared" si="49"/>
        <v>0.62567307692307694</v>
      </c>
      <c r="X336" s="5">
        <f t="shared" si="50"/>
        <v>2.4437781109445278E-2</v>
      </c>
      <c r="Y336" s="6">
        <f t="shared" si="51"/>
        <v>0.47241306041504355</v>
      </c>
      <c r="Z336" s="6">
        <f t="shared" si="52"/>
        <v>127.76911544227886</v>
      </c>
      <c r="AA336" s="2" t="str">
        <f t="shared" si="53"/>
        <v>Planned</v>
      </c>
    </row>
    <row r="337" spans="1:27" x14ac:dyDescent="0.25">
      <c r="A337" s="2">
        <v>333</v>
      </c>
      <c r="B337" s="4">
        <v>46133</v>
      </c>
      <c r="C337" s="2" t="s">
        <v>36</v>
      </c>
      <c r="D337" s="2" t="s">
        <v>35</v>
      </c>
      <c r="E337" s="2" t="s">
        <v>31</v>
      </c>
      <c r="F337" s="2">
        <v>989</v>
      </c>
      <c r="G337" s="2">
        <v>791.1</v>
      </c>
      <c r="H337" s="2">
        <v>774.8</v>
      </c>
      <c r="I337" s="2">
        <v>16.3</v>
      </c>
      <c r="J337" s="2">
        <v>0.3</v>
      </c>
      <c r="K337" s="2" t="s">
        <v>32</v>
      </c>
      <c r="L337" s="2" t="s">
        <v>33</v>
      </c>
      <c r="M337" s="2">
        <v>1657.6</v>
      </c>
      <c r="N337" s="2">
        <v>252.7</v>
      </c>
      <c r="O337" s="2">
        <v>89714.4</v>
      </c>
      <c r="P337" s="2">
        <v>170.7</v>
      </c>
      <c r="Q337" s="2">
        <v>1.77</v>
      </c>
      <c r="R337" s="2">
        <v>0</v>
      </c>
      <c r="S337" s="5">
        <f t="shared" si="45"/>
        <v>0.79989888776541962</v>
      </c>
      <c r="T337" s="5">
        <f t="shared" si="46"/>
        <v>0.96250000000000002</v>
      </c>
      <c r="U337" s="5">
        <f t="shared" si="47"/>
        <v>0.83106377949653987</v>
      </c>
      <c r="V337" s="5">
        <f t="shared" si="48"/>
        <v>0.97939577803059019</v>
      </c>
      <c r="W337" s="5">
        <f t="shared" si="49"/>
        <v>0.7834175935288169</v>
      </c>
      <c r="X337" s="5">
        <f t="shared" si="50"/>
        <v>2.0604221969409683E-2</v>
      </c>
      <c r="Y337" s="6">
        <f t="shared" si="51"/>
        <v>0.47725627413127419</v>
      </c>
      <c r="Z337" s="6">
        <f t="shared" si="52"/>
        <v>113.40462646947287</v>
      </c>
      <c r="AA337" s="2" t="str">
        <f t="shared" si="53"/>
        <v>No Maintenance</v>
      </c>
    </row>
    <row r="338" spans="1:27" x14ac:dyDescent="0.25">
      <c r="A338" s="2">
        <v>334</v>
      </c>
      <c r="B338" s="4">
        <v>46134</v>
      </c>
      <c r="C338" s="2" t="s">
        <v>29</v>
      </c>
      <c r="D338" s="2" t="s">
        <v>30</v>
      </c>
      <c r="E338" s="2" t="s">
        <v>45</v>
      </c>
      <c r="F338" s="2">
        <v>1032</v>
      </c>
      <c r="G338" s="2">
        <v>1022.7</v>
      </c>
      <c r="H338" s="2">
        <v>997.3</v>
      </c>
      <c r="I338" s="2">
        <v>25.5</v>
      </c>
      <c r="J338" s="2">
        <v>0.08</v>
      </c>
      <c r="K338" s="2" t="s">
        <v>32</v>
      </c>
      <c r="L338" s="2" t="s">
        <v>33</v>
      </c>
      <c r="M338" s="2">
        <v>2093</v>
      </c>
      <c r="N338" s="2">
        <v>340.7</v>
      </c>
      <c r="O338" s="2">
        <v>131072.20000000001</v>
      </c>
      <c r="P338" s="2">
        <v>181.2</v>
      </c>
      <c r="Q338" s="2">
        <v>1.75</v>
      </c>
      <c r="R338" s="2">
        <v>0</v>
      </c>
      <c r="S338" s="5">
        <f t="shared" si="45"/>
        <v>0.99098837209302326</v>
      </c>
      <c r="T338" s="5">
        <f t="shared" si="46"/>
        <v>0.99</v>
      </c>
      <c r="U338" s="5">
        <f t="shared" si="47"/>
        <v>1.0009983556495186</v>
      </c>
      <c r="V338" s="5">
        <f t="shared" si="48"/>
        <v>0.97516378214530153</v>
      </c>
      <c r="W338" s="5">
        <f t="shared" si="49"/>
        <v>0.96637596899224809</v>
      </c>
      <c r="X338" s="5">
        <f t="shared" si="50"/>
        <v>2.4933998239953063E-2</v>
      </c>
      <c r="Y338" s="6">
        <f t="shared" si="51"/>
        <v>0.48862876254180604</v>
      </c>
      <c r="Z338" s="6">
        <f t="shared" si="52"/>
        <v>128.16290212183438</v>
      </c>
      <c r="AA338" s="2" t="str">
        <f t="shared" si="53"/>
        <v>No Maintenance</v>
      </c>
    </row>
    <row r="339" spans="1:27" x14ac:dyDescent="0.25">
      <c r="A339" s="2">
        <v>335</v>
      </c>
      <c r="B339" s="4">
        <v>46134</v>
      </c>
      <c r="C339" s="2" t="s">
        <v>34</v>
      </c>
      <c r="D339" s="2" t="s">
        <v>30</v>
      </c>
      <c r="E339" s="2" t="s">
        <v>31</v>
      </c>
      <c r="F339" s="2">
        <v>1050</v>
      </c>
      <c r="G339" s="2">
        <v>837.4</v>
      </c>
      <c r="H339" s="2">
        <v>824</v>
      </c>
      <c r="I339" s="2">
        <v>13.4</v>
      </c>
      <c r="J339" s="2">
        <v>0.16</v>
      </c>
      <c r="K339" s="2" t="s">
        <v>32</v>
      </c>
      <c r="L339" s="2" t="s">
        <v>33</v>
      </c>
      <c r="M339" s="2">
        <v>1757.1</v>
      </c>
      <c r="N339" s="2">
        <v>268.10000000000002</v>
      </c>
      <c r="O339" s="2">
        <v>97053.3</v>
      </c>
      <c r="P339" s="2">
        <v>173.7</v>
      </c>
      <c r="Q339" s="2">
        <v>2.02</v>
      </c>
      <c r="R339" s="2">
        <v>0</v>
      </c>
      <c r="S339" s="5">
        <f t="shared" si="45"/>
        <v>0.79752380952380952</v>
      </c>
      <c r="T339" s="5">
        <f t="shared" si="46"/>
        <v>0.98</v>
      </c>
      <c r="U339" s="5">
        <f t="shared" si="47"/>
        <v>0.81379980563654031</v>
      </c>
      <c r="V339" s="5">
        <f t="shared" si="48"/>
        <v>0.98399808932409838</v>
      </c>
      <c r="W339" s="5">
        <f t="shared" si="49"/>
        <v>0.78476190476190477</v>
      </c>
      <c r="X339" s="5">
        <f t="shared" si="50"/>
        <v>1.60019106759016E-2</v>
      </c>
      <c r="Y339" s="6">
        <f t="shared" si="51"/>
        <v>0.47658072961129133</v>
      </c>
      <c r="Z339" s="6">
        <f t="shared" si="52"/>
        <v>115.89837592548365</v>
      </c>
      <c r="AA339" s="2" t="str">
        <f t="shared" si="53"/>
        <v>No Maintenance</v>
      </c>
    </row>
    <row r="340" spans="1:27" x14ac:dyDescent="0.25">
      <c r="A340" s="2">
        <v>336</v>
      </c>
      <c r="B340" s="4">
        <v>46134</v>
      </c>
      <c r="C340" s="2" t="s">
        <v>36</v>
      </c>
      <c r="D340" s="2" t="s">
        <v>30</v>
      </c>
      <c r="E340" s="2" t="s">
        <v>39</v>
      </c>
      <c r="F340" s="2">
        <v>953</v>
      </c>
      <c r="G340" s="2">
        <v>514.5</v>
      </c>
      <c r="H340" s="2">
        <v>510.3</v>
      </c>
      <c r="I340" s="2">
        <v>4.3</v>
      </c>
      <c r="J340" s="2">
        <v>4.49</v>
      </c>
      <c r="K340" s="2" t="s">
        <v>40</v>
      </c>
      <c r="L340" s="2" t="s">
        <v>41</v>
      </c>
      <c r="M340" s="2">
        <v>1071.5999999999999</v>
      </c>
      <c r="N340" s="2">
        <v>165.2</v>
      </c>
      <c r="O340" s="2">
        <v>60545.2</v>
      </c>
      <c r="P340" s="2">
        <v>179.1</v>
      </c>
      <c r="Q340" s="2">
        <v>1.73</v>
      </c>
      <c r="R340" s="2">
        <v>209.98</v>
      </c>
      <c r="S340" s="5">
        <f t="shared" si="45"/>
        <v>0.53987408184679953</v>
      </c>
      <c r="T340" s="5">
        <f t="shared" si="46"/>
        <v>0.43874999999999997</v>
      </c>
      <c r="U340" s="5">
        <f t="shared" si="47"/>
        <v>1.2304822378274636</v>
      </c>
      <c r="V340" s="5">
        <f t="shared" si="48"/>
        <v>0.99183673469387756</v>
      </c>
      <c r="W340" s="5">
        <f t="shared" si="49"/>
        <v>0.53546694648478499</v>
      </c>
      <c r="X340" s="5">
        <f t="shared" si="50"/>
        <v>8.3576287657920311E-3</v>
      </c>
      <c r="Y340" s="6">
        <f t="shared" si="51"/>
        <v>0.48012318029115347</v>
      </c>
      <c r="Z340" s="6">
        <f t="shared" si="52"/>
        <v>117.67774538386783</v>
      </c>
      <c r="AA340" s="2" t="str">
        <f t="shared" si="53"/>
        <v>Planned</v>
      </c>
    </row>
    <row r="341" spans="1:27" x14ac:dyDescent="0.25">
      <c r="A341" s="2">
        <v>337</v>
      </c>
      <c r="B341" s="4">
        <v>46135</v>
      </c>
      <c r="C341" s="2" t="s">
        <v>29</v>
      </c>
      <c r="D341" s="2" t="s">
        <v>30</v>
      </c>
      <c r="E341" s="2" t="s">
        <v>39</v>
      </c>
      <c r="F341" s="2">
        <v>992</v>
      </c>
      <c r="G341" s="2">
        <v>641.29999999999995</v>
      </c>
      <c r="H341" s="2">
        <v>634.9</v>
      </c>
      <c r="I341" s="2">
        <v>6.3</v>
      </c>
      <c r="J341" s="2">
        <v>4.97</v>
      </c>
      <c r="K341" s="2" t="s">
        <v>40</v>
      </c>
      <c r="L341" s="2" t="s">
        <v>41</v>
      </c>
      <c r="M341" s="2">
        <v>1292</v>
      </c>
      <c r="N341" s="2">
        <v>215</v>
      </c>
      <c r="O341" s="2">
        <v>84355.199999999997</v>
      </c>
      <c r="P341" s="2">
        <v>180.6</v>
      </c>
      <c r="Q341" s="2">
        <v>1.57</v>
      </c>
      <c r="R341" s="2">
        <v>208.46</v>
      </c>
      <c r="S341" s="5">
        <f t="shared" si="45"/>
        <v>0.64647177419354829</v>
      </c>
      <c r="T341" s="5">
        <f t="shared" si="46"/>
        <v>0.37875000000000003</v>
      </c>
      <c r="U341" s="5">
        <f t="shared" si="47"/>
        <v>1.7068561694879163</v>
      </c>
      <c r="V341" s="5">
        <f t="shared" si="48"/>
        <v>0.99002027132387338</v>
      </c>
      <c r="W341" s="5">
        <f t="shared" si="49"/>
        <v>0.64002016129032258</v>
      </c>
      <c r="X341" s="5">
        <f t="shared" si="50"/>
        <v>9.82379541556214E-3</v>
      </c>
      <c r="Y341" s="6">
        <f t="shared" si="51"/>
        <v>0.49636222910216715</v>
      </c>
      <c r="Z341" s="6">
        <f t="shared" si="52"/>
        <v>131.53781381568689</v>
      </c>
      <c r="AA341" s="2" t="str">
        <f t="shared" si="53"/>
        <v>Planned</v>
      </c>
    </row>
    <row r="342" spans="1:27" x14ac:dyDescent="0.25">
      <c r="A342" s="2">
        <v>338</v>
      </c>
      <c r="B342" s="4">
        <v>46135</v>
      </c>
      <c r="C342" s="2" t="s">
        <v>34</v>
      </c>
      <c r="D342" s="2" t="s">
        <v>30</v>
      </c>
      <c r="E342" s="2" t="s">
        <v>45</v>
      </c>
      <c r="F342" s="2">
        <v>1032</v>
      </c>
      <c r="G342" s="2">
        <v>916.7</v>
      </c>
      <c r="H342" s="2">
        <v>906.7</v>
      </c>
      <c r="I342" s="2">
        <v>10</v>
      </c>
      <c r="J342" s="2">
        <v>0.03</v>
      </c>
      <c r="K342" s="2" t="s">
        <v>32</v>
      </c>
      <c r="L342" s="2" t="s">
        <v>33</v>
      </c>
      <c r="M342" s="2">
        <v>1894.2</v>
      </c>
      <c r="N342" s="2">
        <v>295.60000000000002</v>
      </c>
      <c r="O342" s="2">
        <v>108997.3</v>
      </c>
      <c r="P342" s="2">
        <v>180.4</v>
      </c>
      <c r="Q342" s="2">
        <v>1.7</v>
      </c>
      <c r="R342" s="2">
        <v>0</v>
      </c>
      <c r="S342" s="5">
        <f t="shared" si="45"/>
        <v>0.88827519379844966</v>
      </c>
      <c r="T342" s="5">
        <f t="shared" si="46"/>
        <v>0.99624999999999997</v>
      </c>
      <c r="U342" s="5">
        <f t="shared" si="47"/>
        <v>0.89161876416406505</v>
      </c>
      <c r="V342" s="5">
        <f t="shared" si="48"/>
        <v>0.98909130577069926</v>
      </c>
      <c r="W342" s="5">
        <f t="shared" si="49"/>
        <v>0.8785852713178296</v>
      </c>
      <c r="X342" s="5">
        <f t="shared" si="50"/>
        <v>1.0908694229300752E-2</v>
      </c>
      <c r="Y342" s="6">
        <f t="shared" si="51"/>
        <v>0.48395100834125226</v>
      </c>
      <c r="Z342" s="6">
        <f t="shared" si="52"/>
        <v>118.9018217519363</v>
      </c>
      <c r="AA342" s="2" t="str">
        <f t="shared" si="53"/>
        <v>No Maintenance</v>
      </c>
    </row>
    <row r="343" spans="1:27" x14ac:dyDescent="0.25">
      <c r="A343" s="2">
        <v>339</v>
      </c>
      <c r="B343" s="4">
        <v>46135</v>
      </c>
      <c r="C343" s="2" t="s">
        <v>36</v>
      </c>
      <c r="D343" s="2" t="s">
        <v>35</v>
      </c>
      <c r="E343" s="2" t="s">
        <v>45</v>
      </c>
      <c r="F343" s="2">
        <v>945</v>
      </c>
      <c r="G343" s="2">
        <v>616.9</v>
      </c>
      <c r="H343" s="2">
        <v>612.6</v>
      </c>
      <c r="I343" s="2">
        <v>4.3</v>
      </c>
      <c r="J343" s="2">
        <v>2.96</v>
      </c>
      <c r="K343" s="2" t="s">
        <v>42</v>
      </c>
      <c r="L343" s="2" t="s">
        <v>43</v>
      </c>
      <c r="M343" s="2">
        <v>1236.2</v>
      </c>
      <c r="N343" s="2">
        <v>203.9</v>
      </c>
      <c r="O343" s="2">
        <v>83995.3</v>
      </c>
      <c r="P343" s="2">
        <v>172.7</v>
      </c>
      <c r="Q343" s="2">
        <v>1.41</v>
      </c>
      <c r="R343" s="2">
        <v>884.48</v>
      </c>
      <c r="S343" s="5">
        <f t="shared" si="45"/>
        <v>0.65280423280423283</v>
      </c>
      <c r="T343" s="5">
        <f t="shared" si="46"/>
        <v>0.63</v>
      </c>
      <c r="U343" s="5">
        <f t="shared" si="47"/>
        <v>1.0361971949273536</v>
      </c>
      <c r="V343" s="5">
        <f t="shared" si="48"/>
        <v>0.99302966445128882</v>
      </c>
      <c r="W343" s="5">
        <f t="shared" si="49"/>
        <v>0.6482539682539683</v>
      </c>
      <c r="X343" s="5">
        <f t="shared" si="50"/>
        <v>6.970335548711298E-3</v>
      </c>
      <c r="Y343" s="6">
        <f t="shared" si="51"/>
        <v>0.49902928328749391</v>
      </c>
      <c r="Z343" s="6">
        <f t="shared" si="52"/>
        <v>136.15707570108609</v>
      </c>
      <c r="AA343" s="2" t="str">
        <f t="shared" si="53"/>
        <v>Breakdown</v>
      </c>
    </row>
    <row r="344" spans="1:27" x14ac:dyDescent="0.25">
      <c r="A344" s="2">
        <v>340</v>
      </c>
      <c r="B344" s="4">
        <v>46136</v>
      </c>
      <c r="C344" s="2" t="s">
        <v>29</v>
      </c>
      <c r="D344" s="2" t="s">
        <v>30</v>
      </c>
      <c r="E344" s="2" t="s">
        <v>45</v>
      </c>
      <c r="F344" s="2">
        <v>903</v>
      </c>
      <c r="G344" s="2">
        <v>570.29999999999995</v>
      </c>
      <c r="H344" s="2">
        <v>558.1</v>
      </c>
      <c r="I344" s="2">
        <v>12.2</v>
      </c>
      <c r="J344" s="2">
        <v>2.58</v>
      </c>
      <c r="K344" s="2" t="s">
        <v>42</v>
      </c>
      <c r="L344" s="2" t="s">
        <v>38</v>
      </c>
      <c r="M344" s="2">
        <v>1140.4000000000001</v>
      </c>
      <c r="N344" s="2">
        <v>174.2</v>
      </c>
      <c r="O344" s="2">
        <v>68473.600000000006</v>
      </c>
      <c r="P344" s="2">
        <v>184.3</v>
      </c>
      <c r="Q344" s="2">
        <v>1.83</v>
      </c>
      <c r="R344" s="2">
        <v>600.51</v>
      </c>
      <c r="S344" s="5">
        <f t="shared" si="45"/>
        <v>0.63156146179401984</v>
      </c>
      <c r="T344" s="5">
        <f t="shared" si="46"/>
        <v>0.67749999999999999</v>
      </c>
      <c r="U344" s="5">
        <f t="shared" si="47"/>
        <v>0.93219403954836877</v>
      </c>
      <c r="V344" s="5">
        <f t="shared" si="48"/>
        <v>0.97860775030685621</v>
      </c>
      <c r="W344" s="5">
        <f t="shared" si="49"/>
        <v>0.61805094130675531</v>
      </c>
      <c r="X344" s="5">
        <f t="shared" si="50"/>
        <v>2.1392249693143961E-2</v>
      </c>
      <c r="Y344" s="6">
        <f t="shared" si="51"/>
        <v>0.50008768853034014</v>
      </c>
      <c r="Z344" s="6">
        <f t="shared" si="52"/>
        <v>120.06593021216905</v>
      </c>
      <c r="AA344" s="2" t="str">
        <f t="shared" si="53"/>
        <v>Breakdown</v>
      </c>
    </row>
    <row r="345" spans="1:27" x14ac:dyDescent="0.25">
      <c r="A345" s="2">
        <v>341</v>
      </c>
      <c r="B345" s="4">
        <v>46136</v>
      </c>
      <c r="C345" s="2" t="s">
        <v>34</v>
      </c>
      <c r="D345" s="2" t="s">
        <v>30</v>
      </c>
      <c r="E345" s="2" t="s">
        <v>45</v>
      </c>
      <c r="F345" s="2">
        <v>953</v>
      </c>
      <c r="G345" s="2">
        <v>762.8</v>
      </c>
      <c r="H345" s="2">
        <v>748.9</v>
      </c>
      <c r="I345" s="2">
        <v>14</v>
      </c>
      <c r="J345" s="2">
        <v>0.02</v>
      </c>
      <c r="K345" s="2" t="s">
        <v>32</v>
      </c>
      <c r="L345" s="2" t="s">
        <v>33</v>
      </c>
      <c r="M345" s="2">
        <v>1543.7</v>
      </c>
      <c r="N345" s="2">
        <v>249.3</v>
      </c>
      <c r="O345" s="2">
        <v>83601</v>
      </c>
      <c r="P345" s="2">
        <v>175.7</v>
      </c>
      <c r="Q345" s="2">
        <v>1.69</v>
      </c>
      <c r="R345" s="2">
        <v>0</v>
      </c>
      <c r="S345" s="5">
        <f t="shared" si="45"/>
        <v>0.80041972717733467</v>
      </c>
      <c r="T345" s="5">
        <f t="shared" si="46"/>
        <v>0.99750000000000005</v>
      </c>
      <c r="U345" s="5">
        <f t="shared" si="47"/>
        <v>0.80242579165647587</v>
      </c>
      <c r="V345" s="5">
        <f t="shared" si="48"/>
        <v>0.98177766124803356</v>
      </c>
      <c r="W345" s="5">
        <f t="shared" si="49"/>
        <v>0.78583420776495272</v>
      </c>
      <c r="X345" s="5">
        <f t="shared" si="50"/>
        <v>1.8353434714210803E-2</v>
      </c>
      <c r="Y345" s="6">
        <f t="shared" si="51"/>
        <v>0.49413746194208713</v>
      </c>
      <c r="Z345" s="6">
        <f t="shared" si="52"/>
        <v>109.59753539590982</v>
      </c>
      <c r="AA345" s="2" t="str">
        <f t="shared" si="53"/>
        <v>No Maintenance</v>
      </c>
    </row>
    <row r="346" spans="1:27" x14ac:dyDescent="0.25">
      <c r="A346" s="2">
        <v>342</v>
      </c>
      <c r="B346" s="4">
        <v>46136</v>
      </c>
      <c r="C346" s="2" t="s">
        <v>36</v>
      </c>
      <c r="D346" s="2" t="s">
        <v>35</v>
      </c>
      <c r="E346" s="2" t="s">
        <v>39</v>
      </c>
      <c r="F346" s="2">
        <v>952</v>
      </c>
      <c r="G346" s="2">
        <v>586.6</v>
      </c>
      <c r="H346" s="2">
        <v>580.5</v>
      </c>
      <c r="I346" s="2">
        <v>6.1</v>
      </c>
      <c r="J346" s="2">
        <v>2.99</v>
      </c>
      <c r="K346" s="2" t="s">
        <v>42</v>
      </c>
      <c r="L346" s="2" t="s">
        <v>38</v>
      </c>
      <c r="M346" s="2">
        <v>1227</v>
      </c>
      <c r="N346" s="2">
        <v>176.3</v>
      </c>
      <c r="O346" s="2">
        <v>62394</v>
      </c>
      <c r="P346" s="2">
        <v>174.9</v>
      </c>
      <c r="Q346" s="2">
        <v>1.35</v>
      </c>
      <c r="R346" s="2">
        <v>436.59</v>
      </c>
      <c r="S346" s="5">
        <f t="shared" si="45"/>
        <v>0.61617647058823533</v>
      </c>
      <c r="T346" s="5">
        <f t="shared" si="46"/>
        <v>0.62624999999999997</v>
      </c>
      <c r="U346" s="5">
        <f t="shared" si="47"/>
        <v>0.98391452389338985</v>
      </c>
      <c r="V346" s="5">
        <f t="shared" si="48"/>
        <v>0.98960109103307192</v>
      </c>
      <c r="W346" s="5">
        <f t="shared" si="49"/>
        <v>0.60976890756302526</v>
      </c>
      <c r="X346" s="5">
        <f t="shared" si="50"/>
        <v>1.0398908966928059E-2</v>
      </c>
      <c r="Y346" s="6">
        <f t="shared" si="51"/>
        <v>0.47807660961695192</v>
      </c>
      <c r="Z346" s="6">
        <f t="shared" si="52"/>
        <v>106.3654960790999</v>
      </c>
      <c r="AA346" s="2" t="str">
        <f t="shared" si="53"/>
        <v>Breakdown</v>
      </c>
    </row>
    <row r="347" spans="1:27" x14ac:dyDescent="0.25">
      <c r="A347" s="2">
        <v>343</v>
      </c>
      <c r="B347" s="4">
        <v>46137</v>
      </c>
      <c r="C347" s="2" t="s">
        <v>29</v>
      </c>
      <c r="D347" s="2" t="s">
        <v>35</v>
      </c>
      <c r="E347" s="2" t="s">
        <v>39</v>
      </c>
      <c r="F347" s="2">
        <v>959</v>
      </c>
      <c r="G347" s="2">
        <v>622.9</v>
      </c>
      <c r="H347" s="2">
        <v>616.6</v>
      </c>
      <c r="I347" s="2">
        <v>6.3</v>
      </c>
      <c r="J347" s="2">
        <v>2.95</v>
      </c>
      <c r="K347" s="2" t="s">
        <v>37</v>
      </c>
      <c r="L347" s="2" t="s">
        <v>38</v>
      </c>
      <c r="M347" s="2">
        <v>1240.9000000000001</v>
      </c>
      <c r="N347" s="2">
        <v>199.9</v>
      </c>
      <c r="O347" s="2">
        <v>74851.899999999994</v>
      </c>
      <c r="P347" s="2">
        <v>181.5</v>
      </c>
      <c r="Q347" s="2">
        <v>1.83</v>
      </c>
      <c r="R347" s="2">
        <v>724.55</v>
      </c>
      <c r="S347" s="5">
        <f t="shared" si="45"/>
        <v>0.6495307612095933</v>
      </c>
      <c r="T347" s="5">
        <f t="shared" si="46"/>
        <v>0.63124999999999998</v>
      </c>
      <c r="U347" s="5">
        <f t="shared" si="47"/>
        <v>1.0289596217181676</v>
      </c>
      <c r="V347" s="5">
        <f t="shared" si="48"/>
        <v>0.98988601701717782</v>
      </c>
      <c r="W347" s="5">
        <f t="shared" si="49"/>
        <v>0.64296141814389995</v>
      </c>
      <c r="X347" s="5">
        <f t="shared" si="50"/>
        <v>1.0113982982822282E-2</v>
      </c>
      <c r="Y347" s="6">
        <f t="shared" si="51"/>
        <v>0.50197437343863316</v>
      </c>
      <c r="Z347" s="6">
        <f t="shared" si="52"/>
        <v>120.16680044951035</v>
      </c>
      <c r="AA347" s="2" t="str">
        <f t="shared" si="53"/>
        <v>Breakdown</v>
      </c>
    </row>
    <row r="348" spans="1:27" x14ac:dyDescent="0.25">
      <c r="A348" s="2">
        <v>344</v>
      </c>
      <c r="B348" s="4">
        <v>46137</v>
      </c>
      <c r="C348" s="2" t="s">
        <v>34</v>
      </c>
      <c r="D348" s="2" t="s">
        <v>35</v>
      </c>
      <c r="E348" s="2" t="s">
        <v>39</v>
      </c>
      <c r="F348" s="2">
        <v>984</v>
      </c>
      <c r="G348" s="2">
        <v>676</v>
      </c>
      <c r="H348" s="2">
        <v>665.9</v>
      </c>
      <c r="I348" s="2">
        <v>10.1</v>
      </c>
      <c r="J348" s="2">
        <v>4.93</v>
      </c>
      <c r="K348" s="2" t="s">
        <v>40</v>
      </c>
      <c r="L348" s="2" t="s">
        <v>41</v>
      </c>
      <c r="M348" s="2">
        <v>1311</v>
      </c>
      <c r="N348" s="2">
        <v>223.6</v>
      </c>
      <c r="O348" s="2">
        <v>83070.3</v>
      </c>
      <c r="P348" s="2">
        <v>173.7</v>
      </c>
      <c r="Q348" s="2">
        <v>1.49</v>
      </c>
      <c r="R348" s="2">
        <v>169.46</v>
      </c>
      <c r="S348" s="5">
        <f t="shared" si="45"/>
        <v>0.68699186991869921</v>
      </c>
      <c r="T348" s="5">
        <f t="shared" si="46"/>
        <v>0.38375000000000004</v>
      </c>
      <c r="U348" s="5">
        <f t="shared" si="47"/>
        <v>1.7902068271497047</v>
      </c>
      <c r="V348" s="5">
        <f t="shared" si="48"/>
        <v>0.98505917159763312</v>
      </c>
      <c r="W348" s="5">
        <f t="shared" si="49"/>
        <v>0.67672764227642279</v>
      </c>
      <c r="X348" s="5">
        <f t="shared" si="50"/>
        <v>1.4940828402366864E-2</v>
      </c>
      <c r="Y348" s="6">
        <f t="shared" si="51"/>
        <v>0.51563691838291381</v>
      </c>
      <c r="Z348" s="6">
        <f t="shared" si="52"/>
        <v>122.88505917159763</v>
      </c>
      <c r="AA348" s="2" t="str">
        <f t="shared" si="53"/>
        <v>Planned</v>
      </c>
    </row>
    <row r="349" spans="1:27" x14ac:dyDescent="0.25">
      <c r="A349" s="2">
        <v>345</v>
      </c>
      <c r="B349" s="4">
        <v>46137</v>
      </c>
      <c r="C349" s="2" t="s">
        <v>36</v>
      </c>
      <c r="D349" s="2" t="s">
        <v>30</v>
      </c>
      <c r="E349" s="2" t="s">
        <v>31</v>
      </c>
      <c r="F349" s="2">
        <v>928</v>
      </c>
      <c r="G349" s="2">
        <v>558.29999999999995</v>
      </c>
      <c r="H349" s="2">
        <v>547.70000000000005</v>
      </c>
      <c r="I349" s="2">
        <v>10.6</v>
      </c>
      <c r="J349" s="2">
        <v>2.66</v>
      </c>
      <c r="K349" s="2" t="s">
        <v>37</v>
      </c>
      <c r="L349" s="2" t="s">
        <v>38</v>
      </c>
      <c r="M349" s="2">
        <v>1160.5999999999999</v>
      </c>
      <c r="N349" s="2">
        <v>172.7</v>
      </c>
      <c r="O349" s="2">
        <v>65725.899999999994</v>
      </c>
      <c r="P349" s="2">
        <v>178</v>
      </c>
      <c r="Q349" s="2">
        <v>1.77</v>
      </c>
      <c r="R349" s="2">
        <v>594.73</v>
      </c>
      <c r="S349" s="5">
        <f t="shared" si="45"/>
        <v>0.60161637931034473</v>
      </c>
      <c r="T349" s="5">
        <f t="shared" si="46"/>
        <v>0.66749999999999998</v>
      </c>
      <c r="U349" s="5">
        <f t="shared" si="47"/>
        <v>0.90129794653235185</v>
      </c>
      <c r="V349" s="5">
        <f t="shared" si="48"/>
        <v>0.98101379186817139</v>
      </c>
      <c r="W349" s="5">
        <f t="shared" si="49"/>
        <v>0.59019396551724146</v>
      </c>
      <c r="X349" s="5">
        <f t="shared" si="50"/>
        <v>1.8986208131828768E-2</v>
      </c>
      <c r="Y349" s="6">
        <f t="shared" si="51"/>
        <v>0.4810442874375323</v>
      </c>
      <c r="Z349" s="6">
        <f t="shared" si="52"/>
        <v>117.7250582124306</v>
      </c>
      <c r="AA349" s="2" t="str">
        <f t="shared" si="53"/>
        <v>Breakdown</v>
      </c>
    </row>
    <row r="350" spans="1:27" x14ac:dyDescent="0.25">
      <c r="A350" s="2">
        <v>346</v>
      </c>
      <c r="B350" s="4">
        <v>46138</v>
      </c>
      <c r="C350" s="2" t="s">
        <v>29</v>
      </c>
      <c r="D350" s="2" t="s">
        <v>35</v>
      </c>
      <c r="E350" s="2" t="s">
        <v>31</v>
      </c>
      <c r="F350" s="2">
        <v>992</v>
      </c>
      <c r="G350" s="2">
        <v>909.8</v>
      </c>
      <c r="H350" s="2">
        <v>896.6</v>
      </c>
      <c r="I350" s="2">
        <v>13.2</v>
      </c>
      <c r="J350" s="2">
        <v>0.12</v>
      </c>
      <c r="K350" s="2" t="s">
        <v>32</v>
      </c>
      <c r="L350" s="2" t="s">
        <v>33</v>
      </c>
      <c r="M350" s="2">
        <v>1878.2</v>
      </c>
      <c r="N350" s="2">
        <v>301.8</v>
      </c>
      <c r="O350" s="2">
        <v>98766.2</v>
      </c>
      <c r="P350" s="2">
        <v>176.8</v>
      </c>
      <c r="Q350" s="2">
        <v>1.97</v>
      </c>
      <c r="R350" s="2">
        <v>0</v>
      </c>
      <c r="S350" s="5">
        <f t="shared" si="45"/>
        <v>0.91713709677419353</v>
      </c>
      <c r="T350" s="5">
        <f t="shared" si="46"/>
        <v>0.98499999999999999</v>
      </c>
      <c r="U350" s="5">
        <f t="shared" si="47"/>
        <v>0.9311036515474046</v>
      </c>
      <c r="V350" s="5">
        <f t="shared" si="48"/>
        <v>0.98549131677291724</v>
      </c>
      <c r="W350" s="5">
        <f t="shared" si="49"/>
        <v>0.90383064516129041</v>
      </c>
      <c r="X350" s="5">
        <f t="shared" si="50"/>
        <v>1.4508683227082875E-2</v>
      </c>
      <c r="Y350" s="6">
        <f t="shared" si="51"/>
        <v>0.48439995740602704</v>
      </c>
      <c r="Z350" s="6">
        <f t="shared" si="52"/>
        <v>108.55814464717521</v>
      </c>
      <c r="AA350" s="2" t="str">
        <f t="shared" si="53"/>
        <v>No Maintenance</v>
      </c>
    </row>
    <row r="351" spans="1:27" x14ac:dyDescent="0.25">
      <c r="A351" s="2">
        <v>347</v>
      </c>
      <c r="B351" s="4">
        <v>46138</v>
      </c>
      <c r="C351" s="2" t="s">
        <v>34</v>
      </c>
      <c r="D351" s="2" t="s">
        <v>35</v>
      </c>
      <c r="E351" s="2" t="s">
        <v>45</v>
      </c>
      <c r="F351" s="2">
        <v>945</v>
      </c>
      <c r="G351" s="2">
        <v>892.3</v>
      </c>
      <c r="H351" s="2">
        <v>870.8</v>
      </c>
      <c r="I351" s="2">
        <v>21.5</v>
      </c>
      <c r="J351" s="2">
        <v>0.05</v>
      </c>
      <c r="K351" s="2" t="s">
        <v>32</v>
      </c>
      <c r="L351" s="2" t="s">
        <v>33</v>
      </c>
      <c r="M351" s="2">
        <v>1842.9</v>
      </c>
      <c r="N351" s="2">
        <v>295.10000000000002</v>
      </c>
      <c r="O351" s="2">
        <v>108834.2</v>
      </c>
      <c r="P351" s="2">
        <v>173.2</v>
      </c>
      <c r="Q351" s="2">
        <v>2.13</v>
      </c>
      <c r="R351" s="2">
        <v>0</v>
      </c>
      <c r="S351" s="5">
        <f t="shared" si="45"/>
        <v>0.9442328042328042</v>
      </c>
      <c r="T351" s="5">
        <f t="shared" si="46"/>
        <v>0.99375000000000002</v>
      </c>
      <c r="U351" s="5">
        <f t="shared" si="47"/>
        <v>0.95017137532860796</v>
      </c>
      <c r="V351" s="5">
        <f t="shared" si="48"/>
        <v>0.9759049646979715</v>
      </c>
      <c r="W351" s="5">
        <f t="shared" si="49"/>
        <v>0.92148148148148146</v>
      </c>
      <c r="X351" s="5">
        <f t="shared" si="50"/>
        <v>2.4095035302028465E-2</v>
      </c>
      <c r="Y351" s="6">
        <f t="shared" si="51"/>
        <v>0.48418253839058001</v>
      </c>
      <c r="Z351" s="6">
        <f t="shared" si="52"/>
        <v>121.97041353804775</v>
      </c>
      <c r="AA351" s="2" t="str">
        <f t="shared" si="53"/>
        <v>No Maintenance</v>
      </c>
    </row>
    <row r="352" spans="1:27" x14ac:dyDescent="0.25">
      <c r="A352" s="2">
        <v>348</v>
      </c>
      <c r="B352" s="4">
        <v>46138</v>
      </c>
      <c r="C352" s="2" t="s">
        <v>36</v>
      </c>
      <c r="D352" s="2" t="s">
        <v>35</v>
      </c>
      <c r="E352" s="2" t="s">
        <v>39</v>
      </c>
      <c r="F352" s="2">
        <v>1019</v>
      </c>
      <c r="G352" s="2">
        <v>628.70000000000005</v>
      </c>
      <c r="H352" s="2">
        <v>618.4</v>
      </c>
      <c r="I352" s="2">
        <v>10.3</v>
      </c>
      <c r="J352" s="2">
        <v>2.72</v>
      </c>
      <c r="K352" s="2" t="s">
        <v>47</v>
      </c>
      <c r="L352" s="2" t="s">
        <v>38</v>
      </c>
      <c r="M352" s="2">
        <v>1264.5</v>
      </c>
      <c r="N352" s="2">
        <v>199.6</v>
      </c>
      <c r="O352" s="2">
        <v>76586.7</v>
      </c>
      <c r="P352" s="2">
        <v>171.7</v>
      </c>
      <c r="Q352" s="2">
        <v>1.61</v>
      </c>
      <c r="R352" s="2">
        <v>484.78</v>
      </c>
      <c r="S352" s="5">
        <f t="shared" si="45"/>
        <v>0.6169774288518155</v>
      </c>
      <c r="T352" s="5">
        <f t="shared" si="46"/>
        <v>0.65999999999999992</v>
      </c>
      <c r="U352" s="5">
        <f t="shared" si="47"/>
        <v>0.93481428613911455</v>
      </c>
      <c r="V352" s="5">
        <f t="shared" si="48"/>
        <v>0.9836169874343883</v>
      </c>
      <c r="W352" s="5">
        <f t="shared" si="49"/>
        <v>0.60686947988223738</v>
      </c>
      <c r="X352" s="5">
        <f t="shared" si="50"/>
        <v>1.6383012565611581E-2</v>
      </c>
      <c r="Y352" s="6">
        <f t="shared" si="51"/>
        <v>0.49719256623171215</v>
      </c>
      <c r="Z352" s="6">
        <f t="shared" si="52"/>
        <v>121.81756004453634</v>
      </c>
      <c r="AA352" s="2" t="str">
        <f t="shared" si="53"/>
        <v>Breakdown</v>
      </c>
    </row>
    <row r="353" spans="1:27" x14ac:dyDescent="0.25">
      <c r="A353" s="2">
        <v>349</v>
      </c>
      <c r="B353" s="4">
        <v>46139</v>
      </c>
      <c r="C353" s="2" t="s">
        <v>29</v>
      </c>
      <c r="D353" s="2" t="s">
        <v>35</v>
      </c>
      <c r="E353" s="2" t="s">
        <v>39</v>
      </c>
      <c r="F353" s="2">
        <v>1013</v>
      </c>
      <c r="G353" s="2">
        <v>849.9</v>
      </c>
      <c r="H353" s="2">
        <v>837.5</v>
      </c>
      <c r="I353" s="2">
        <v>12.3</v>
      </c>
      <c r="J353" s="2">
        <v>0.6</v>
      </c>
      <c r="K353" s="2" t="s">
        <v>37</v>
      </c>
      <c r="L353" s="2" t="s">
        <v>38</v>
      </c>
      <c r="M353" s="2">
        <v>1738</v>
      </c>
      <c r="N353" s="2">
        <v>279.8</v>
      </c>
      <c r="O353" s="2">
        <v>105332</v>
      </c>
      <c r="P353" s="2">
        <v>179.7</v>
      </c>
      <c r="Q353" s="2">
        <v>1.73</v>
      </c>
      <c r="R353" s="2">
        <v>691.48</v>
      </c>
      <c r="S353" s="5">
        <f t="shared" si="45"/>
        <v>0.83899308983218157</v>
      </c>
      <c r="T353" s="5">
        <f t="shared" si="46"/>
        <v>0.92500000000000004</v>
      </c>
      <c r="U353" s="5">
        <f t="shared" si="47"/>
        <v>0.9070195565753314</v>
      </c>
      <c r="V353" s="5">
        <f t="shared" si="48"/>
        <v>0.98541004824096956</v>
      </c>
      <c r="W353" s="5">
        <f t="shared" si="49"/>
        <v>0.82675222112537017</v>
      </c>
      <c r="X353" s="5">
        <f t="shared" si="50"/>
        <v>1.4472290857747972E-2</v>
      </c>
      <c r="Y353" s="6">
        <f t="shared" si="51"/>
        <v>0.48901035673187571</v>
      </c>
      <c r="Z353" s="6">
        <f t="shared" si="52"/>
        <v>123.93458053888693</v>
      </c>
      <c r="AA353" s="2" t="str">
        <f t="shared" si="53"/>
        <v>Breakdown</v>
      </c>
    </row>
    <row r="354" spans="1:27" x14ac:dyDescent="0.25">
      <c r="A354" s="2">
        <v>350</v>
      </c>
      <c r="B354" s="4">
        <v>46139</v>
      </c>
      <c r="C354" s="2" t="s">
        <v>34</v>
      </c>
      <c r="D354" s="2" t="s">
        <v>30</v>
      </c>
      <c r="E354" s="2" t="s">
        <v>45</v>
      </c>
      <c r="F354" s="2">
        <v>963</v>
      </c>
      <c r="G354" s="2">
        <v>795.9</v>
      </c>
      <c r="H354" s="2">
        <v>787.5</v>
      </c>
      <c r="I354" s="2">
        <v>8.4</v>
      </c>
      <c r="J354" s="2">
        <v>0.86</v>
      </c>
      <c r="K354" s="2" t="s">
        <v>37</v>
      </c>
      <c r="L354" s="2" t="s">
        <v>38</v>
      </c>
      <c r="M354" s="2">
        <v>1595.2</v>
      </c>
      <c r="N354" s="2">
        <v>245.9</v>
      </c>
      <c r="O354" s="2">
        <v>92965.8</v>
      </c>
      <c r="P354" s="2">
        <v>178.3</v>
      </c>
      <c r="Q354" s="2">
        <v>1.55</v>
      </c>
      <c r="R354" s="2">
        <v>750.31</v>
      </c>
      <c r="S354" s="5">
        <f t="shared" si="45"/>
        <v>0.82647975077881619</v>
      </c>
      <c r="T354" s="5">
        <f t="shared" si="46"/>
        <v>0.89249999999999996</v>
      </c>
      <c r="U354" s="5">
        <f t="shared" si="47"/>
        <v>0.92602773196506016</v>
      </c>
      <c r="V354" s="5">
        <f t="shared" si="48"/>
        <v>0.98944591029023754</v>
      </c>
      <c r="W354" s="5">
        <f t="shared" si="49"/>
        <v>0.81775700934579443</v>
      </c>
      <c r="X354" s="5">
        <f t="shared" si="50"/>
        <v>1.0554089709762534E-2</v>
      </c>
      <c r="Y354" s="6">
        <f t="shared" si="51"/>
        <v>0.49893430290872615</v>
      </c>
      <c r="Z354" s="6">
        <f t="shared" si="52"/>
        <v>116.80588013569545</v>
      </c>
      <c r="AA354" s="2" t="str">
        <f t="shared" si="53"/>
        <v>Breakdown</v>
      </c>
    </row>
    <row r="355" spans="1:27" x14ac:dyDescent="0.25">
      <c r="A355" s="2">
        <v>351</v>
      </c>
      <c r="B355" s="4">
        <v>46139</v>
      </c>
      <c r="C355" s="2" t="s">
        <v>36</v>
      </c>
      <c r="D355" s="2" t="s">
        <v>35</v>
      </c>
      <c r="E355" s="2" t="s">
        <v>45</v>
      </c>
      <c r="F355" s="2">
        <v>997</v>
      </c>
      <c r="G355" s="2">
        <v>635.9</v>
      </c>
      <c r="H355" s="2">
        <v>621.79999999999995</v>
      </c>
      <c r="I355" s="2">
        <v>14.2</v>
      </c>
      <c r="J355" s="2">
        <v>3.25</v>
      </c>
      <c r="K355" s="2" t="s">
        <v>40</v>
      </c>
      <c r="L355" s="2" t="s">
        <v>41</v>
      </c>
      <c r="M355" s="2">
        <v>1257.4000000000001</v>
      </c>
      <c r="N355" s="2">
        <v>205.1</v>
      </c>
      <c r="O355" s="2">
        <v>78159.100000000006</v>
      </c>
      <c r="P355" s="2">
        <v>182</v>
      </c>
      <c r="Q355" s="2">
        <v>1.52</v>
      </c>
      <c r="R355" s="2">
        <v>206.34</v>
      </c>
      <c r="S355" s="5">
        <f t="shared" si="45"/>
        <v>0.63781344032096288</v>
      </c>
      <c r="T355" s="5">
        <f t="shared" si="46"/>
        <v>0.59375</v>
      </c>
      <c r="U355" s="5">
        <f t="shared" si="47"/>
        <v>1.0742121100142532</v>
      </c>
      <c r="V355" s="5">
        <f t="shared" si="48"/>
        <v>0.97782670231168423</v>
      </c>
      <c r="W355" s="5">
        <f t="shared" si="49"/>
        <v>0.62367101303911732</v>
      </c>
      <c r="X355" s="5">
        <f t="shared" si="50"/>
        <v>2.2330555118729358E-2</v>
      </c>
      <c r="Y355" s="6">
        <f t="shared" si="51"/>
        <v>0.5057261014792428</v>
      </c>
      <c r="Z355" s="6">
        <f t="shared" si="52"/>
        <v>122.91099229438592</v>
      </c>
      <c r="AA355" s="2" t="str">
        <f t="shared" si="53"/>
        <v>Planned</v>
      </c>
    </row>
    <row r="356" spans="1:27" x14ac:dyDescent="0.25">
      <c r="A356" s="2">
        <v>352</v>
      </c>
      <c r="B356" s="4">
        <v>46140</v>
      </c>
      <c r="C356" s="2" t="s">
        <v>29</v>
      </c>
      <c r="D356" s="2" t="s">
        <v>30</v>
      </c>
      <c r="E356" s="2" t="s">
        <v>31</v>
      </c>
      <c r="F356" s="2">
        <v>954</v>
      </c>
      <c r="G356" s="2">
        <v>592.5</v>
      </c>
      <c r="H356" s="2">
        <v>581.1</v>
      </c>
      <c r="I356" s="2">
        <v>11.4</v>
      </c>
      <c r="J356" s="2">
        <v>3.69</v>
      </c>
      <c r="K356" s="2" t="s">
        <v>40</v>
      </c>
      <c r="L356" s="2" t="s">
        <v>41</v>
      </c>
      <c r="M356" s="2">
        <v>1185.5</v>
      </c>
      <c r="N356" s="2">
        <v>173.8</v>
      </c>
      <c r="O356" s="2">
        <v>75358.600000000006</v>
      </c>
      <c r="P356" s="2">
        <v>180.9</v>
      </c>
      <c r="Q356" s="2">
        <v>2</v>
      </c>
      <c r="R356" s="2">
        <v>131.84</v>
      </c>
      <c r="S356" s="5">
        <f t="shared" si="45"/>
        <v>0.62106918238993714</v>
      </c>
      <c r="T356" s="5">
        <f t="shared" si="46"/>
        <v>0.53875000000000006</v>
      </c>
      <c r="U356" s="5">
        <f t="shared" si="47"/>
        <v>1.1527966262458227</v>
      </c>
      <c r="V356" s="5">
        <f t="shared" si="48"/>
        <v>0.98075949367088611</v>
      </c>
      <c r="W356" s="5">
        <f t="shared" si="49"/>
        <v>0.60911949685534583</v>
      </c>
      <c r="X356" s="5">
        <f t="shared" si="50"/>
        <v>1.9240506329113925E-2</v>
      </c>
      <c r="Y356" s="6">
        <f t="shared" si="51"/>
        <v>0.49978911851539437</v>
      </c>
      <c r="Z356" s="6">
        <f t="shared" si="52"/>
        <v>127.18751054852322</v>
      </c>
      <c r="AA356" s="2" t="str">
        <f t="shared" si="53"/>
        <v>Planned</v>
      </c>
    </row>
    <row r="357" spans="1:27" x14ac:dyDescent="0.25">
      <c r="A357" s="2">
        <v>353</v>
      </c>
      <c r="B357" s="4">
        <v>46140</v>
      </c>
      <c r="C357" s="2" t="s">
        <v>34</v>
      </c>
      <c r="D357" s="2" t="s">
        <v>35</v>
      </c>
      <c r="E357" s="2" t="s">
        <v>39</v>
      </c>
      <c r="F357" s="2">
        <v>920</v>
      </c>
      <c r="G357" s="2">
        <v>839.7</v>
      </c>
      <c r="H357" s="2">
        <v>815.4</v>
      </c>
      <c r="I357" s="2">
        <v>24.3</v>
      </c>
      <c r="J357" s="2">
        <v>0.2</v>
      </c>
      <c r="K357" s="2" t="s">
        <v>32</v>
      </c>
      <c r="L357" s="2" t="s">
        <v>33</v>
      </c>
      <c r="M357" s="2">
        <v>1686.2</v>
      </c>
      <c r="N357" s="2">
        <v>290.2</v>
      </c>
      <c r="O357" s="2">
        <v>98452</v>
      </c>
      <c r="P357" s="2">
        <v>178.4</v>
      </c>
      <c r="Q357" s="2">
        <v>1.37</v>
      </c>
      <c r="R357" s="2">
        <v>0</v>
      </c>
      <c r="S357" s="5">
        <f t="shared" si="45"/>
        <v>0.91271739130434792</v>
      </c>
      <c r="T357" s="5">
        <f t="shared" si="46"/>
        <v>0.97499999999999998</v>
      </c>
      <c r="U357" s="5">
        <f t="shared" si="47"/>
        <v>0.93612040133779273</v>
      </c>
      <c r="V357" s="5">
        <f t="shared" si="48"/>
        <v>0.97106109324758838</v>
      </c>
      <c r="W357" s="5">
        <f t="shared" si="49"/>
        <v>0.88630434782608702</v>
      </c>
      <c r="X357" s="5">
        <f t="shared" si="50"/>
        <v>2.8938906752411574E-2</v>
      </c>
      <c r="Y357" s="6">
        <f t="shared" si="51"/>
        <v>0.49798363183489502</v>
      </c>
      <c r="Z357" s="6">
        <f t="shared" si="52"/>
        <v>117.24663570322734</v>
      </c>
      <c r="AA357" s="2" t="str">
        <f t="shared" si="53"/>
        <v>No Maintenance</v>
      </c>
    </row>
    <row r="358" spans="1:27" x14ac:dyDescent="0.25">
      <c r="A358" s="2">
        <v>354</v>
      </c>
      <c r="B358" s="4">
        <v>46140</v>
      </c>
      <c r="C358" s="2" t="s">
        <v>36</v>
      </c>
      <c r="D358" s="2" t="s">
        <v>35</v>
      </c>
      <c r="E358" s="2" t="s">
        <v>31</v>
      </c>
      <c r="F358" s="2">
        <v>999</v>
      </c>
      <c r="G358" s="2">
        <v>885.5</v>
      </c>
      <c r="H358" s="2">
        <v>879.7</v>
      </c>
      <c r="I358" s="2">
        <v>5.8</v>
      </c>
      <c r="J358" s="2">
        <v>0.3</v>
      </c>
      <c r="K358" s="2" t="s">
        <v>32</v>
      </c>
      <c r="L358" s="2" t="s">
        <v>33</v>
      </c>
      <c r="M358" s="2">
        <v>1853.8</v>
      </c>
      <c r="N358" s="2">
        <v>300.8</v>
      </c>
      <c r="O358" s="2">
        <v>103785.3</v>
      </c>
      <c r="P358" s="2">
        <v>177.7</v>
      </c>
      <c r="Q358" s="2">
        <v>1.8</v>
      </c>
      <c r="R358" s="2">
        <v>0</v>
      </c>
      <c r="S358" s="5">
        <f t="shared" si="45"/>
        <v>0.88638638638638634</v>
      </c>
      <c r="T358" s="5">
        <f t="shared" si="46"/>
        <v>0.96250000000000002</v>
      </c>
      <c r="U358" s="5">
        <f t="shared" si="47"/>
        <v>0.92092092092092093</v>
      </c>
      <c r="V358" s="5">
        <f t="shared" si="48"/>
        <v>0.99345002823263695</v>
      </c>
      <c r="W358" s="5">
        <f t="shared" si="49"/>
        <v>0.88058058058058064</v>
      </c>
      <c r="X358" s="5">
        <f t="shared" si="50"/>
        <v>6.5499717673630714E-3</v>
      </c>
      <c r="Y358" s="6">
        <f t="shared" si="51"/>
        <v>0.47766749379652607</v>
      </c>
      <c r="Z358" s="6">
        <f t="shared" si="52"/>
        <v>117.20530773574252</v>
      </c>
      <c r="AA358" s="2" t="str">
        <f t="shared" si="53"/>
        <v>No Maintenance</v>
      </c>
    </row>
    <row r="359" spans="1:27" x14ac:dyDescent="0.25">
      <c r="A359" s="2">
        <v>355</v>
      </c>
      <c r="B359" s="4">
        <v>46141</v>
      </c>
      <c r="C359" s="2" t="s">
        <v>29</v>
      </c>
      <c r="D359" s="2" t="s">
        <v>35</v>
      </c>
      <c r="E359" s="2" t="s">
        <v>45</v>
      </c>
      <c r="F359" s="2">
        <v>992</v>
      </c>
      <c r="G359" s="2">
        <v>900</v>
      </c>
      <c r="H359" s="2">
        <v>883.8</v>
      </c>
      <c r="I359" s="2">
        <v>16.2</v>
      </c>
      <c r="J359" s="2">
        <v>0.19</v>
      </c>
      <c r="K359" s="2" t="s">
        <v>32</v>
      </c>
      <c r="L359" s="2" t="s">
        <v>33</v>
      </c>
      <c r="M359" s="2">
        <v>1874.3</v>
      </c>
      <c r="N359" s="2">
        <v>291.10000000000002</v>
      </c>
      <c r="O359" s="2">
        <v>114791.6</v>
      </c>
      <c r="P359" s="2">
        <v>178.1</v>
      </c>
      <c r="Q359" s="2">
        <v>2.0499999999999998</v>
      </c>
      <c r="R359" s="2">
        <v>0</v>
      </c>
      <c r="S359" s="5">
        <f t="shared" si="45"/>
        <v>0.907258064516129</v>
      </c>
      <c r="T359" s="5">
        <f t="shared" si="46"/>
        <v>0.97624999999999995</v>
      </c>
      <c r="U359" s="5">
        <f t="shared" si="47"/>
        <v>0.92932964355045233</v>
      </c>
      <c r="V359" s="5">
        <f t="shared" si="48"/>
        <v>0.98199999999999998</v>
      </c>
      <c r="W359" s="5">
        <f t="shared" si="49"/>
        <v>0.89092741935483866</v>
      </c>
      <c r="X359" s="5">
        <f t="shared" si="50"/>
        <v>1.7999999999999999E-2</v>
      </c>
      <c r="Y359" s="6">
        <f t="shared" si="51"/>
        <v>0.48017926692631918</v>
      </c>
      <c r="Z359" s="6">
        <f t="shared" si="52"/>
        <v>127.54622222222223</v>
      </c>
      <c r="AA359" s="2" t="str">
        <f t="shared" si="53"/>
        <v>No Maintenance</v>
      </c>
    </row>
    <row r="360" spans="1:27" x14ac:dyDescent="0.25">
      <c r="A360" s="2">
        <v>356</v>
      </c>
      <c r="B360" s="4">
        <v>46141</v>
      </c>
      <c r="C360" s="2" t="s">
        <v>34</v>
      </c>
      <c r="D360" s="2" t="s">
        <v>35</v>
      </c>
      <c r="E360" s="2" t="s">
        <v>31</v>
      </c>
      <c r="F360" s="2">
        <v>954</v>
      </c>
      <c r="G360" s="2">
        <v>633.4</v>
      </c>
      <c r="H360" s="2">
        <v>628.1</v>
      </c>
      <c r="I360" s="2">
        <v>5.4</v>
      </c>
      <c r="J360" s="2">
        <v>3.4</v>
      </c>
      <c r="K360" s="2" t="s">
        <v>40</v>
      </c>
      <c r="L360" s="2" t="s">
        <v>41</v>
      </c>
      <c r="M360" s="2">
        <v>1296.0999999999999</v>
      </c>
      <c r="N360" s="2">
        <v>213.4</v>
      </c>
      <c r="O360" s="2">
        <v>74950.8</v>
      </c>
      <c r="P360" s="2">
        <v>172.9</v>
      </c>
      <c r="Q360" s="2">
        <v>1.88</v>
      </c>
      <c r="R360" s="2">
        <v>169.94</v>
      </c>
      <c r="S360" s="5">
        <f t="shared" si="45"/>
        <v>0.66394129979035632</v>
      </c>
      <c r="T360" s="5">
        <f t="shared" si="46"/>
        <v>0.57499999999999996</v>
      </c>
      <c r="U360" s="5">
        <f t="shared" si="47"/>
        <v>1.1546805213745328</v>
      </c>
      <c r="V360" s="5">
        <f t="shared" si="48"/>
        <v>0.99163245974107994</v>
      </c>
      <c r="W360" s="5">
        <f t="shared" si="49"/>
        <v>0.65838574423480078</v>
      </c>
      <c r="X360" s="5">
        <f t="shared" si="50"/>
        <v>8.5254183770129468E-3</v>
      </c>
      <c r="Y360" s="6">
        <f t="shared" si="51"/>
        <v>0.48869685981019984</v>
      </c>
      <c r="Z360" s="6">
        <f t="shared" si="52"/>
        <v>118.33091253552259</v>
      </c>
      <c r="AA360" s="2" t="str">
        <f t="shared" si="53"/>
        <v>Planned</v>
      </c>
    </row>
    <row r="361" spans="1:27" x14ac:dyDescent="0.25">
      <c r="A361" s="2">
        <v>357</v>
      </c>
      <c r="B361" s="4">
        <v>46141</v>
      </c>
      <c r="C361" s="2" t="s">
        <v>36</v>
      </c>
      <c r="D361" s="2" t="s">
        <v>30</v>
      </c>
      <c r="E361" s="2" t="s">
        <v>39</v>
      </c>
      <c r="F361" s="2">
        <v>995</v>
      </c>
      <c r="G361" s="2">
        <v>707.9</v>
      </c>
      <c r="H361" s="2">
        <v>689.7</v>
      </c>
      <c r="I361" s="2">
        <v>18.2</v>
      </c>
      <c r="J361" s="2">
        <v>0.96</v>
      </c>
      <c r="K361" s="2" t="s">
        <v>47</v>
      </c>
      <c r="L361" s="2" t="s">
        <v>38</v>
      </c>
      <c r="M361" s="2">
        <v>1426.8</v>
      </c>
      <c r="N361" s="2">
        <v>206.2</v>
      </c>
      <c r="O361" s="2">
        <v>90324.7</v>
      </c>
      <c r="P361" s="2">
        <v>178.6</v>
      </c>
      <c r="Q361" s="2">
        <v>1.87</v>
      </c>
      <c r="R361" s="2">
        <v>357.52</v>
      </c>
      <c r="S361" s="5">
        <f t="shared" si="45"/>
        <v>0.71145728643216077</v>
      </c>
      <c r="T361" s="5">
        <f t="shared" si="46"/>
        <v>0.88</v>
      </c>
      <c r="U361" s="5">
        <f t="shared" si="47"/>
        <v>0.80847418912745539</v>
      </c>
      <c r="V361" s="5">
        <f t="shared" si="48"/>
        <v>0.9742901539765505</v>
      </c>
      <c r="W361" s="5">
        <f t="shared" si="49"/>
        <v>0.69316582914572866</v>
      </c>
      <c r="X361" s="5">
        <f t="shared" si="50"/>
        <v>2.570984602344964E-2</v>
      </c>
      <c r="Y361" s="6">
        <f t="shared" si="51"/>
        <v>0.49614522007289036</v>
      </c>
      <c r="Z361" s="6">
        <f t="shared" si="52"/>
        <v>127.59528181946602</v>
      </c>
      <c r="AA361" s="2" t="str">
        <f t="shared" si="53"/>
        <v>Breakdown</v>
      </c>
    </row>
    <row r="362" spans="1:27" x14ac:dyDescent="0.25">
      <c r="A362" s="2">
        <v>358</v>
      </c>
      <c r="B362" s="4">
        <v>46142</v>
      </c>
      <c r="C362" s="2" t="s">
        <v>29</v>
      </c>
      <c r="D362" s="2" t="s">
        <v>35</v>
      </c>
      <c r="E362" s="2" t="s">
        <v>31</v>
      </c>
      <c r="F362" s="2">
        <v>990</v>
      </c>
      <c r="G362" s="2">
        <v>851.7</v>
      </c>
      <c r="H362" s="2">
        <v>838.8</v>
      </c>
      <c r="I362" s="2">
        <v>12.9</v>
      </c>
      <c r="J362" s="2">
        <v>0.97</v>
      </c>
      <c r="K362" s="2" t="s">
        <v>42</v>
      </c>
      <c r="L362" s="2" t="s">
        <v>38</v>
      </c>
      <c r="M362" s="2">
        <v>1808.9</v>
      </c>
      <c r="N362" s="2">
        <v>281.39999999999998</v>
      </c>
      <c r="O362" s="2">
        <v>107761.9</v>
      </c>
      <c r="P362" s="2">
        <v>182.7</v>
      </c>
      <c r="Q362" s="2">
        <v>1.56</v>
      </c>
      <c r="R362" s="2">
        <v>876.41</v>
      </c>
      <c r="S362" s="5">
        <f t="shared" si="45"/>
        <v>0.86030303030303035</v>
      </c>
      <c r="T362" s="5">
        <f t="shared" si="46"/>
        <v>0.87875000000000003</v>
      </c>
      <c r="U362" s="5">
        <f t="shared" si="47"/>
        <v>0.97900771584982116</v>
      </c>
      <c r="V362" s="5">
        <f t="shared" si="48"/>
        <v>0.98485382176822811</v>
      </c>
      <c r="W362" s="5">
        <f t="shared" si="49"/>
        <v>0.84727272727272718</v>
      </c>
      <c r="X362" s="5">
        <f t="shared" si="50"/>
        <v>1.5146178231771751E-2</v>
      </c>
      <c r="Y362" s="6">
        <f t="shared" si="51"/>
        <v>0.47083863121233899</v>
      </c>
      <c r="Z362" s="6">
        <f t="shared" si="52"/>
        <v>126.52565457320651</v>
      </c>
      <c r="AA362" s="2" t="str">
        <f t="shared" si="53"/>
        <v>Breakdown</v>
      </c>
    </row>
    <row r="363" spans="1:27" x14ac:dyDescent="0.25">
      <c r="A363" s="2">
        <v>359</v>
      </c>
      <c r="B363" s="4">
        <v>46142</v>
      </c>
      <c r="C363" s="2" t="s">
        <v>34</v>
      </c>
      <c r="D363" s="2" t="s">
        <v>30</v>
      </c>
      <c r="E363" s="2" t="s">
        <v>31</v>
      </c>
      <c r="F363" s="2">
        <v>1023</v>
      </c>
      <c r="G363" s="2">
        <v>632.1</v>
      </c>
      <c r="H363" s="2">
        <v>621.70000000000005</v>
      </c>
      <c r="I363" s="2">
        <v>10.3</v>
      </c>
      <c r="J363" s="2">
        <v>2.59</v>
      </c>
      <c r="K363" s="2" t="s">
        <v>42</v>
      </c>
      <c r="L363" s="2" t="s">
        <v>38</v>
      </c>
      <c r="M363" s="2">
        <v>1248.4000000000001</v>
      </c>
      <c r="N363" s="2">
        <v>201.6</v>
      </c>
      <c r="O363" s="2">
        <v>72995.199999999997</v>
      </c>
      <c r="P363" s="2">
        <v>182.4</v>
      </c>
      <c r="Q363" s="2">
        <v>1.7</v>
      </c>
      <c r="R363" s="2">
        <v>318.89999999999998</v>
      </c>
      <c r="S363" s="5">
        <f t="shared" si="45"/>
        <v>0.6178885630498534</v>
      </c>
      <c r="T363" s="5">
        <f t="shared" si="46"/>
        <v>0.67625000000000002</v>
      </c>
      <c r="U363" s="5">
        <f t="shared" si="47"/>
        <v>0.91369842964858172</v>
      </c>
      <c r="V363" s="5">
        <f t="shared" si="48"/>
        <v>0.98354690713494708</v>
      </c>
      <c r="W363" s="5">
        <f t="shared" si="49"/>
        <v>0.60772238514174004</v>
      </c>
      <c r="X363" s="5">
        <f t="shared" si="50"/>
        <v>1.6294890049042873E-2</v>
      </c>
      <c r="Y363" s="6">
        <f t="shared" si="51"/>
        <v>0.50632809996795902</v>
      </c>
      <c r="Z363" s="6">
        <f t="shared" si="52"/>
        <v>115.48046195222274</v>
      </c>
      <c r="AA363" s="2" t="str">
        <f t="shared" si="53"/>
        <v>Breakdown</v>
      </c>
    </row>
    <row r="364" spans="1:27" x14ac:dyDescent="0.25">
      <c r="A364" s="2">
        <v>360</v>
      </c>
      <c r="B364" s="4">
        <v>46142</v>
      </c>
      <c r="C364" s="2" t="s">
        <v>36</v>
      </c>
      <c r="D364" s="2" t="s">
        <v>35</v>
      </c>
      <c r="E364" s="2" t="s">
        <v>39</v>
      </c>
      <c r="F364" s="2">
        <v>974</v>
      </c>
      <c r="G364" s="2">
        <v>803.2</v>
      </c>
      <c r="H364" s="2">
        <v>801.4</v>
      </c>
      <c r="I364" s="2">
        <v>1.8</v>
      </c>
      <c r="J364" s="2">
        <v>0.25</v>
      </c>
      <c r="K364" s="2" t="s">
        <v>32</v>
      </c>
      <c r="L364" s="2" t="s">
        <v>33</v>
      </c>
      <c r="M364" s="2">
        <v>1682.5</v>
      </c>
      <c r="N364" s="2">
        <v>263.10000000000002</v>
      </c>
      <c r="O364" s="2">
        <v>92308.800000000003</v>
      </c>
      <c r="P364" s="2">
        <v>182.2</v>
      </c>
      <c r="Q364" s="2">
        <v>1.76</v>
      </c>
      <c r="R364" s="2">
        <v>0</v>
      </c>
      <c r="S364" s="5">
        <f t="shared" si="45"/>
        <v>0.82464065708418899</v>
      </c>
      <c r="T364" s="5">
        <f t="shared" si="46"/>
        <v>0.96875</v>
      </c>
      <c r="U364" s="5">
        <f t="shared" si="47"/>
        <v>0.85124196860303381</v>
      </c>
      <c r="V364" s="5">
        <f t="shared" si="48"/>
        <v>0.99775896414342624</v>
      </c>
      <c r="W364" s="5">
        <f t="shared" si="49"/>
        <v>0.82279260780287478</v>
      </c>
      <c r="X364" s="5">
        <f t="shared" si="50"/>
        <v>2.2410358565737049E-3</v>
      </c>
      <c r="Y364" s="6">
        <f t="shared" si="51"/>
        <v>0.4773848439821694</v>
      </c>
      <c r="Z364" s="6">
        <f t="shared" si="52"/>
        <v>114.92629482071713</v>
      </c>
      <c r="AA364" s="2" t="str">
        <f t="shared" si="53"/>
        <v>No Maintenance</v>
      </c>
    </row>
  </sheetData>
  <conditionalFormatting sqref="W5:W3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9"/>
  <sheetViews>
    <sheetView workbookViewId="0"/>
  </sheetViews>
  <sheetFormatPr defaultRowHeight="15" x14ac:dyDescent="0.25"/>
  <cols>
    <col min="1" max="11" width="18" customWidth="1"/>
  </cols>
  <sheetData>
    <row r="1" spans="1:11" ht="23.25" x14ac:dyDescent="0.25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50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13</v>
      </c>
      <c r="G3" s="3" t="s">
        <v>51</v>
      </c>
      <c r="H3" s="3" t="s">
        <v>11</v>
      </c>
      <c r="I3" s="3" t="s">
        <v>52</v>
      </c>
      <c r="J3" s="3" t="s">
        <v>19</v>
      </c>
      <c r="K3" s="3" t="s">
        <v>53</v>
      </c>
    </row>
    <row r="4" spans="1:11" x14ac:dyDescent="0.25">
      <c r="A4" s="2">
        <v>1</v>
      </c>
      <c r="B4" s="4">
        <v>46023</v>
      </c>
      <c r="C4" s="2" t="s">
        <v>36</v>
      </c>
      <c r="D4" s="2" t="s">
        <v>30</v>
      </c>
      <c r="E4" s="2" t="s">
        <v>31</v>
      </c>
      <c r="F4" s="2" t="s">
        <v>38</v>
      </c>
      <c r="G4" s="2" t="s">
        <v>37</v>
      </c>
      <c r="H4" s="2">
        <v>1.08</v>
      </c>
      <c r="I4" s="2">
        <v>19</v>
      </c>
      <c r="J4" s="2">
        <v>575.91999999999996</v>
      </c>
      <c r="K4" s="2" t="s">
        <v>54</v>
      </c>
    </row>
    <row r="5" spans="1:11" x14ac:dyDescent="0.25">
      <c r="A5" s="2">
        <v>2</v>
      </c>
      <c r="B5" s="4">
        <v>46024</v>
      </c>
      <c r="C5" s="2" t="s">
        <v>29</v>
      </c>
      <c r="D5" s="2" t="s">
        <v>30</v>
      </c>
      <c r="E5" s="2" t="s">
        <v>39</v>
      </c>
      <c r="F5" s="2" t="s">
        <v>41</v>
      </c>
      <c r="G5" s="2" t="s">
        <v>40</v>
      </c>
      <c r="H5" s="2">
        <v>2.0299999999999998</v>
      </c>
      <c r="I5" s="2">
        <v>15</v>
      </c>
      <c r="J5" s="2">
        <v>168.33</v>
      </c>
      <c r="K5" s="2" t="s">
        <v>54</v>
      </c>
    </row>
    <row r="6" spans="1:11" x14ac:dyDescent="0.25">
      <c r="A6" s="2">
        <v>3</v>
      </c>
      <c r="B6" s="4">
        <v>46025</v>
      </c>
      <c r="C6" s="2" t="s">
        <v>29</v>
      </c>
      <c r="D6" s="2" t="s">
        <v>30</v>
      </c>
      <c r="E6" s="2" t="s">
        <v>39</v>
      </c>
      <c r="F6" s="2" t="s">
        <v>38</v>
      </c>
      <c r="G6" s="2" t="s">
        <v>42</v>
      </c>
      <c r="H6" s="2">
        <v>0.99</v>
      </c>
      <c r="I6" s="2">
        <v>21</v>
      </c>
      <c r="J6" s="2">
        <v>535.92999999999995</v>
      </c>
      <c r="K6" s="2" t="s">
        <v>54</v>
      </c>
    </row>
    <row r="7" spans="1:11" x14ac:dyDescent="0.25">
      <c r="A7" s="2">
        <v>4</v>
      </c>
      <c r="B7" s="4">
        <v>46025</v>
      </c>
      <c r="C7" s="2" t="s">
        <v>34</v>
      </c>
      <c r="D7" s="2" t="s">
        <v>30</v>
      </c>
      <c r="E7" s="2" t="s">
        <v>31</v>
      </c>
      <c r="F7" s="2" t="s">
        <v>43</v>
      </c>
      <c r="G7" s="2" t="s">
        <v>42</v>
      </c>
      <c r="H7" s="2">
        <v>0.94</v>
      </c>
      <c r="I7" s="2">
        <v>6</v>
      </c>
      <c r="J7" s="2">
        <v>1224.77</v>
      </c>
      <c r="K7" s="2" t="s">
        <v>54</v>
      </c>
    </row>
    <row r="8" spans="1:11" x14ac:dyDescent="0.25">
      <c r="A8" s="2">
        <v>5</v>
      </c>
      <c r="B8" s="4">
        <v>46025</v>
      </c>
      <c r="C8" s="2" t="s">
        <v>36</v>
      </c>
      <c r="D8" s="2" t="s">
        <v>30</v>
      </c>
      <c r="E8" s="2" t="s">
        <v>31</v>
      </c>
      <c r="F8" s="2" t="s">
        <v>38</v>
      </c>
      <c r="G8" s="2" t="s">
        <v>44</v>
      </c>
      <c r="H8" s="2">
        <v>1.97</v>
      </c>
      <c r="I8" s="2">
        <v>17</v>
      </c>
      <c r="J8" s="2">
        <v>324.83</v>
      </c>
      <c r="K8" s="2" t="s">
        <v>55</v>
      </c>
    </row>
    <row r="9" spans="1:11" x14ac:dyDescent="0.25">
      <c r="A9" s="2">
        <v>6</v>
      </c>
      <c r="B9" s="4">
        <v>46026</v>
      </c>
      <c r="C9" s="2" t="s">
        <v>29</v>
      </c>
      <c r="D9" s="2" t="s">
        <v>35</v>
      </c>
      <c r="E9" s="2" t="s">
        <v>39</v>
      </c>
      <c r="F9" s="2" t="s">
        <v>38</v>
      </c>
      <c r="G9" s="2" t="s">
        <v>44</v>
      </c>
      <c r="H9" s="2">
        <v>2.4300000000000002</v>
      </c>
      <c r="I9" s="2">
        <v>7</v>
      </c>
      <c r="J9" s="2">
        <v>508.35</v>
      </c>
      <c r="K9" s="2" t="s">
        <v>54</v>
      </c>
    </row>
    <row r="10" spans="1:11" x14ac:dyDescent="0.25">
      <c r="A10" s="2">
        <v>7</v>
      </c>
      <c r="B10" s="4">
        <v>46026</v>
      </c>
      <c r="C10" s="2" t="s">
        <v>34</v>
      </c>
      <c r="D10" s="2" t="s">
        <v>30</v>
      </c>
      <c r="E10" s="2" t="s">
        <v>45</v>
      </c>
      <c r="F10" s="2" t="s">
        <v>41</v>
      </c>
      <c r="G10" s="2" t="s">
        <v>40</v>
      </c>
      <c r="H10" s="2">
        <v>2.4900000000000002</v>
      </c>
      <c r="I10" s="2">
        <v>19</v>
      </c>
      <c r="J10" s="2">
        <v>274.94</v>
      </c>
      <c r="K10" s="2" t="s">
        <v>54</v>
      </c>
    </row>
    <row r="11" spans="1:11" x14ac:dyDescent="0.25">
      <c r="A11" s="2">
        <v>8</v>
      </c>
      <c r="B11" s="4">
        <v>46026</v>
      </c>
      <c r="C11" s="2" t="s">
        <v>36</v>
      </c>
      <c r="D11" s="2" t="s">
        <v>35</v>
      </c>
      <c r="E11" s="2" t="s">
        <v>31</v>
      </c>
      <c r="F11" s="2" t="s">
        <v>43</v>
      </c>
      <c r="G11" s="2" t="s">
        <v>46</v>
      </c>
      <c r="H11" s="2">
        <v>1.18</v>
      </c>
      <c r="I11" s="2">
        <v>18</v>
      </c>
      <c r="J11" s="2">
        <v>1151.45</v>
      </c>
      <c r="K11" s="2" t="s">
        <v>54</v>
      </c>
    </row>
    <row r="12" spans="1:11" x14ac:dyDescent="0.25">
      <c r="A12" s="2">
        <v>9</v>
      </c>
      <c r="B12" s="4">
        <v>46027</v>
      </c>
      <c r="C12" s="2" t="s">
        <v>34</v>
      </c>
      <c r="D12" s="2" t="s">
        <v>30</v>
      </c>
      <c r="E12" s="2" t="s">
        <v>31</v>
      </c>
      <c r="F12" s="2" t="s">
        <v>38</v>
      </c>
      <c r="G12" s="2" t="s">
        <v>47</v>
      </c>
      <c r="H12" s="2">
        <v>3.45</v>
      </c>
      <c r="I12" s="2">
        <v>10</v>
      </c>
      <c r="J12" s="2">
        <v>354.82</v>
      </c>
      <c r="K12" s="2" t="s">
        <v>54</v>
      </c>
    </row>
    <row r="13" spans="1:11" x14ac:dyDescent="0.25">
      <c r="A13" s="2">
        <v>10</v>
      </c>
      <c r="B13" s="4">
        <v>46027</v>
      </c>
      <c r="C13" s="2" t="s">
        <v>36</v>
      </c>
      <c r="D13" s="2" t="s">
        <v>35</v>
      </c>
      <c r="E13" s="2" t="s">
        <v>45</v>
      </c>
      <c r="F13" s="2" t="s">
        <v>38</v>
      </c>
      <c r="G13" s="2" t="s">
        <v>44</v>
      </c>
      <c r="H13" s="2">
        <v>3.01</v>
      </c>
      <c r="I13" s="2">
        <v>3</v>
      </c>
      <c r="J13" s="2">
        <v>668.86</v>
      </c>
      <c r="K13" s="2" t="s">
        <v>54</v>
      </c>
    </row>
    <row r="14" spans="1:11" x14ac:dyDescent="0.25">
      <c r="A14" s="2">
        <v>11</v>
      </c>
      <c r="B14" s="4">
        <v>46028</v>
      </c>
      <c r="C14" s="2" t="s">
        <v>29</v>
      </c>
      <c r="D14" s="2" t="s">
        <v>35</v>
      </c>
      <c r="E14" s="2" t="s">
        <v>39</v>
      </c>
      <c r="F14" s="2" t="s">
        <v>38</v>
      </c>
      <c r="G14" s="2" t="s">
        <v>46</v>
      </c>
      <c r="H14" s="2">
        <v>3.56</v>
      </c>
      <c r="I14" s="2">
        <v>9</v>
      </c>
      <c r="J14" s="2">
        <v>538.77</v>
      </c>
      <c r="K14" s="2" t="s">
        <v>54</v>
      </c>
    </row>
    <row r="15" spans="1:11" x14ac:dyDescent="0.25">
      <c r="A15" s="2">
        <v>12</v>
      </c>
      <c r="B15" s="4">
        <v>46028</v>
      </c>
      <c r="C15" s="2" t="s">
        <v>36</v>
      </c>
      <c r="D15" s="2" t="s">
        <v>30</v>
      </c>
      <c r="E15" s="2" t="s">
        <v>39</v>
      </c>
      <c r="F15" s="2" t="s">
        <v>38</v>
      </c>
      <c r="G15" s="2" t="s">
        <v>42</v>
      </c>
      <c r="H15" s="2">
        <v>2.72</v>
      </c>
      <c r="I15" s="2">
        <v>20</v>
      </c>
      <c r="J15" s="2">
        <v>886.22</v>
      </c>
      <c r="K15" s="2" t="s">
        <v>54</v>
      </c>
    </row>
    <row r="16" spans="1:11" x14ac:dyDescent="0.25">
      <c r="A16" s="2">
        <v>13</v>
      </c>
      <c r="B16" s="4">
        <v>46029</v>
      </c>
      <c r="C16" s="2" t="s">
        <v>29</v>
      </c>
      <c r="D16" s="2" t="s">
        <v>35</v>
      </c>
      <c r="E16" s="2" t="s">
        <v>39</v>
      </c>
      <c r="F16" s="2" t="s">
        <v>38</v>
      </c>
      <c r="G16" s="2" t="s">
        <v>44</v>
      </c>
      <c r="H16" s="2">
        <v>1.82</v>
      </c>
      <c r="I16" s="2">
        <v>6</v>
      </c>
      <c r="J16" s="2">
        <v>899.26</v>
      </c>
      <c r="K16" s="2" t="s">
        <v>54</v>
      </c>
    </row>
    <row r="17" spans="1:11" x14ac:dyDescent="0.25">
      <c r="A17" s="2">
        <v>14</v>
      </c>
      <c r="B17" s="4">
        <v>46029</v>
      </c>
      <c r="C17" s="2" t="s">
        <v>34</v>
      </c>
      <c r="D17" s="2" t="s">
        <v>35</v>
      </c>
      <c r="E17" s="2" t="s">
        <v>45</v>
      </c>
      <c r="F17" s="2" t="s">
        <v>38</v>
      </c>
      <c r="G17" s="2" t="s">
        <v>46</v>
      </c>
      <c r="H17" s="2">
        <v>1.34</v>
      </c>
      <c r="I17" s="2">
        <v>16</v>
      </c>
      <c r="J17" s="2">
        <v>876.77</v>
      </c>
      <c r="K17" s="2" t="s">
        <v>54</v>
      </c>
    </row>
    <row r="18" spans="1:11" x14ac:dyDescent="0.25">
      <c r="A18" s="2">
        <v>15</v>
      </c>
      <c r="B18" s="4">
        <v>46029</v>
      </c>
      <c r="C18" s="2" t="s">
        <v>36</v>
      </c>
      <c r="D18" s="2" t="s">
        <v>30</v>
      </c>
      <c r="E18" s="2" t="s">
        <v>45</v>
      </c>
      <c r="F18" s="2" t="s">
        <v>38</v>
      </c>
      <c r="G18" s="2" t="s">
        <v>42</v>
      </c>
      <c r="H18" s="2">
        <v>3.02</v>
      </c>
      <c r="I18" s="2">
        <v>13</v>
      </c>
      <c r="J18" s="2">
        <v>576.95000000000005</v>
      </c>
      <c r="K18" s="2" t="s">
        <v>54</v>
      </c>
    </row>
    <row r="19" spans="1:11" x14ac:dyDescent="0.25">
      <c r="A19" s="2">
        <v>16</v>
      </c>
      <c r="B19" s="4">
        <v>46030</v>
      </c>
      <c r="C19" s="2" t="s">
        <v>29</v>
      </c>
      <c r="D19" s="2" t="s">
        <v>30</v>
      </c>
      <c r="E19" s="2" t="s">
        <v>45</v>
      </c>
      <c r="F19" s="2" t="s">
        <v>38</v>
      </c>
      <c r="G19" s="2" t="s">
        <v>44</v>
      </c>
      <c r="H19" s="2">
        <v>1.78</v>
      </c>
      <c r="I19" s="2">
        <v>21</v>
      </c>
      <c r="J19" s="2">
        <v>547.35</v>
      </c>
      <c r="K19" s="2" t="s">
        <v>54</v>
      </c>
    </row>
    <row r="20" spans="1:11" x14ac:dyDescent="0.25">
      <c r="A20" s="2">
        <v>17</v>
      </c>
      <c r="B20" s="4">
        <v>46030</v>
      </c>
      <c r="C20" s="2" t="s">
        <v>34</v>
      </c>
      <c r="D20" s="2" t="s">
        <v>35</v>
      </c>
      <c r="E20" s="2" t="s">
        <v>31</v>
      </c>
      <c r="F20" s="2" t="s">
        <v>38</v>
      </c>
      <c r="G20" s="2" t="s">
        <v>48</v>
      </c>
      <c r="H20" s="2">
        <v>3.1</v>
      </c>
      <c r="I20" s="2">
        <v>5</v>
      </c>
      <c r="J20" s="2">
        <v>404.43</v>
      </c>
      <c r="K20" s="2" t="s">
        <v>54</v>
      </c>
    </row>
    <row r="21" spans="1:11" x14ac:dyDescent="0.25">
      <c r="A21" s="2">
        <v>18</v>
      </c>
      <c r="B21" s="4">
        <v>46031</v>
      </c>
      <c r="C21" s="2" t="s">
        <v>29</v>
      </c>
      <c r="D21" s="2" t="s">
        <v>30</v>
      </c>
      <c r="E21" s="2" t="s">
        <v>39</v>
      </c>
      <c r="F21" s="2" t="s">
        <v>41</v>
      </c>
      <c r="G21" s="2" t="s">
        <v>40</v>
      </c>
      <c r="H21" s="2">
        <v>3.03</v>
      </c>
      <c r="I21" s="2">
        <v>16</v>
      </c>
      <c r="J21" s="2">
        <v>228.87</v>
      </c>
      <c r="K21" s="2" t="s">
        <v>54</v>
      </c>
    </row>
    <row r="22" spans="1:11" x14ac:dyDescent="0.25">
      <c r="A22" s="2">
        <v>19</v>
      </c>
      <c r="B22" s="4">
        <v>46032</v>
      </c>
      <c r="C22" s="2" t="s">
        <v>34</v>
      </c>
      <c r="D22" s="2" t="s">
        <v>35</v>
      </c>
      <c r="E22" s="2" t="s">
        <v>39</v>
      </c>
      <c r="F22" s="2" t="s">
        <v>43</v>
      </c>
      <c r="G22" s="2" t="s">
        <v>48</v>
      </c>
      <c r="H22" s="2">
        <v>0.93</v>
      </c>
      <c r="I22" s="2">
        <v>21</v>
      </c>
      <c r="J22" s="2">
        <v>772.19</v>
      </c>
      <c r="K22" s="2" t="s">
        <v>54</v>
      </c>
    </row>
    <row r="23" spans="1:11" x14ac:dyDescent="0.25">
      <c r="A23" s="2">
        <v>20</v>
      </c>
      <c r="B23" s="4">
        <v>46032</v>
      </c>
      <c r="C23" s="2" t="s">
        <v>36</v>
      </c>
      <c r="D23" s="2" t="s">
        <v>30</v>
      </c>
      <c r="E23" s="2" t="s">
        <v>45</v>
      </c>
      <c r="F23" s="2" t="s">
        <v>38</v>
      </c>
      <c r="G23" s="2" t="s">
        <v>42</v>
      </c>
      <c r="H23" s="2">
        <v>1.53</v>
      </c>
      <c r="I23" s="2">
        <v>12</v>
      </c>
      <c r="J23" s="2">
        <v>811</v>
      </c>
      <c r="K23" s="2" t="s">
        <v>54</v>
      </c>
    </row>
    <row r="24" spans="1:11" x14ac:dyDescent="0.25">
      <c r="A24" s="2">
        <v>21</v>
      </c>
      <c r="B24" s="4">
        <v>46033</v>
      </c>
      <c r="C24" s="2" t="s">
        <v>29</v>
      </c>
      <c r="D24" s="2" t="s">
        <v>35</v>
      </c>
      <c r="E24" s="2" t="s">
        <v>31</v>
      </c>
      <c r="F24" s="2" t="s">
        <v>38</v>
      </c>
      <c r="G24" s="2" t="s">
        <v>46</v>
      </c>
      <c r="H24" s="2">
        <v>3.69</v>
      </c>
      <c r="I24" s="2">
        <v>18</v>
      </c>
      <c r="J24" s="2">
        <v>877.85</v>
      </c>
      <c r="K24" s="2" t="s">
        <v>55</v>
      </c>
    </row>
    <row r="25" spans="1:11" x14ac:dyDescent="0.25">
      <c r="A25" s="2">
        <v>22</v>
      </c>
      <c r="B25" s="4">
        <v>46033</v>
      </c>
      <c r="C25" s="2" t="s">
        <v>34</v>
      </c>
      <c r="D25" s="2" t="s">
        <v>30</v>
      </c>
      <c r="E25" s="2" t="s">
        <v>39</v>
      </c>
      <c r="F25" s="2" t="s">
        <v>43</v>
      </c>
      <c r="G25" s="2" t="s">
        <v>46</v>
      </c>
      <c r="H25" s="2">
        <v>1.78</v>
      </c>
      <c r="I25" s="2">
        <v>13</v>
      </c>
      <c r="J25" s="2">
        <v>1587.76</v>
      </c>
      <c r="K25" s="2" t="s">
        <v>54</v>
      </c>
    </row>
    <row r="26" spans="1:11" x14ac:dyDescent="0.25">
      <c r="A26" s="2">
        <v>23</v>
      </c>
      <c r="B26" s="4">
        <v>46034</v>
      </c>
      <c r="C26" s="2" t="s">
        <v>36</v>
      </c>
      <c r="D26" s="2" t="s">
        <v>30</v>
      </c>
      <c r="E26" s="2" t="s">
        <v>31</v>
      </c>
      <c r="F26" s="2" t="s">
        <v>38</v>
      </c>
      <c r="G26" s="2" t="s">
        <v>42</v>
      </c>
      <c r="H26" s="2">
        <v>1.81</v>
      </c>
      <c r="I26" s="2">
        <v>9</v>
      </c>
      <c r="J26" s="2">
        <v>671.16</v>
      </c>
      <c r="K26" s="2" t="s">
        <v>54</v>
      </c>
    </row>
    <row r="27" spans="1:11" x14ac:dyDescent="0.25">
      <c r="A27" s="2">
        <v>24</v>
      </c>
      <c r="B27" s="4">
        <v>46035</v>
      </c>
      <c r="C27" s="2" t="s">
        <v>29</v>
      </c>
      <c r="D27" s="2" t="s">
        <v>35</v>
      </c>
      <c r="E27" s="2" t="s">
        <v>31</v>
      </c>
      <c r="F27" s="2" t="s">
        <v>43</v>
      </c>
      <c r="G27" s="2" t="s">
        <v>42</v>
      </c>
      <c r="H27" s="2">
        <v>2.73</v>
      </c>
      <c r="I27" s="2">
        <v>4</v>
      </c>
      <c r="J27" s="2">
        <v>901.05</v>
      </c>
      <c r="K27" s="2" t="s">
        <v>54</v>
      </c>
    </row>
    <row r="28" spans="1:11" x14ac:dyDescent="0.25">
      <c r="A28" s="2">
        <v>25</v>
      </c>
      <c r="B28" s="4">
        <v>46036</v>
      </c>
      <c r="C28" s="2" t="s">
        <v>29</v>
      </c>
      <c r="D28" s="2" t="s">
        <v>30</v>
      </c>
      <c r="E28" s="2" t="s">
        <v>45</v>
      </c>
      <c r="F28" s="2" t="s">
        <v>38</v>
      </c>
      <c r="G28" s="2" t="s">
        <v>48</v>
      </c>
      <c r="H28" s="2">
        <v>2.06</v>
      </c>
      <c r="I28" s="2">
        <v>11</v>
      </c>
      <c r="J28" s="2">
        <v>878.72</v>
      </c>
      <c r="K28" s="2" t="s">
        <v>54</v>
      </c>
    </row>
    <row r="29" spans="1:11" x14ac:dyDescent="0.25">
      <c r="A29" s="2">
        <v>26</v>
      </c>
      <c r="B29" s="4">
        <v>46037</v>
      </c>
      <c r="C29" s="2" t="s">
        <v>34</v>
      </c>
      <c r="D29" s="2" t="s">
        <v>35</v>
      </c>
      <c r="E29" s="2" t="s">
        <v>31</v>
      </c>
      <c r="F29" s="2" t="s">
        <v>38</v>
      </c>
      <c r="G29" s="2" t="s">
        <v>46</v>
      </c>
      <c r="H29" s="2">
        <v>3.13</v>
      </c>
      <c r="I29" s="2">
        <v>11</v>
      </c>
      <c r="J29" s="2">
        <v>872.89</v>
      </c>
      <c r="K29" s="2" t="s">
        <v>54</v>
      </c>
    </row>
    <row r="30" spans="1:11" x14ac:dyDescent="0.25">
      <c r="A30" s="2">
        <v>27</v>
      </c>
      <c r="B30" s="4">
        <v>46037</v>
      </c>
      <c r="C30" s="2" t="s">
        <v>36</v>
      </c>
      <c r="D30" s="2" t="s">
        <v>30</v>
      </c>
      <c r="E30" s="2" t="s">
        <v>31</v>
      </c>
      <c r="F30" s="2" t="s">
        <v>41</v>
      </c>
      <c r="G30" s="2" t="s">
        <v>40</v>
      </c>
      <c r="H30" s="2">
        <v>3.04</v>
      </c>
      <c r="I30" s="2">
        <v>8</v>
      </c>
      <c r="J30" s="2">
        <v>254.57</v>
      </c>
      <c r="K30" s="2" t="s">
        <v>54</v>
      </c>
    </row>
    <row r="31" spans="1:11" x14ac:dyDescent="0.25">
      <c r="A31" s="2">
        <v>28</v>
      </c>
      <c r="B31" s="4">
        <v>46038</v>
      </c>
      <c r="C31" s="2" t="s">
        <v>29</v>
      </c>
      <c r="D31" s="2" t="s">
        <v>35</v>
      </c>
      <c r="E31" s="2" t="s">
        <v>45</v>
      </c>
      <c r="F31" s="2" t="s">
        <v>38</v>
      </c>
      <c r="G31" s="2" t="s">
        <v>42</v>
      </c>
      <c r="H31" s="2">
        <v>3.56</v>
      </c>
      <c r="I31" s="2">
        <v>5</v>
      </c>
      <c r="J31" s="2">
        <v>478.06</v>
      </c>
      <c r="K31" s="2" t="s">
        <v>54</v>
      </c>
    </row>
    <row r="32" spans="1:11" x14ac:dyDescent="0.25">
      <c r="A32" s="2">
        <v>29</v>
      </c>
      <c r="B32" s="4">
        <v>46038</v>
      </c>
      <c r="C32" s="2" t="s">
        <v>34</v>
      </c>
      <c r="D32" s="2" t="s">
        <v>35</v>
      </c>
      <c r="E32" s="2" t="s">
        <v>31</v>
      </c>
      <c r="F32" s="2" t="s">
        <v>43</v>
      </c>
      <c r="G32" s="2" t="s">
        <v>44</v>
      </c>
      <c r="H32" s="2">
        <v>0.84</v>
      </c>
      <c r="I32" s="2">
        <v>16</v>
      </c>
      <c r="J32" s="2">
        <v>702.45</v>
      </c>
      <c r="K32" s="2" t="s">
        <v>54</v>
      </c>
    </row>
    <row r="33" spans="1:11" x14ac:dyDescent="0.25">
      <c r="A33" s="2">
        <v>30</v>
      </c>
      <c r="B33" s="4">
        <v>46039</v>
      </c>
      <c r="C33" s="2" t="s">
        <v>29</v>
      </c>
      <c r="D33" s="2" t="s">
        <v>35</v>
      </c>
      <c r="E33" s="2" t="s">
        <v>31</v>
      </c>
      <c r="F33" s="2" t="s">
        <v>38</v>
      </c>
      <c r="G33" s="2" t="s">
        <v>42</v>
      </c>
      <c r="H33" s="2">
        <v>0.67</v>
      </c>
      <c r="I33" s="2">
        <v>10</v>
      </c>
      <c r="J33" s="2">
        <v>516.72</v>
      </c>
      <c r="K33" s="2" t="s">
        <v>54</v>
      </c>
    </row>
    <row r="34" spans="1:11" x14ac:dyDescent="0.25">
      <c r="A34" s="2">
        <v>31</v>
      </c>
      <c r="B34" s="4">
        <v>46039</v>
      </c>
      <c r="C34" s="2" t="s">
        <v>36</v>
      </c>
      <c r="D34" s="2" t="s">
        <v>30</v>
      </c>
      <c r="E34" s="2" t="s">
        <v>31</v>
      </c>
      <c r="F34" s="2" t="s">
        <v>38</v>
      </c>
      <c r="G34" s="2" t="s">
        <v>42</v>
      </c>
      <c r="H34" s="2">
        <v>3.35</v>
      </c>
      <c r="I34" s="2">
        <v>9</v>
      </c>
      <c r="J34" s="2">
        <v>801.97</v>
      </c>
      <c r="K34" s="2" t="s">
        <v>54</v>
      </c>
    </row>
    <row r="35" spans="1:11" x14ac:dyDescent="0.25">
      <c r="A35" s="2">
        <v>32</v>
      </c>
      <c r="B35" s="4">
        <v>46040</v>
      </c>
      <c r="C35" s="2" t="s">
        <v>29</v>
      </c>
      <c r="D35" s="2" t="s">
        <v>30</v>
      </c>
      <c r="E35" s="2" t="s">
        <v>31</v>
      </c>
      <c r="F35" s="2" t="s">
        <v>38</v>
      </c>
      <c r="G35" s="2" t="s">
        <v>44</v>
      </c>
      <c r="H35" s="2">
        <v>2.2400000000000002</v>
      </c>
      <c r="I35" s="2">
        <v>9</v>
      </c>
      <c r="J35" s="2">
        <v>408.07</v>
      </c>
      <c r="K35" s="2" t="s">
        <v>54</v>
      </c>
    </row>
    <row r="36" spans="1:11" x14ac:dyDescent="0.25">
      <c r="A36" s="2">
        <v>33</v>
      </c>
      <c r="B36" s="4">
        <v>46040</v>
      </c>
      <c r="C36" s="2" t="s">
        <v>34</v>
      </c>
      <c r="D36" s="2" t="s">
        <v>35</v>
      </c>
      <c r="E36" s="2" t="s">
        <v>39</v>
      </c>
      <c r="F36" s="2" t="s">
        <v>38</v>
      </c>
      <c r="G36" s="2" t="s">
        <v>47</v>
      </c>
      <c r="H36" s="2">
        <v>2.71</v>
      </c>
      <c r="I36" s="2">
        <v>4</v>
      </c>
      <c r="J36" s="2">
        <v>726.19</v>
      </c>
      <c r="K36" s="2" t="s">
        <v>55</v>
      </c>
    </row>
    <row r="37" spans="1:11" x14ac:dyDescent="0.25">
      <c r="A37" s="2">
        <v>34</v>
      </c>
      <c r="B37" s="4">
        <v>46041</v>
      </c>
      <c r="C37" s="2" t="s">
        <v>36</v>
      </c>
      <c r="D37" s="2" t="s">
        <v>30</v>
      </c>
      <c r="E37" s="2" t="s">
        <v>31</v>
      </c>
      <c r="F37" s="2" t="s">
        <v>43</v>
      </c>
      <c r="G37" s="2" t="s">
        <v>37</v>
      </c>
      <c r="H37" s="2">
        <v>1.89</v>
      </c>
      <c r="I37" s="2">
        <v>17</v>
      </c>
      <c r="J37" s="2">
        <v>1576.12</v>
      </c>
      <c r="K37" s="2" t="s">
        <v>54</v>
      </c>
    </row>
    <row r="38" spans="1:11" x14ac:dyDescent="0.25">
      <c r="A38" s="2">
        <v>35</v>
      </c>
      <c r="B38" s="4">
        <v>46043</v>
      </c>
      <c r="C38" s="2" t="s">
        <v>29</v>
      </c>
      <c r="D38" s="2" t="s">
        <v>30</v>
      </c>
      <c r="E38" s="2" t="s">
        <v>45</v>
      </c>
      <c r="F38" s="2" t="s">
        <v>38</v>
      </c>
      <c r="G38" s="2" t="s">
        <v>46</v>
      </c>
      <c r="H38" s="2">
        <v>3.56</v>
      </c>
      <c r="I38" s="2">
        <v>18</v>
      </c>
      <c r="J38" s="2">
        <v>394.72</v>
      </c>
      <c r="K38" s="2" t="s">
        <v>54</v>
      </c>
    </row>
    <row r="39" spans="1:11" x14ac:dyDescent="0.25">
      <c r="A39" s="2">
        <v>36</v>
      </c>
      <c r="B39" s="4">
        <v>46043</v>
      </c>
      <c r="C39" s="2" t="s">
        <v>36</v>
      </c>
      <c r="D39" s="2" t="s">
        <v>35</v>
      </c>
      <c r="E39" s="2" t="s">
        <v>39</v>
      </c>
      <c r="F39" s="2" t="s">
        <v>41</v>
      </c>
      <c r="G39" s="2" t="s">
        <v>40</v>
      </c>
      <c r="H39" s="2">
        <v>2.16</v>
      </c>
      <c r="I39" s="2">
        <v>17</v>
      </c>
      <c r="J39" s="2">
        <v>165.27</v>
      </c>
      <c r="K39" s="2" t="s">
        <v>54</v>
      </c>
    </row>
    <row r="40" spans="1:11" x14ac:dyDescent="0.25">
      <c r="A40" s="2">
        <v>37</v>
      </c>
      <c r="B40" s="4">
        <v>46044</v>
      </c>
      <c r="C40" s="2" t="s">
        <v>29</v>
      </c>
      <c r="D40" s="2" t="s">
        <v>35</v>
      </c>
      <c r="E40" s="2" t="s">
        <v>31</v>
      </c>
      <c r="F40" s="2" t="s">
        <v>38</v>
      </c>
      <c r="G40" s="2" t="s">
        <v>44</v>
      </c>
      <c r="H40" s="2">
        <v>3.51</v>
      </c>
      <c r="I40" s="2">
        <v>3</v>
      </c>
      <c r="J40" s="2">
        <v>316.11</v>
      </c>
      <c r="K40" s="2" t="s">
        <v>55</v>
      </c>
    </row>
    <row r="41" spans="1:11" x14ac:dyDescent="0.25">
      <c r="A41" s="2">
        <v>38</v>
      </c>
      <c r="B41" s="4">
        <v>46045</v>
      </c>
      <c r="C41" s="2" t="s">
        <v>29</v>
      </c>
      <c r="D41" s="2" t="s">
        <v>35</v>
      </c>
      <c r="E41" s="2" t="s">
        <v>31</v>
      </c>
      <c r="F41" s="2" t="s">
        <v>43</v>
      </c>
      <c r="G41" s="2" t="s">
        <v>42</v>
      </c>
      <c r="H41" s="2">
        <v>3.46</v>
      </c>
      <c r="I41" s="2">
        <v>3</v>
      </c>
      <c r="J41" s="2">
        <v>766.25</v>
      </c>
      <c r="K41" s="2" t="s">
        <v>54</v>
      </c>
    </row>
    <row r="42" spans="1:11" x14ac:dyDescent="0.25">
      <c r="A42" s="2">
        <v>39</v>
      </c>
      <c r="B42" s="4">
        <v>46045</v>
      </c>
      <c r="C42" s="2" t="s">
        <v>36</v>
      </c>
      <c r="D42" s="2" t="s">
        <v>35</v>
      </c>
      <c r="E42" s="2" t="s">
        <v>39</v>
      </c>
      <c r="F42" s="2" t="s">
        <v>38</v>
      </c>
      <c r="G42" s="2" t="s">
        <v>37</v>
      </c>
      <c r="H42" s="2">
        <v>0.67</v>
      </c>
      <c r="I42" s="2">
        <v>13</v>
      </c>
      <c r="J42" s="2">
        <v>430.85</v>
      </c>
      <c r="K42" s="2" t="s">
        <v>54</v>
      </c>
    </row>
    <row r="43" spans="1:11" x14ac:dyDescent="0.25">
      <c r="A43" s="2">
        <v>40</v>
      </c>
      <c r="B43" s="4">
        <v>46046</v>
      </c>
      <c r="C43" s="2" t="s">
        <v>29</v>
      </c>
      <c r="D43" s="2" t="s">
        <v>30</v>
      </c>
      <c r="E43" s="2" t="s">
        <v>31</v>
      </c>
      <c r="F43" s="2" t="s">
        <v>43</v>
      </c>
      <c r="G43" s="2" t="s">
        <v>42</v>
      </c>
      <c r="H43" s="2">
        <v>1.1599999999999999</v>
      </c>
      <c r="I43" s="2">
        <v>11</v>
      </c>
      <c r="J43" s="2">
        <v>1533.81</v>
      </c>
      <c r="K43" s="2" t="s">
        <v>54</v>
      </c>
    </row>
    <row r="44" spans="1:11" x14ac:dyDescent="0.25">
      <c r="A44" s="2">
        <v>41</v>
      </c>
      <c r="B44" s="4">
        <v>46046</v>
      </c>
      <c r="C44" s="2" t="s">
        <v>36</v>
      </c>
      <c r="D44" s="2" t="s">
        <v>30</v>
      </c>
      <c r="E44" s="2" t="s">
        <v>31</v>
      </c>
      <c r="F44" s="2" t="s">
        <v>41</v>
      </c>
      <c r="G44" s="2" t="s">
        <v>40</v>
      </c>
      <c r="H44" s="2">
        <v>2.98</v>
      </c>
      <c r="I44" s="2">
        <v>19</v>
      </c>
      <c r="J44" s="2">
        <v>258.44</v>
      </c>
      <c r="K44" s="2" t="s">
        <v>55</v>
      </c>
    </row>
    <row r="45" spans="1:11" x14ac:dyDescent="0.25">
      <c r="A45" s="2">
        <v>42</v>
      </c>
      <c r="B45" s="4">
        <v>46047</v>
      </c>
      <c r="C45" s="2" t="s">
        <v>29</v>
      </c>
      <c r="D45" s="2" t="s">
        <v>30</v>
      </c>
      <c r="E45" s="2" t="s">
        <v>45</v>
      </c>
      <c r="F45" s="2" t="s">
        <v>38</v>
      </c>
      <c r="G45" s="2" t="s">
        <v>42</v>
      </c>
      <c r="H45" s="2">
        <v>2.91</v>
      </c>
      <c r="I45" s="2">
        <v>11</v>
      </c>
      <c r="J45" s="2">
        <v>752.44</v>
      </c>
      <c r="K45" s="2" t="s">
        <v>54</v>
      </c>
    </row>
    <row r="46" spans="1:11" x14ac:dyDescent="0.25">
      <c r="A46" s="2">
        <v>43</v>
      </c>
      <c r="B46" s="4">
        <v>46048</v>
      </c>
      <c r="C46" s="2" t="s">
        <v>29</v>
      </c>
      <c r="D46" s="2" t="s">
        <v>35</v>
      </c>
      <c r="E46" s="2" t="s">
        <v>31</v>
      </c>
      <c r="F46" s="2" t="s">
        <v>38</v>
      </c>
      <c r="G46" s="2" t="s">
        <v>48</v>
      </c>
      <c r="H46" s="2">
        <v>1.57</v>
      </c>
      <c r="I46" s="2">
        <v>14</v>
      </c>
      <c r="J46" s="2">
        <v>589.19000000000005</v>
      </c>
      <c r="K46" s="2" t="s">
        <v>54</v>
      </c>
    </row>
    <row r="47" spans="1:11" x14ac:dyDescent="0.25">
      <c r="A47" s="2">
        <v>44</v>
      </c>
      <c r="B47" s="4">
        <v>46048</v>
      </c>
      <c r="C47" s="2" t="s">
        <v>34</v>
      </c>
      <c r="D47" s="2" t="s">
        <v>30</v>
      </c>
      <c r="E47" s="2" t="s">
        <v>31</v>
      </c>
      <c r="F47" s="2" t="s">
        <v>43</v>
      </c>
      <c r="G47" s="2" t="s">
        <v>42</v>
      </c>
      <c r="H47" s="2">
        <v>2.87</v>
      </c>
      <c r="I47" s="2">
        <v>11</v>
      </c>
      <c r="J47" s="2">
        <v>1322.46</v>
      </c>
      <c r="K47" s="2" t="s">
        <v>54</v>
      </c>
    </row>
    <row r="48" spans="1:11" x14ac:dyDescent="0.25">
      <c r="A48" s="2">
        <v>45</v>
      </c>
      <c r="B48" s="4">
        <v>46048</v>
      </c>
      <c r="C48" s="2" t="s">
        <v>36</v>
      </c>
      <c r="D48" s="2" t="s">
        <v>35</v>
      </c>
      <c r="E48" s="2" t="s">
        <v>39</v>
      </c>
      <c r="F48" s="2" t="s">
        <v>43</v>
      </c>
      <c r="G48" s="2" t="s">
        <v>46</v>
      </c>
      <c r="H48" s="2">
        <v>1.48</v>
      </c>
      <c r="I48" s="2">
        <v>20</v>
      </c>
      <c r="J48" s="2">
        <v>1035.5899999999999</v>
      </c>
      <c r="K48" s="2" t="s">
        <v>54</v>
      </c>
    </row>
    <row r="49" spans="1:11" x14ac:dyDescent="0.25">
      <c r="A49" s="2">
        <v>46</v>
      </c>
      <c r="B49" s="4">
        <v>46049</v>
      </c>
      <c r="C49" s="2" t="s">
        <v>34</v>
      </c>
      <c r="D49" s="2" t="s">
        <v>30</v>
      </c>
      <c r="E49" s="2" t="s">
        <v>31</v>
      </c>
      <c r="F49" s="2" t="s">
        <v>38</v>
      </c>
      <c r="G49" s="2" t="s">
        <v>44</v>
      </c>
      <c r="H49" s="2">
        <v>2.0499999999999998</v>
      </c>
      <c r="I49" s="2">
        <v>5</v>
      </c>
      <c r="J49" s="2">
        <v>503.72</v>
      </c>
      <c r="K49" s="2" t="s">
        <v>54</v>
      </c>
    </row>
    <row r="50" spans="1:11" x14ac:dyDescent="0.25">
      <c r="A50" s="2">
        <v>47</v>
      </c>
      <c r="B50" s="4">
        <v>46050</v>
      </c>
      <c r="C50" s="2" t="s">
        <v>34</v>
      </c>
      <c r="D50" s="2" t="s">
        <v>35</v>
      </c>
      <c r="E50" s="2" t="s">
        <v>45</v>
      </c>
      <c r="F50" s="2" t="s">
        <v>43</v>
      </c>
      <c r="G50" s="2" t="s">
        <v>48</v>
      </c>
      <c r="H50" s="2">
        <v>3.55</v>
      </c>
      <c r="I50" s="2">
        <v>9</v>
      </c>
      <c r="J50" s="2">
        <v>1532.6</v>
      </c>
      <c r="K50" s="2" t="s">
        <v>54</v>
      </c>
    </row>
    <row r="51" spans="1:11" x14ac:dyDescent="0.25">
      <c r="A51" s="2">
        <v>48</v>
      </c>
      <c r="B51" s="4">
        <v>46051</v>
      </c>
      <c r="C51" s="2" t="s">
        <v>29</v>
      </c>
      <c r="D51" s="2" t="s">
        <v>30</v>
      </c>
      <c r="E51" s="2" t="s">
        <v>45</v>
      </c>
      <c r="F51" s="2" t="s">
        <v>38</v>
      </c>
      <c r="G51" s="2" t="s">
        <v>46</v>
      </c>
      <c r="H51" s="2">
        <v>0.77</v>
      </c>
      <c r="I51" s="2">
        <v>15</v>
      </c>
      <c r="J51" s="2">
        <v>680.41</v>
      </c>
      <c r="K51" s="2" t="s">
        <v>54</v>
      </c>
    </row>
    <row r="52" spans="1:11" x14ac:dyDescent="0.25">
      <c r="A52" s="2">
        <v>49</v>
      </c>
      <c r="B52" s="4">
        <v>46052</v>
      </c>
      <c r="C52" s="2" t="s">
        <v>29</v>
      </c>
      <c r="D52" s="2" t="s">
        <v>35</v>
      </c>
      <c r="E52" s="2" t="s">
        <v>31</v>
      </c>
      <c r="F52" s="2" t="s">
        <v>38</v>
      </c>
      <c r="G52" s="2" t="s">
        <v>46</v>
      </c>
      <c r="H52" s="2">
        <v>2.81</v>
      </c>
      <c r="I52" s="2">
        <v>6</v>
      </c>
      <c r="J52" s="2">
        <v>489.22</v>
      </c>
      <c r="K52" s="2" t="s">
        <v>54</v>
      </c>
    </row>
    <row r="53" spans="1:11" x14ac:dyDescent="0.25">
      <c r="A53" s="2">
        <v>50</v>
      </c>
      <c r="B53" s="4">
        <v>46052</v>
      </c>
      <c r="C53" s="2" t="s">
        <v>34</v>
      </c>
      <c r="D53" s="2" t="s">
        <v>30</v>
      </c>
      <c r="E53" s="2" t="s">
        <v>31</v>
      </c>
      <c r="F53" s="2" t="s">
        <v>38</v>
      </c>
      <c r="G53" s="2" t="s">
        <v>42</v>
      </c>
      <c r="H53" s="2">
        <v>3.12</v>
      </c>
      <c r="I53" s="2">
        <v>12</v>
      </c>
      <c r="J53" s="2">
        <v>778.1</v>
      </c>
      <c r="K53" s="2" t="s">
        <v>54</v>
      </c>
    </row>
    <row r="54" spans="1:11" x14ac:dyDescent="0.25">
      <c r="A54" s="2">
        <v>51</v>
      </c>
      <c r="B54" s="4">
        <v>46052</v>
      </c>
      <c r="C54" s="2" t="s">
        <v>36</v>
      </c>
      <c r="D54" s="2" t="s">
        <v>35</v>
      </c>
      <c r="E54" s="2" t="s">
        <v>31</v>
      </c>
      <c r="F54" s="2" t="s">
        <v>38</v>
      </c>
      <c r="G54" s="2" t="s">
        <v>46</v>
      </c>
      <c r="H54" s="2">
        <v>0.87</v>
      </c>
      <c r="I54" s="2">
        <v>11</v>
      </c>
      <c r="J54" s="2">
        <v>503.42</v>
      </c>
      <c r="K54" s="2" t="s">
        <v>54</v>
      </c>
    </row>
    <row r="55" spans="1:11" x14ac:dyDescent="0.25">
      <c r="A55" s="2">
        <v>52</v>
      </c>
      <c r="B55" s="4">
        <v>46053</v>
      </c>
      <c r="C55" s="2" t="s">
        <v>34</v>
      </c>
      <c r="D55" s="2" t="s">
        <v>30</v>
      </c>
      <c r="E55" s="2" t="s">
        <v>31</v>
      </c>
      <c r="F55" s="2" t="s">
        <v>38</v>
      </c>
      <c r="G55" s="2" t="s">
        <v>46</v>
      </c>
      <c r="H55" s="2">
        <v>1.56</v>
      </c>
      <c r="I55" s="2">
        <v>12</v>
      </c>
      <c r="J55" s="2">
        <v>780.31</v>
      </c>
      <c r="K55" s="2" t="s">
        <v>54</v>
      </c>
    </row>
    <row r="56" spans="1:11" x14ac:dyDescent="0.25">
      <c r="A56" s="2">
        <v>53</v>
      </c>
      <c r="B56" s="4">
        <v>46053</v>
      </c>
      <c r="C56" s="2" t="s">
        <v>36</v>
      </c>
      <c r="D56" s="2" t="s">
        <v>35</v>
      </c>
      <c r="E56" s="2" t="s">
        <v>31</v>
      </c>
      <c r="F56" s="2" t="s">
        <v>38</v>
      </c>
      <c r="G56" s="2" t="s">
        <v>48</v>
      </c>
      <c r="H56" s="2">
        <v>1.64</v>
      </c>
      <c r="I56" s="2">
        <v>3</v>
      </c>
      <c r="J56" s="2">
        <v>749.65</v>
      </c>
      <c r="K56" s="2" t="s">
        <v>54</v>
      </c>
    </row>
    <row r="57" spans="1:11" x14ac:dyDescent="0.25">
      <c r="A57" s="2">
        <v>54</v>
      </c>
      <c r="B57" s="4">
        <v>46054</v>
      </c>
      <c r="C57" s="2" t="s">
        <v>34</v>
      </c>
      <c r="D57" s="2" t="s">
        <v>35</v>
      </c>
      <c r="E57" s="2" t="s">
        <v>31</v>
      </c>
      <c r="F57" s="2" t="s">
        <v>43</v>
      </c>
      <c r="G57" s="2" t="s">
        <v>42</v>
      </c>
      <c r="H57" s="2">
        <v>1.27</v>
      </c>
      <c r="I57" s="2">
        <v>8</v>
      </c>
      <c r="J57" s="2">
        <v>981.87</v>
      </c>
      <c r="K57" s="2" t="s">
        <v>54</v>
      </c>
    </row>
    <row r="58" spans="1:11" x14ac:dyDescent="0.25">
      <c r="A58" s="2">
        <v>55</v>
      </c>
      <c r="B58" s="4">
        <v>46054</v>
      </c>
      <c r="C58" s="2" t="s">
        <v>36</v>
      </c>
      <c r="D58" s="2" t="s">
        <v>30</v>
      </c>
      <c r="E58" s="2" t="s">
        <v>45</v>
      </c>
      <c r="F58" s="2" t="s">
        <v>41</v>
      </c>
      <c r="G58" s="2" t="s">
        <v>40</v>
      </c>
      <c r="H58" s="2">
        <v>4.8099999999999996</v>
      </c>
      <c r="I58" s="2">
        <v>5</v>
      </c>
      <c r="J58" s="2">
        <v>158.81</v>
      </c>
      <c r="K58" s="2" t="s">
        <v>54</v>
      </c>
    </row>
    <row r="59" spans="1:11" x14ac:dyDescent="0.25">
      <c r="A59" s="2">
        <v>56</v>
      </c>
      <c r="B59" s="4">
        <v>46055</v>
      </c>
      <c r="C59" s="2" t="s">
        <v>29</v>
      </c>
      <c r="D59" s="2" t="s">
        <v>35</v>
      </c>
      <c r="E59" s="2" t="s">
        <v>31</v>
      </c>
      <c r="F59" s="2" t="s">
        <v>38</v>
      </c>
      <c r="G59" s="2" t="s">
        <v>46</v>
      </c>
      <c r="H59" s="2">
        <v>3.32</v>
      </c>
      <c r="I59" s="2">
        <v>5</v>
      </c>
      <c r="J59" s="2">
        <v>328.91</v>
      </c>
      <c r="K59" s="2" t="s">
        <v>54</v>
      </c>
    </row>
    <row r="60" spans="1:11" x14ac:dyDescent="0.25">
      <c r="A60" s="2">
        <v>57</v>
      </c>
      <c r="B60" s="4">
        <v>46055</v>
      </c>
      <c r="C60" s="2" t="s">
        <v>34</v>
      </c>
      <c r="D60" s="2" t="s">
        <v>30</v>
      </c>
      <c r="E60" s="2" t="s">
        <v>31</v>
      </c>
      <c r="F60" s="2" t="s">
        <v>43</v>
      </c>
      <c r="G60" s="2" t="s">
        <v>42</v>
      </c>
      <c r="H60" s="2">
        <v>1.85</v>
      </c>
      <c r="I60" s="2">
        <v>18</v>
      </c>
      <c r="J60" s="2">
        <v>869.96</v>
      </c>
      <c r="K60" s="2" t="s">
        <v>54</v>
      </c>
    </row>
    <row r="61" spans="1:11" x14ac:dyDescent="0.25">
      <c r="A61" s="2">
        <v>58</v>
      </c>
      <c r="B61" s="4">
        <v>46055</v>
      </c>
      <c r="C61" s="2" t="s">
        <v>36</v>
      </c>
      <c r="D61" s="2" t="s">
        <v>30</v>
      </c>
      <c r="E61" s="2" t="s">
        <v>39</v>
      </c>
      <c r="F61" s="2" t="s">
        <v>38</v>
      </c>
      <c r="G61" s="2" t="s">
        <v>47</v>
      </c>
      <c r="H61" s="2">
        <v>3.49</v>
      </c>
      <c r="I61" s="2">
        <v>15</v>
      </c>
      <c r="J61" s="2">
        <v>854.77</v>
      </c>
      <c r="K61" s="2" t="s">
        <v>54</v>
      </c>
    </row>
    <row r="62" spans="1:11" x14ac:dyDescent="0.25">
      <c r="A62" s="2">
        <v>59</v>
      </c>
      <c r="B62" s="4">
        <v>46056</v>
      </c>
      <c r="C62" s="2" t="s">
        <v>34</v>
      </c>
      <c r="D62" s="2" t="s">
        <v>35</v>
      </c>
      <c r="E62" s="2" t="s">
        <v>31</v>
      </c>
      <c r="F62" s="2" t="s">
        <v>41</v>
      </c>
      <c r="G62" s="2" t="s">
        <v>40</v>
      </c>
      <c r="H62" s="2">
        <v>3.18</v>
      </c>
      <c r="I62" s="2">
        <v>14</v>
      </c>
      <c r="J62" s="2">
        <v>190.32</v>
      </c>
      <c r="K62" s="2" t="s">
        <v>54</v>
      </c>
    </row>
    <row r="63" spans="1:11" x14ac:dyDescent="0.25">
      <c r="A63" s="2">
        <v>60</v>
      </c>
      <c r="B63" s="4">
        <v>46058</v>
      </c>
      <c r="C63" s="2" t="s">
        <v>34</v>
      </c>
      <c r="D63" s="2" t="s">
        <v>35</v>
      </c>
      <c r="E63" s="2" t="s">
        <v>45</v>
      </c>
      <c r="F63" s="2" t="s">
        <v>43</v>
      </c>
      <c r="G63" s="2" t="s">
        <v>37</v>
      </c>
      <c r="H63" s="2">
        <v>1.36</v>
      </c>
      <c r="I63" s="2">
        <v>14</v>
      </c>
      <c r="J63" s="2">
        <v>1521.01</v>
      </c>
      <c r="K63" s="2" t="s">
        <v>54</v>
      </c>
    </row>
    <row r="64" spans="1:11" x14ac:dyDescent="0.25">
      <c r="A64" s="2">
        <v>61</v>
      </c>
      <c r="B64" s="4">
        <v>46059</v>
      </c>
      <c r="C64" s="2" t="s">
        <v>29</v>
      </c>
      <c r="D64" s="2" t="s">
        <v>30</v>
      </c>
      <c r="E64" s="2" t="s">
        <v>45</v>
      </c>
      <c r="F64" s="2" t="s">
        <v>41</v>
      </c>
      <c r="G64" s="2" t="s">
        <v>40</v>
      </c>
      <c r="H64" s="2">
        <v>4.03</v>
      </c>
      <c r="I64" s="2">
        <v>18</v>
      </c>
      <c r="J64" s="2">
        <v>158.52000000000001</v>
      </c>
      <c r="K64" s="2" t="s">
        <v>54</v>
      </c>
    </row>
    <row r="65" spans="1:11" x14ac:dyDescent="0.25">
      <c r="A65" s="2">
        <v>62</v>
      </c>
      <c r="B65" s="4">
        <v>46059</v>
      </c>
      <c r="C65" s="2" t="s">
        <v>34</v>
      </c>
      <c r="D65" s="2" t="s">
        <v>30</v>
      </c>
      <c r="E65" s="2" t="s">
        <v>31</v>
      </c>
      <c r="F65" s="2" t="s">
        <v>38</v>
      </c>
      <c r="G65" s="2" t="s">
        <v>48</v>
      </c>
      <c r="H65" s="2">
        <v>1.52</v>
      </c>
      <c r="I65" s="2">
        <v>20</v>
      </c>
      <c r="J65" s="2">
        <v>895.41</v>
      </c>
      <c r="K65" s="2" t="s">
        <v>54</v>
      </c>
    </row>
    <row r="66" spans="1:11" x14ac:dyDescent="0.25">
      <c r="A66" s="2">
        <v>63</v>
      </c>
      <c r="B66" s="4">
        <v>46059</v>
      </c>
      <c r="C66" s="2" t="s">
        <v>36</v>
      </c>
      <c r="D66" s="2" t="s">
        <v>30</v>
      </c>
      <c r="E66" s="2" t="s">
        <v>31</v>
      </c>
      <c r="F66" s="2" t="s">
        <v>43</v>
      </c>
      <c r="G66" s="2" t="s">
        <v>46</v>
      </c>
      <c r="H66" s="2">
        <v>0.86</v>
      </c>
      <c r="I66" s="2">
        <v>5</v>
      </c>
      <c r="J66" s="2">
        <v>1558.38</v>
      </c>
      <c r="K66" s="2" t="s">
        <v>54</v>
      </c>
    </row>
    <row r="67" spans="1:11" x14ac:dyDescent="0.25">
      <c r="A67" s="2">
        <v>64</v>
      </c>
      <c r="B67" s="4">
        <v>46060</v>
      </c>
      <c r="C67" s="2" t="s">
        <v>29</v>
      </c>
      <c r="D67" s="2" t="s">
        <v>35</v>
      </c>
      <c r="E67" s="2" t="s">
        <v>31</v>
      </c>
      <c r="F67" s="2" t="s">
        <v>38</v>
      </c>
      <c r="G67" s="2" t="s">
        <v>37</v>
      </c>
      <c r="H67" s="2">
        <v>3.12</v>
      </c>
      <c r="I67" s="2">
        <v>9</v>
      </c>
      <c r="J67" s="2">
        <v>421.18</v>
      </c>
      <c r="K67" s="2" t="s">
        <v>54</v>
      </c>
    </row>
    <row r="68" spans="1:11" x14ac:dyDescent="0.25">
      <c r="A68" s="2">
        <v>65</v>
      </c>
      <c r="B68" s="4">
        <v>46060</v>
      </c>
      <c r="C68" s="2" t="s">
        <v>34</v>
      </c>
      <c r="D68" s="2" t="s">
        <v>35</v>
      </c>
      <c r="E68" s="2" t="s">
        <v>39</v>
      </c>
      <c r="F68" s="2" t="s">
        <v>38</v>
      </c>
      <c r="G68" s="2" t="s">
        <v>47</v>
      </c>
      <c r="H68" s="2">
        <v>0.67</v>
      </c>
      <c r="I68" s="2">
        <v>5</v>
      </c>
      <c r="J68" s="2">
        <v>489.36</v>
      </c>
      <c r="K68" s="2" t="s">
        <v>54</v>
      </c>
    </row>
    <row r="69" spans="1:11" x14ac:dyDescent="0.25">
      <c r="A69" s="2">
        <v>66</v>
      </c>
      <c r="B69" s="4">
        <v>46061</v>
      </c>
      <c r="C69" s="2" t="s">
        <v>34</v>
      </c>
      <c r="D69" s="2" t="s">
        <v>35</v>
      </c>
      <c r="E69" s="2" t="s">
        <v>39</v>
      </c>
      <c r="F69" s="2" t="s">
        <v>38</v>
      </c>
      <c r="G69" s="2" t="s">
        <v>47</v>
      </c>
      <c r="H69" s="2">
        <v>2.16</v>
      </c>
      <c r="I69" s="2">
        <v>15</v>
      </c>
      <c r="J69" s="2">
        <v>859.44</v>
      </c>
      <c r="K69" s="2" t="s">
        <v>54</v>
      </c>
    </row>
    <row r="70" spans="1:11" x14ac:dyDescent="0.25">
      <c r="A70" s="2">
        <v>67</v>
      </c>
      <c r="B70" s="4">
        <v>46061</v>
      </c>
      <c r="C70" s="2" t="s">
        <v>36</v>
      </c>
      <c r="D70" s="2" t="s">
        <v>30</v>
      </c>
      <c r="E70" s="2" t="s">
        <v>31</v>
      </c>
      <c r="F70" s="2" t="s">
        <v>38</v>
      </c>
      <c r="G70" s="2" t="s">
        <v>47</v>
      </c>
      <c r="H70" s="2">
        <v>0.83</v>
      </c>
      <c r="I70" s="2">
        <v>7</v>
      </c>
      <c r="J70" s="2">
        <v>527.03</v>
      </c>
      <c r="K70" s="2" t="s">
        <v>55</v>
      </c>
    </row>
    <row r="71" spans="1:11" x14ac:dyDescent="0.25">
      <c r="A71" s="2">
        <v>68</v>
      </c>
      <c r="B71" s="4">
        <v>46062</v>
      </c>
      <c r="C71" s="2" t="s">
        <v>29</v>
      </c>
      <c r="D71" s="2" t="s">
        <v>35</v>
      </c>
      <c r="E71" s="2" t="s">
        <v>31</v>
      </c>
      <c r="F71" s="2" t="s">
        <v>41</v>
      </c>
      <c r="G71" s="2" t="s">
        <v>40</v>
      </c>
      <c r="H71" s="2">
        <v>4.6399999999999997</v>
      </c>
      <c r="I71" s="2">
        <v>12</v>
      </c>
      <c r="J71" s="2">
        <v>228.99</v>
      </c>
      <c r="K71" s="2" t="s">
        <v>54</v>
      </c>
    </row>
    <row r="72" spans="1:11" x14ac:dyDescent="0.25">
      <c r="A72" s="2">
        <v>69</v>
      </c>
      <c r="B72" s="4">
        <v>46062</v>
      </c>
      <c r="C72" s="2" t="s">
        <v>34</v>
      </c>
      <c r="D72" s="2" t="s">
        <v>35</v>
      </c>
      <c r="E72" s="2" t="s">
        <v>39</v>
      </c>
      <c r="F72" s="2" t="s">
        <v>38</v>
      </c>
      <c r="G72" s="2" t="s">
        <v>46</v>
      </c>
      <c r="H72" s="2">
        <v>2.89</v>
      </c>
      <c r="I72" s="2">
        <v>13</v>
      </c>
      <c r="J72" s="2">
        <v>721.32</v>
      </c>
      <c r="K72" s="2" t="s">
        <v>54</v>
      </c>
    </row>
    <row r="73" spans="1:11" x14ac:dyDescent="0.25">
      <c r="A73" s="2">
        <v>70</v>
      </c>
      <c r="B73" s="4">
        <v>46062</v>
      </c>
      <c r="C73" s="2" t="s">
        <v>36</v>
      </c>
      <c r="D73" s="2" t="s">
        <v>30</v>
      </c>
      <c r="E73" s="2" t="s">
        <v>31</v>
      </c>
      <c r="F73" s="2" t="s">
        <v>38</v>
      </c>
      <c r="G73" s="2" t="s">
        <v>47</v>
      </c>
      <c r="H73" s="2">
        <v>1.52</v>
      </c>
      <c r="I73" s="2">
        <v>10</v>
      </c>
      <c r="J73" s="2">
        <v>303.23</v>
      </c>
      <c r="K73" s="2" t="s">
        <v>54</v>
      </c>
    </row>
    <row r="74" spans="1:11" x14ac:dyDescent="0.25">
      <c r="A74" s="2">
        <v>71</v>
      </c>
      <c r="B74" s="4">
        <v>46064</v>
      </c>
      <c r="C74" s="2" t="s">
        <v>34</v>
      </c>
      <c r="D74" s="2" t="s">
        <v>35</v>
      </c>
      <c r="E74" s="2" t="s">
        <v>31</v>
      </c>
      <c r="F74" s="2" t="s">
        <v>38</v>
      </c>
      <c r="G74" s="2" t="s">
        <v>46</v>
      </c>
      <c r="H74" s="2">
        <v>2.77</v>
      </c>
      <c r="I74" s="2">
        <v>19</v>
      </c>
      <c r="J74" s="2">
        <v>383.09</v>
      </c>
      <c r="K74" s="2" t="s">
        <v>54</v>
      </c>
    </row>
    <row r="75" spans="1:11" x14ac:dyDescent="0.25">
      <c r="A75" s="2">
        <v>72</v>
      </c>
      <c r="B75" s="4">
        <v>46065</v>
      </c>
      <c r="C75" s="2" t="s">
        <v>29</v>
      </c>
      <c r="D75" s="2" t="s">
        <v>35</v>
      </c>
      <c r="E75" s="2" t="s">
        <v>39</v>
      </c>
      <c r="F75" s="2" t="s">
        <v>38</v>
      </c>
      <c r="G75" s="2" t="s">
        <v>42</v>
      </c>
      <c r="H75" s="2">
        <v>2.14</v>
      </c>
      <c r="I75" s="2">
        <v>9</v>
      </c>
      <c r="J75" s="2">
        <v>577.54999999999995</v>
      </c>
      <c r="K75" s="2" t="s">
        <v>54</v>
      </c>
    </row>
    <row r="76" spans="1:11" x14ac:dyDescent="0.25">
      <c r="A76" s="2">
        <v>73</v>
      </c>
      <c r="B76" s="4">
        <v>46065</v>
      </c>
      <c r="C76" s="2" t="s">
        <v>34</v>
      </c>
      <c r="D76" s="2" t="s">
        <v>30</v>
      </c>
      <c r="E76" s="2" t="s">
        <v>39</v>
      </c>
      <c r="F76" s="2" t="s">
        <v>38</v>
      </c>
      <c r="G76" s="2" t="s">
        <v>44</v>
      </c>
      <c r="H76" s="2">
        <v>2.87</v>
      </c>
      <c r="I76" s="2">
        <v>14</v>
      </c>
      <c r="J76" s="2">
        <v>744.82</v>
      </c>
      <c r="K76" s="2" t="s">
        <v>54</v>
      </c>
    </row>
    <row r="77" spans="1:11" x14ac:dyDescent="0.25">
      <c r="A77" s="2">
        <v>74</v>
      </c>
      <c r="B77" s="4">
        <v>46065</v>
      </c>
      <c r="C77" s="2" t="s">
        <v>36</v>
      </c>
      <c r="D77" s="2" t="s">
        <v>30</v>
      </c>
      <c r="E77" s="2" t="s">
        <v>31</v>
      </c>
      <c r="F77" s="2" t="s">
        <v>43</v>
      </c>
      <c r="G77" s="2" t="s">
        <v>48</v>
      </c>
      <c r="H77" s="2">
        <v>3.67</v>
      </c>
      <c r="I77" s="2">
        <v>19</v>
      </c>
      <c r="J77" s="2">
        <v>1431.37</v>
      </c>
      <c r="K77" s="2" t="s">
        <v>54</v>
      </c>
    </row>
    <row r="78" spans="1:11" x14ac:dyDescent="0.25">
      <c r="A78" s="2">
        <v>75</v>
      </c>
      <c r="B78" s="4">
        <v>46066</v>
      </c>
      <c r="C78" s="2" t="s">
        <v>29</v>
      </c>
      <c r="D78" s="2" t="s">
        <v>35</v>
      </c>
      <c r="E78" s="2" t="s">
        <v>39</v>
      </c>
      <c r="F78" s="2" t="s">
        <v>38</v>
      </c>
      <c r="G78" s="2" t="s">
        <v>44</v>
      </c>
      <c r="H78" s="2">
        <v>2.3199999999999998</v>
      </c>
      <c r="I78" s="2">
        <v>16</v>
      </c>
      <c r="J78" s="2">
        <v>370.42</v>
      </c>
      <c r="K78" s="2" t="s">
        <v>54</v>
      </c>
    </row>
    <row r="79" spans="1:11" x14ac:dyDescent="0.25">
      <c r="A79" s="2">
        <v>76</v>
      </c>
      <c r="B79" s="4">
        <v>46066</v>
      </c>
      <c r="C79" s="2" t="s">
        <v>34</v>
      </c>
      <c r="D79" s="2" t="s">
        <v>35</v>
      </c>
      <c r="E79" s="2" t="s">
        <v>31</v>
      </c>
      <c r="F79" s="2" t="s">
        <v>41</v>
      </c>
      <c r="G79" s="2" t="s">
        <v>40</v>
      </c>
      <c r="H79" s="2">
        <v>4.32</v>
      </c>
      <c r="I79" s="2">
        <v>12</v>
      </c>
      <c r="J79" s="2">
        <v>151.24</v>
      </c>
      <c r="K79" s="2" t="s">
        <v>54</v>
      </c>
    </row>
    <row r="80" spans="1:11" x14ac:dyDescent="0.25">
      <c r="A80" s="2">
        <v>77</v>
      </c>
      <c r="B80" s="4">
        <v>46066</v>
      </c>
      <c r="C80" s="2" t="s">
        <v>36</v>
      </c>
      <c r="D80" s="2" t="s">
        <v>30</v>
      </c>
      <c r="E80" s="2" t="s">
        <v>31</v>
      </c>
      <c r="F80" s="2" t="s">
        <v>41</v>
      </c>
      <c r="G80" s="2" t="s">
        <v>40</v>
      </c>
      <c r="H80" s="2">
        <v>3.73</v>
      </c>
      <c r="I80" s="2">
        <v>10</v>
      </c>
      <c r="J80" s="2">
        <v>123.39</v>
      </c>
      <c r="K80" s="2" t="s">
        <v>54</v>
      </c>
    </row>
    <row r="81" spans="1:11" x14ac:dyDescent="0.25">
      <c r="A81" s="2">
        <v>78</v>
      </c>
      <c r="B81" s="4">
        <v>46067</v>
      </c>
      <c r="C81" s="2" t="s">
        <v>34</v>
      </c>
      <c r="D81" s="2" t="s">
        <v>35</v>
      </c>
      <c r="E81" s="2" t="s">
        <v>31</v>
      </c>
      <c r="F81" s="2" t="s">
        <v>43</v>
      </c>
      <c r="G81" s="2" t="s">
        <v>42</v>
      </c>
      <c r="H81" s="2">
        <v>1.36</v>
      </c>
      <c r="I81" s="2">
        <v>7</v>
      </c>
      <c r="J81" s="2">
        <v>1049.48</v>
      </c>
      <c r="K81" s="2" t="s">
        <v>54</v>
      </c>
    </row>
    <row r="82" spans="1:11" x14ac:dyDescent="0.25">
      <c r="A82" s="2">
        <v>79</v>
      </c>
      <c r="B82" s="4">
        <v>46068</v>
      </c>
      <c r="C82" s="2" t="s">
        <v>29</v>
      </c>
      <c r="D82" s="2" t="s">
        <v>30</v>
      </c>
      <c r="E82" s="2" t="s">
        <v>31</v>
      </c>
      <c r="F82" s="2" t="s">
        <v>38</v>
      </c>
      <c r="G82" s="2" t="s">
        <v>42</v>
      </c>
      <c r="H82" s="2">
        <v>2.84</v>
      </c>
      <c r="I82" s="2">
        <v>4</v>
      </c>
      <c r="J82" s="2">
        <v>347.9</v>
      </c>
      <c r="K82" s="2" t="s">
        <v>54</v>
      </c>
    </row>
    <row r="83" spans="1:11" x14ac:dyDescent="0.25">
      <c r="A83" s="2">
        <v>80</v>
      </c>
      <c r="B83" s="4">
        <v>46068</v>
      </c>
      <c r="C83" s="2" t="s">
        <v>36</v>
      </c>
      <c r="D83" s="2" t="s">
        <v>30</v>
      </c>
      <c r="E83" s="2" t="s">
        <v>31</v>
      </c>
      <c r="F83" s="2" t="s">
        <v>38</v>
      </c>
      <c r="G83" s="2" t="s">
        <v>42</v>
      </c>
      <c r="H83" s="2">
        <v>3.37</v>
      </c>
      <c r="I83" s="2">
        <v>18</v>
      </c>
      <c r="J83" s="2">
        <v>798.77</v>
      </c>
      <c r="K83" s="2" t="s">
        <v>54</v>
      </c>
    </row>
    <row r="84" spans="1:11" x14ac:dyDescent="0.25">
      <c r="A84" s="2">
        <v>81</v>
      </c>
      <c r="B84" s="4">
        <v>46069</v>
      </c>
      <c r="C84" s="2" t="s">
        <v>29</v>
      </c>
      <c r="D84" s="2" t="s">
        <v>30</v>
      </c>
      <c r="E84" s="2" t="s">
        <v>31</v>
      </c>
      <c r="F84" s="2" t="s">
        <v>38</v>
      </c>
      <c r="G84" s="2" t="s">
        <v>47</v>
      </c>
      <c r="H84" s="2">
        <v>0.52</v>
      </c>
      <c r="I84" s="2">
        <v>13</v>
      </c>
      <c r="J84" s="2">
        <v>353.02</v>
      </c>
      <c r="K84" s="2" t="s">
        <v>54</v>
      </c>
    </row>
    <row r="85" spans="1:11" x14ac:dyDescent="0.25">
      <c r="A85" s="2">
        <v>82</v>
      </c>
      <c r="B85" s="4">
        <v>46069</v>
      </c>
      <c r="C85" s="2" t="s">
        <v>34</v>
      </c>
      <c r="D85" s="2" t="s">
        <v>30</v>
      </c>
      <c r="E85" s="2" t="s">
        <v>39</v>
      </c>
      <c r="F85" s="2" t="s">
        <v>38</v>
      </c>
      <c r="G85" s="2" t="s">
        <v>47</v>
      </c>
      <c r="H85" s="2">
        <v>3.18</v>
      </c>
      <c r="I85" s="2">
        <v>3</v>
      </c>
      <c r="J85" s="2">
        <v>420.17</v>
      </c>
      <c r="K85" s="2" t="s">
        <v>54</v>
      </c>
    </row>
    <row r="86" spans="1:11" x14ac:dyDescent="0.25">
      <c r="A86" s="2">
        <v>83</v>
      </c>
      <c r="B86" s="4">
        <v>46069</v>
      </c>
      <c r="C86" s="2" t="s">
        <v>36</v>
      </c>
      <c r="D86" s="2" t="s">
        <v>35</v>
      </c>
      <c r="E86" s="2" t="s">
        <v>45</v>
      </c>
      <c r="F86" s="2" t="s">
        <v>38</v>
      </c>
      <c r="G86" s="2" t="s">
        <v>37</v>
      </c>
      <c r="H86" s="2">
        <v>3.68</v>
      </c>
      <c r="I86" s="2">
        <v>7</v>
      </c>
      <c r="J86" s="2">
        <v>498.54</v>
      </c>
      <c r="K86" s="2" t="s">
        <v>54</v>
      </c>
    </row>
    <row r="87" spans="1:11" x14ac:dyDescent="0.25">
      <c r="A87" s="2">
        <v>84</v>
      </c>
      <c r="B87" s="4">
        <v>46072</v>
      </c>
      <c r="C87" s="2" t="s">
        <v>36</v>
      </c>
      <c r="D87" s="2" t="s">
        <v>35</v>
      </c>
      <c r="E87" s="2" t="s">
        <v>39</v>
      </c>
      <c r="F87" s="2" t="s">
        <v>41</v>
      </c>
      <c r="G87" s="2" t="s">
        <v>40</v>
      </c>
      <c r="H87" s="2">
        <v>4.41</v>
      </c>
      <c r="I87" s="2">
        <v>19</v>
      </c>
      <c r="J87" s="2">
        <v>179.21</v>
      </c>
      <c r="K87" s="2" t="s">
        <v>54</v>
      </c>
    </row>
    <row r="88" spans="1:11" x14ac:dyDescent="0.25">
      <c r="A88" s="2">
        <v>85</v>
      </c>
      <c r="B88" s="4">
        <v>46073</v>
      </c>
      <c r="C88" s="2" t="s">
        <v>34</v>
      </c>
      <c r="D88" s="2" t="s">
        <v>30</v>
      </c>
      <c r="E88" s="2" t="s">
        <v>45</v>
      </c>
      <c r="F88" s="2" t="s">
        <v>38</v>
      </c>
      <c r="G88" s="2" t="s">
        <v>42</v>
      </c>
      <c r="H88" s="2">
        <v>0.69</v>
      </c>
      <c r="I88" s="2">
        <v>15</v>
      </c>
      <c r="J88" s="2">
        <v>365.66</v>
      </c>
      <c r="K88" s="2" t="s">
        <v>55</v>
      </c>
    </row>
    <row r="89" spans="1:11" x14ac:dyDescent="0.25">
      <c r="A89" s="2">
        <v>86</v>
      </c>
      <c r="B89" s="4">
        <v>46073</v>
      </c>
      <c r="C89" s="2" t="s">
        <v>36</v>
      </c>
      <c r="D89" s="2" t="s">
        <v>35</v>
      </c>
      <c r="E89" s="2" t="s">
        <v>39</v>
      </c>
      <c r="F89" s="2" t="s">
        <v>43</v>
      </c>
      <c r="G89" s="2" t="s">
        <v>37</v>
      </c>
      <c r="H89" s="2">
        <v>3.16</v>
      </c>
      <c r="I89" s="2">
        <v>11</v>
      </c>
      <c r="J89" s="2">
        <v>1399.56</v>
      </c>
      <c r="K89" s="2" t="s">
        <v>54</v>
      </c>
    </row>
    <row r="90" spans="1:11" x14ac:dyDescent="0.25">
      <c r="A90" s="2">
        <v>87</v>
      </c>
      <c r="B90" s="4">
        <v>46074</v>
      </c>
      <c r="C90" s="2" t="s">
        <v>34</v>
      </c>
      <c r="D90" s="2" t="s">
        <v>35</v>
      </c>
      <c r="E90" s="2" t="s">
        <v>31</v>
      </c>
      <c r="F90" s="2" t="s">
        <v>38</v>
      </c>
      <c r="G90" s="2" t="s">
        <v>46</v>
      </c>
      <c r="H90" s="2">
        <v>1.67</v>
      </c>
      <c r="I90" s="2">
        <v>14</v>
      </c>
      <c r="J90" s="2">
        <v>518.99</v>
      </c>
      <c r="K90" s="2" t="s">
        <v>54</v>
      </c>
    </row>
    <row r="91" spans="1:11" x14ac:dyDescent="0.25">
      <c r="A91" s="2">
        <v>88</v>
      </c>
      <c r="B91" s="4">
        <v>46075</v>
      </c>
      <c r="C91" s="2" t="s">
        <v>29</v>
      </c>
      <c r="D91" s="2" t="s">
        <v>35</v>
      </c>
      <c r="E91" s="2" t="s">
        <v>31</v>
      </c>
      <c r="F91" s="2" t="s">
        <v>38</v>
      </c>
      <c r="G91" s="2" t="s">
        <v>47</v>
      </c>
      <c r="H91" s="2">
        <v>1.94</v>
      </c>
      <c r="I91" s="2">
        <v>15</v>
      </c>
      <c r="J91" s="2">
        <v>870.75</v>
      </c>
      <c r="K91" s="2" t="s">
        <v>54</v>
      </c>
    </row>
    <row r="92" spans="1:11" x14ac:dyDescent="0.25">
      <c r="A92" s="2">
        <v>89</v>
      </c>
      <c r="B92" s="4">
        <v>46075</v>
      </c>
      <c r="C92" s="2" t="s">
        <v>34</v>
      </c>
      <c r="D92" s="2" t="s">
        <v>35</v>
      </c>
      <c r="E92" s="2" t="s">
        <v>39</v>
      </c>
      <c r="F92" s="2" t="s">
        <v>38</v>
      </c>
      <c r="G92" s="2" t="s">
        <v>48</v>
      </c>
      <c r="H92" s="2">
        <v>0.87</v>
      </c>
      <c r="I92" s="2">
        <v>9</v>
      </c>
      <c r="J92" s="2">
        <v>661.89</v>
      </c>
      <c r="K92" s="2" t="s">
        <v>54</v>
      </c>
    </row>
    <row r="93" spans="1:11" x14ac:dyDescent="0.25">
      <c r="A93" s="2">
        <v>90</v>
      </c>
      <c r="B93" s="4">
        <v>46075</v>
      </c>
      <c r="C93" s="2" t="s">
        <v>36</v>
      </c>
      <c r="D93" s="2" t="s">
        <v>35</v>
      </c>
      <c r="E93" s="2" t="s">
        <v>39</v>
      </c>
      <c r="F93" s="2" t="s">
        <v>43</v>
      </c>
      <c r="G93" s="2" t="s">
        <v>44</v>
      </c>
      <c r="H93" s="2">
        <v>0.52</v>
      </c>
      <c r="I93" s="2">
        <v>5</v>
      </c>
      <c r="J93" s="2">
        <v>1219.21</v>
      </c>
      <c r="K93" s="2" t="s">
        <v>54</v>
      </c>
    </row>
    <row r="94" spans="1:11" x14ac:dyDescent="0.25">
      <c r="A94" s="2">
        <v>91</v>
      </c>
      <c r="B94" s="4">
        <v>46076</v>
      </c>
      <c r="C94" s="2" t="s">
        <v>34</v>
      </c>
      <c r="D94" s="2" t="s">
        <v>30</v>
      </c>
      <c r="E94" s="2" t="s">
        <v>31</v>
      </c>
      <c r="F94" s="2" t="s">
        <v>41</v>
      </c>
      <c r="G94" s="2" t="s">
        <v>40</v>
      </c>
      <c r="H94" s="2">
        <v>2.19</v>
      </c>
      <c r="I94" s="2">
        <v>16</v>
      </c>
      <c r="J94" s="2">
        <v>286.5</v>
      </c>
      <c r="K94" s="2" t="s">
        <v>54</v>
      </c>
    </row>
    <row r="95" spans="1:11" x14ac:dyDescent="0.25">
      <c r="A95" s="2">
        <v>92</v>
      </c>
      <c r="B95" s="4">
        <v>46077</v>
      </c>
      <c r="C95" s="2" t="s">
        <v>34</v>
      </c>
      <c r="D95" s="2" t="s">
        <v>35</v>
      </c>
      <c r="E95" s="2" t="s">
        <v>39</v>
      </c>
      <c r="F95" s="2" t="s">
        <v>41</v>
      </c>
      <c r="G95" s="2" t="s">
        <v>40</v>
      </c>
      <c r="H95" s="2">
        <v>4.68</v>
      </c>
      <c r="I95" s="2">
        <v>20</v>
      </c>
      <c r="J95" s="2">
        <v>117.81</v>
      </c>
      <c r="K95" s="2" t="s">
        <v>54</v>
      </c>
    </row>
    <row r="96" spans="1:11" x14ac:dyDescent="0.25">
      <c r="A96" s="2">
        <v>93</v>
      </c>
      <c r="B96" s="4">
        <v>46078</v>
      </c>
      <c r="C96" s="2" t="s">
        <v>29</v>
      </c>
      <c r="D96" s="2" t="s">
        <v>30</v>
      </c>
      <c r="E96" s="2" t="s">
        <v>45</v>
      </c>
      <c r="F96" s="2" t="s">
        <v>41</v>
      </c>
      <c r="G96" s="2" t="s">
        <v>40</v>
      </c>
      <c r="H96" s="2">
        <v>4.75</v>
      </c>
      <c r="I96" s="2">
        <v>11</v>
      </c>
      <c r="J96" s="2">
        <v>189.67</v>
      </c>
      <c r="K96" s="2" t="s">
        <v>54</v>
      </c>
    </row>
    <row r="97" spans="1:11" x14ac:dyDescent="0.25">
      <c r="A97" s="2">
        <v>94</v>
      </c>
      <c r="B97" s="4">
        <v>46078</v>
      </c>
      <c r="C97" s="2" t="s">
        <v>36</v>
      </c>
      <c r="D97" s="2" t="s">
        <v>35</v>
      </c>
      <c r="E97" s="2" t="s">
        <v>45</v>
      </c>
      <c r="F97" s="2" t="s">
        <v>41</v>
      </c>
      <c r="G97" s="2" t="s">
        <v>40</v>
      </c>
      <c r="H97" s="2">
        <v>4.47</v>
      </c>
      <c r="I97" s="2">
        <v>20</v>
      </c>
      <c r="J97" s="2">
        <v>229.07</v>
      </c>
      <c r="K97" s="2" t="s">
        <v>54</v>
      </c>
    </row>
    <row r="98" spans="1:11" x14ac:dyDescent="0.25">
      <c r="A98" s="2">
        <v>95</v>
      </c>
      <c r="B98" s="4">
        <v>46079</v>
      </c>
      <c r="C98" s="2" t="s">
        <v>29</v>
      </c>
      <c r="D98" s="2" t="s">
        <v>35</v>
      </c>
      <c r="E98" s="2" t="s">
        <v>39</v>
      </c>
      <c r="F98" s="2" t="s">
        <v>43</v>
      </c>
      <c r="G98" s="2" t="s">
        <v>47</v>
      </c>
      <c r="H98" s="2">
        <v>2.87</v>
      </c>
      <c r="I98" s="2">
        <v>13</v>
      </c>
      <c r="J98" s="2">
        <v>1219.27</v>
      </c>
      <c r="K98" s="2" t="s">
        <v>54</v>
      </c>
    </row>
    <row r="99" spans="1:11" x14ac:dyDescent="0.25">
      <c r="A99" s="2">
        <v>96</v>
      </c>
      <c r="B99" s="4">
        <v>46079</v>
      </c>
      <c r="C99" s="2" t="s">
        <v>36</v>
      </c>
      <c r="D99" s="2" t="s">
        <v>35</v>
      </c>
      <c r="E99" s="2" t="s">
        <v>31</v>
      </c>
      <c r="F99" s="2" t="s">
        <v>38</v>
      </c>
      <c r="G99" s="2" t="s">
        <v>42</v>
      </c>
      <c r="H99" s="2">
        <v>3.73</v>
      </c>
      <c r="I99" s="2">
        <v>20</v>
      </c>
      <c r="J99" s="2">
        <v>544.12</v>
      </c>
      <c r="K99" s="2" t="s">
        <v>54</v>
      </c>
    </row>
    <row r="100" spans="1:11" x14ac:dyDescent="0.25">
      <c r="A100" s="2">
        <v>97</v>
      </c>
      <c r="B100" s="4">
        <v>46080</v>
      </c>
      <c r="C100" s="2" t="s">
        <v>29</v>
      </c>
      <c r="D100" s="2" t="s">
        <v>35</v>
      </c>
      <c r="E100" s="2" t="s">
        <v>39</v>
      </c>
      <c r="F100" s="2" t="s">
        <v>38</v>
      </c>
      <c r="G100" s="2" t="s">
        <v>46</v>
      </c>
      <c r="H100" s="2">
        <v>2.35</v>
      </c>
      <c r="I100" s="2">
        <v>3</v>
      </c>
      <c r="J100" s="2">
        <v>786.99</v>
      </c>
      <c r="K100" s="2" t="s">
        <v>54</v>
      </c>
    </row>
    <row r="101" spans="1:11" x14ac:dyDescent="0.25">
      <c r="A101" s="2">
        <v>98</v>
      </c>
      <c r="B101" s="4">
        <v>46080</v>
      </c>
      <c r="C101" s="2" t="s">
        <v>34</v>
      </c>
      <c r="D101" s="2" t="s">
        <v>35</v>
      </c>
      <c r="E101" s="2" t="s">
        <v>31</v>
      </c>
      <c r="F101" s="2" t="s">
        <v>38</v>
      </c>
      <c r="G101" s="2" t="s">
        <v>42</v>
      </c>
      <c r="H101" s="2">
        <v>0.55000000000000004</v>
      </c>
      <c r="I101" s="2">
        <v>6</v>
      </c>
      <c r="J101" s="2">
        <v>774.46</v>
      </c>
      <c r="K101" s="2" t="s">
        <v>54</v>
      </c>
    </row>
    <row r="102" spans="1:11" x14ac:dyDescent="0.25">
      <c r="A102" s="2">
        <v>99</v>
      </c>
      <c r="B102" s="4">
        <v>46080</v>
      </c>
      <c r="C102" s="2" t="s">
        <v>36</v>
      </c>
      <c r="D102" s="2" t="s">
        <v>30</v>
      </c>
      <c r="E102" s="2" t="s">
        <v>45</v>
      </c>
      <c r="F102" s="2" t="s">
        <v>38</v>
      </c>
      <c r="G102" s="2" t="s">
        <v>37</v>
      </c>
      <c r="H102" s="2">
        <v>2.41</v>
      </c>
      <c r="I102" s="2">
        <v>6</v>
      </c>
      <c r="J102" s="2">
        <v>512.55999999999995</v>
      </c>
      <c r="K102" s="2" t="s">
        <v>54</v>
      </c>
    </row>
    <row r="103" spans="1:11" x14ac:dyDescent="0.25">
      <c r="A103" s="2">
        <v>100</v>
      </c>
      <c r="B103" s="4">
        <v>46081</v>
      </c>
      <c r="C103" s="2" t="s">
        <v>29</v>
      </c>
      <c r="D103" s="2" t="s">
        <v>35</v>
      </c>
      <c r="E103" s="2" t="s">
        <v>31</v>
      </c>
      <c r="F103" s="2" t="s">
        <v>41</v>
      </c>
      <c r="G103" s="2" t="s">
        <v>40</v>
      </c>
      <c r="H103" s="2">
        <v>3.25</v>
      </c>
      <c r="I103" s="2">
        <v>3</v>
      </c>
      <c r="J103" s="2">
        <v>146.05000000000001</v>
      </c>
      <c r="K103" s="2" t="s">
        <v>54</v>
      </c>
    </row>
    <row r="104" spans="1:11" x14ac:dyDescent="0.25">
      <c r="A104" s="2">
        <v>101</v>
      </c>
      <c r="B104" s="4">
        <v>46081</v>
      </c>
      <c r="C104" s="2" t="s">
        <v>34</v>
      </c>
      <c r="D104" s="2" t="s">
        <v>35</v>
      </c>
      <c r="E104" s="2" t="s">
        <v>45</v>
      </c>
      <c r="F104" s="2" t="s">
        <v>38</v>
      </c>
      <c r="G104" s="2" t="s">
        <v>37</v>
      </c>
      <c r="H104" s="2">
        <v>3.21</v>
      </c>
      <c r="I104" s="2">
        <v>14</v>
      </c>
      <c r="J104" s="2">
        <v>656.01</v>
      </c>
      <c r="K104" s="2" t="s">
        <v>54</v>
      </c>
    </row>
    <row r="105" spans="1:11" x14ac:dyDescent="0.25">
      <c r="A105" s="2">
        <v>102</v>
      </c>
      <c r="B105" s="4">
        <v>46081</v>
      </c>
      <c r="C105" s="2" t="s">
        <v>36</v>
      </c>
      <c r="D105" s="2" t="s">
        <v>35</v>
      </c>
      <c r="E105" s="2" t="s">
        <v>45</v>
      </c>
      <c r="F105" s="2" t="s">
        <v>38</v>
      </c>
      <c r="G105" s="2" t="s">
        <v>47</v>
      </c>
      <c r="H105" s="2">
        <v>0.88</v>
      </c>
      <c r="I105" s="2">
        <v>3</v>
      </c>
      <c r="J105" s="2">
        <v>457.8</v>
      </c>
      <c r="K105" s="2" t="s">
        <v>54</v>
      </c>
    </row>
    <row r="106" spans="1:11" x14ac:dyDescent="0.25">
      <c r="A106" s="2">
        <v>103</v>
      </c>
      <c r="B106" s="4">
        <v>46082</v>
      </c>
      <c r="C106" s="2" t="s">
        <v>29</v>
      </c>
      <c r="D106" s="2" t="s">
        <v>35</v>
      </c>
      <c r="E106" s="2" t="s">
        <v>39</v>
      </c>
      <c r="F106" s="2" t="s">
        <v>38</v>
      </c>
      <c r="G106" s="2" t="s">
        <v>44</v>
      </c>
      <c r="H106" s="2">
        <v>0.64</v>
      </c>
      <c r="I106" s="2">
        <v>8</v>
      </c>
      <c r="J106" s="2">
        <v>473.73</v>
      </c>
      <c r="K106" s="2" t="s">
        <v>54</v>
      </c>
    </row>
    <row r="107" spans="1:11" x14ac:dyDescent="0.25">
      <c r="A107" s="2">
        <v>104</v>
      </c>
      <c r="B107" s="4">
        <v>46082</v>
      </c>
      <c r="C107" s="2" t="s">
        <v>34</v>
      </c>
      <c r="D107" s="2" t="s">
        <v>30</v>
      </c>
      <c r="E107" s="2" t="s">
        <v>31</v>
      </c>
      <c r="F107" s="2" t="s">
        <v>41</v>
      </c>
      <c r="G107" s="2" t="s">
        <v>40</v>
      </c>
      <c r="H107" s="2">
        <v>3.95</v>
      </c>
      <c r="I107" s="2">
        <v>11</v>
      </c>
      <c r="J107" s="2">
        <v>125.04</v>
      </c>
      <c r="K107" s="2" t="s">
        <v>54</v>
      </c>
    </row>
    <row r="108" spans="1:11" x14ac:dyDescent="0.25">
      <c r="A108" s="2">
        <v>105</v>
      </c>
      <c r="B108" s="4">
        <v>46082</v>
      </c>
      <c r="C108" s="2" t="s">
        <v>36</v>
      </c>
      <c r="D108" s="2" t="s">
        <v>35</v>
      </c>
      <c r="E108" s="2" t="s">
        <v>39</v>
      </c>
      <c r="F108" s="2" t="s">
        <v>38</v>
      </c>
      <c r="G108" s="2" t="s">
        <v>46</v>
      </c>
      <c r="H108" s="2">
        <v>2.66</v>
      </c>
      <c r="I108" s="2">
        <v>3</v>
      </c>
      <c r="J108" s="2">
        <v>673.87</v>
      </c>
      <c r="K108" s="2" t="s">
        <v>54</v>
      </c>
    </row>
    <row r="109" spans="1:11" x14ac:dyDescent="0.25">
      <c r="A109" s="2">
        <v>106</v>
      </c>
      <c r="B109" s="4">
        <v>46083</v>
      </c>
      <c r="C109" s="2" t="s">
        <v>36</v>
      </c>
      <c r="D109" s="2" t="s">
        <v>35</v>
      </c>
      <c r="E109" s="2" t="s">
        <v>31</v>
      </c>
      <c r="F109" s="2" t="s">
        <v>38</v>
      </c>
      <c r="G109" s="2" t="s">
        <v>42</v>
      </c>
      <c r="H109" s="2">
        <v>0.66</v>
      </c>
      <c r="I109" s="2">
        <v>7</v>
      </c>
      <c r="J109" s="2">
        <v>889.02</v>
      </c>
      <c r="K109" s="2" t="s">
        <v>54</v>
      </c>
    </row>
    <row r="110" spans="1:11" x14ac:dyDescent="0.25">
      <c r="A110" s="2">
        <v>107</v>
      </c>
      <c r="B110" s="4">
        <v>46084</v>
      </c>
      <c r="C110" s="2" t="s">
        <v>29</v>
      </c>
      <c r="D110" s="2" t="s">
        <v>30</v>
      </c>
      <c r="E110" s="2" t="s">
        <v>31</v>
      </c>
      <c r="F110" s="2" t="s">
        <v>38</v>
      </c>
      <c r="G110" s="2" t="s">
        <v>42</v>
      </c>
      <c r="H110" s="2">
        <v>0.87</v>
      </c>
      <c r="I110" s="2">
        <v>4</v>
      </c>
      <c r="J110" s="2">
        <v>681.34</v>
      </c>
      <c r="K110" s="2" t="s">
        <v>54</v>
      </c>
    </row>
    <row r="111" spans="1:11" x14ac:dyDescent="0.25">
      <c r="A111" s="2">
        <v>108</v>
      </c>
      <c r="B111" s="4">
        <v>46084</v>
      </c>
      <c r="C111" s="2" t="s">
        <v>34</v>
      </c>
      <c r="D111" s="2" t="s">
        <v>30</v>
      </c>
      <c r="E111" s="2" t="s">
        <v>45</v>
      </c>
      <c r="F111" s="2" t="s">
        <v>38</v>
      </c>
      <c r="G111" s="2" t="s">
        <v>42</v>
      </c>
      <c r="H111" s="2">
        <v>1.9</v>
      </c>
      <c r="I111" s="2">
        <v>10</v>
      </c>
      <c r="J111" s="2">
        <v>370.03</v>
      </c>
      <c r="K111" s="2" t="s">
        <v>54</v>
      </c>
    </row>
    <row r="112" spans="1:11" x14ac:dyDescent="0.25">
      <c r="A112" s="2">
        <v>109</v>
      </c>
      <c r="B112" s="4">
        <v>46085</v>
      </c>
      <c r="C112" s="2" t="s">
        <v>29</v>
      </c>
      <c r="D112" s="2" t="s">
        <v>30</v>
      </c>
      <c r="E112" s="2" t="s">
        <v>39</v>
      </c>
      <c r="F112" s="2" t="s">
        <v>38</v>
      </c>
      <c r="G112" s="2" t="s">
        <v>46</v>
      </c>
      <c r="H112" s="2">
        <v>2.86</v>
      </c>
      <c r="I112" s="2">
        <v>3</v>
      </c>
      <c r="J112" s="2">
        <v>397.68</v>
      </c>
      <c r="K112" s="2" t="s">
        <v>54</v>
      </c>
    </row>
    <row r="113" spans="1:11" x14ac:dyDescent="0.25">
      <c r="A113" s="2">
        <v>110</v>
      </c>
      <c r="B113" s="4">
        <v>46085</v>
      </c>
      <c r="C113" s="2" t="s">
        <v>34</v>
      </c>
      <c r="D113" s="2" t="s">
        <v>35</v>
      </c>
      <c r="E113" s="2" t="s">
        <v>39</v>
      </c>
      <c r="F113" s="2" t="s">
        <v>41</v>
      </c>
      <c r="G113" s="2" t="s">
        <v>40</v>
      </c>
      <c r="H113" s="2">
        <v>4.7300000000000004</v>
      </c>
      <c r="I113" s="2">
        <v>15</v>
      </c>
      <c r="J113" s="2">
        <v>160.24</v>
      </c>
      <c r="K113" s="2" t="s">
        <v>54</v>
      </c>
    </row>
    <row r="114" spans="1:11" x14ac:dyDescent="0.25">
      <c r="A114" s="2">
        <v>111</v>
      </c>
      <c r="B114" s="4">
        <v>46086</v>
      </c>
      <c r="C114" s="2" t="s">
        <v>29</v>
      </c>
      <c r="D114" s="2" t="s">
        <v>35</v>
      </c>
      <c r="E114" s="2" t="s">
        <v>31</v>
      </c>
      <c r="F114" s="2" t="s">
        <v>38</v>
      </c>
      <c r="G114" s="2" t="s">
        <v>44</v>
      </c>
      <c r="H114" s="2">
        <v>1.99</v>
      </c>
      <c r="I114" s="2">
        <v>14</v>
      </c>
      <c r="J114" s="2">
        <v>429.45</v>
      </c>
      <c r="K114" s="2" t="s">
        <v>54</v>
      </c>
    </row>
    <row r="115" spans="1:11" x14ac:dyDescent="0.25">
      <c r="A115" s="2">
        <v>112</v>
      </c>
      <c r="B115" s="4">
        <v>46086</v>
      </c>
      <c r="C115" s="2" t="s">
        <v>34</v>
      </c>
      <c r="D115" s="2" t="s">
        <v>30</v>
      </c>
      <c r="E115" s="2" t="s">
        <v>45</v>
      </c>
      <c r="F115" s="2" t="s">
        <v>41</v>
      </c>
      <c r="G115" s="2" t="s">
        <v>40</v>
      </c>
      <c r="H115" s="2">
        <v>2.92</v>
      </c>
      <c r="I115" s="2">
        <v>16</v>
      </c>
      <c r="J115" s="2">
        <v>227</v>
      </c>
      <c r="K115" s="2" t="s">
        <v>54</v>
      </c>
    </row>
    <row r="116" spans="1:11" x14ac:dyDescent="0.25">
      <c r="A116" s="2">
        <v>113</v>
      </c>
      <c r="B116" s="4">
        <v>46086</v>
      </c>
      <c r="C116" s="2" t="s">
        <v>36</v>
      </c>
      <c r="D116" s="2" t="s">
        <v>35</v>
      </c>
      <c r="E116" s="2" t="s">
        <v>39</v>
      </c>
      <c r="F116" s="2" t="s">
        <v>38</v>
      </c>
      <c r="G116" s="2" t="s">
        <v>37</v>
      </c>
      <c r="H116" s="2">
        <v>3.29</v>
      </c>
      <c r="I116" s="2">
        <v>19</v>
      </c>
      <c r="J116" s="2">
        <v>353.13</v>
      </c>
      <c r="K116" s="2" t="s">
        <v>54</v>
      </c>
    </row>
    <row r="117" spans="1:11" x14ac:dyDescent="0.25">
      <c r="A117" s="2">
        <v>114</v>
      </c>
      <c r="B117" s="4">
        <v>46087</v>
      </c>
      <c r="C117" s="2" t="s">
        <v>34</v>
      </c>
      <c r="D117" s="2" t="s">
        <v>30</v>
      </c>
      <c r="E117" s="2" t="s">
        <v>45</v>
      </c>
      <c r="F117" s="2" t="s">
        <v>43</v>
      </c>
      <c r="G117" s="2" t="s">
        <v>47</v>
      </c>
      <c r="H117" s="2">
        <v>2.85</v>
      </c>
      <c r="I117" s="2">
        <v>8</v>
      </c>
      <c r="J117" s="2">
        <v>1026.47</v>
      </c>
      <c r="K117" s="2" t="s">
        <v>54</v>
      </c>
    </row>
    <row r="118" spans="1:11" x14ac:dyDescent="0.25">
      <c r="A118" s="2">
        <v>115</v>
      </c>
      <c r="B118" s="4">
        <v>46088</v>
      </c>
      <c r="C118" s="2" t="s">
        <v>34</v>
      </c>
      <c r="D118" s="2" t="s">
        <v>30</v>
      </c>
      <c r="E118" s="2" t="s">
        <v>31</v>
      </c>
      <c r="F118" s="2" t="s">
        <v>38</v>
      </c>
      <c r="G118" s="2" t="s">
        <v>46</v>
      </c>
      <c r="H118" s="2">
        <v>1.48</v>
      </c>
      <c r="I118" s="2">
        <v>19</v>
      </c>
      <c r="J118" s="2">
        <v>735.87</v>
      </c>
      <c r="K118" s="2" t="s">
        <v>54</v>
      </c>
    </row>
    <row r="119" spans="1:11" x14ac:dyDescent="0.25">
      <c r="A119" s="2">
        <v>116</v>
      </c>
      <c r="B119" s="4">
        <v>46089</v>
      </c>
      <c r="C119" s="2" t="s">
        <v>36</v>
      </c>
      <c r="D119" s="2" t="s">
        <v>35</v>
      </c>
      <c r="E119" s="2" t="s">
        <v>31</v>
      </c>
      <c r="F119" s="2" t="s">
        <v>43</v>
      </c>
      <c r="G119" s="2" t="s">
        <v>46</v>
      </c>
      <c r="H119" s="2">
        <v>1.63</v>
      </c>
      <c r="I119" s="2">
        <v>15</v>
      </c>
      <c r="J119" s="2">
        <v>1432.21</v>
      </c>
      <c r="K119" s="2" t="s">
        <v>54</v>
      </c>
    </row>
    <row r="120" spans="1:11" x14ac:dyDescent="0.25">
      <c r="A120" s="2">
        <v>117</v>
      </c>
      <c r="B120" s="4">
        <v>46090</v>
      </c>
      <c r="C120" s="2" t="s">
        <v>34</v>
      </c>
      <c r="D120" s="2" t="s">
        <v>35</v>
      </c>
      <c r="E120" s="2" t="s">
        <v>45</v>
      </c>
      <c r="F120" s="2" t="s">
        <v>38</v>
      </c>
      <c r="G120" s="2" t="s">
        <v>42</v>
      </c>
      <c r="H120" s="2">
        <v>3.6</v>
      </c>
      <c r="I120" s="2">
        <v>15</v>
      </c>
      <c r="J120" s="2">
        <v>660.97</v>
      </c>
      <c r="K120" s="2" t="s">
        <v>54</v>
      </c>
    </row>
    <row r="121" spans="1:11" x14ac:dyDescent="0.25">
      <c r="A121" s="2">
        <v>118</v>
      </c>
      <c r="B121" s="4">
        <v>46091</v>
      </c>
      <c r="C121" s="2" t="s">
        <v>34</v>
      </c>
      <c r="D121" s="2" t="s">
        <v>30</v>
      </c>
      <c r="E121" s="2" t="s">
        <v>39</v>
      </c>
      <c r="F121" s="2" t="s">
        <v>38</v>
      </c>
      <c r="G121" s="2" t="s">
        <v>48</v>
      </c>
      <c r="H121" s="2">
        <v>3.16</v>
      </c>
      <c r="I121" s="2">
        <v>7</v>
      </c>
      <c r="J121" s="2">
        <v>700.49</v>
      </c>
      <c r="K121" s="2" t="s">
        <v>54</v>
      </c>
    </row>
    <row r="122" spans="1:11" x14ac:dyDescent="0.25">
      <c r="A122" s="2">
        <v>119</v>
      </c>
      <c r="B122" s="4">
        <v>46091</v>
      </c>
      <c r="C122" s="2" t="s">
        <v>36</v>
      </c>
      <c r="D122" s="2" t="s">
        <v>35</v>
      </c>
      <c r="E122" s="2" t="s">
        <v>31</v>
      </c>
      <c r="F122" s="2" t="s">
        <v>38</v>
      </c>
      <c r="G122" s="2" t="s">
        <v>44</v>
      </c>
      <c r="H122" s="2">
        <v>1.29</v>
      </c>
      <c r="I122" s="2">
        <v>13</v>
      </c>
      <c r="J122" s="2">
        <v>725.12</v>
      </c>
      <c r="K122" s="2" t="s">
        <v>55</v>
      </c>
    </row>
    <row r="123" spans="1:11" x14ac:dyDescent="0.25">
      <c r="A123" s="2">
        <v>120</v>
      </c>
      <c r="B123" s="4">
        <v>46092</v>
      </c>
      <c r="C123" s="2" t="s">
        <v>36</v>
      </c>
      <c r="D123" s="2" t="s">
        <v>35</v>
      </c>
      <c r="E123" s="2" t="s">
        <v>31</v>
      </c>
      <c r="F123" s="2" t="s">
        <v>38</v>
      </c>
      <c r="G123" s="2" t="s">
        <v>42</v>
      </c>
      <c r="H123" s="2">
        <v>3.14</v>
      </c>
      <c r="I123" s="2">
        <v>8</v>
      </c>
      <c r="J123" s="2">
        <v>884.55</v>
      </c>
      <c r="K123" s="2" t="s">
        <v>54</v>
      </c>
    </row>
    <row r="124" spans="1:11" x14ac:dyDescent="0.25">
      <c r="A124" s="2">
        <v>121</v>
      </c>
      <c r="B124" s="4">
        <v>46093</v>
      </c>
      <c r="C124" s="2" t="s">
        <v>29</v>
      </c>
      <c r="D124" s="2" t="s">
        <v>35</v>
      </c>
      <c r="E124" s="2" t="s">
        <v>31</v>
      </c>
      <c r="F124" s="2" t="s">
        <v>43</v>
      </c>
      <c r="G124" s="2" t="s">
        <v>47</v>
      </c>
      <c r="H124" s="2">
        <v>3.52</v>
      </c>
      <c r="I124" s="2">
        <v>21</v>
      </c>
      <c r="J124" s="2">
        <v>913.06</v>
      </c>
      <c r="K124" s="2" t="s">
        <v>54</v>
      </c>
    </row>
    <row r="125" spans="1:11" x14ac:dyDescent="0.25">
      <c r="A125" s="2">
        <v>122</v>
      </c>
      <c r="B125" s="4">
        <v>46093</v>
      </c>
      <c r="C125" s="2" t="s">
        <v>34</v>
      </c>
      <c r="D125" s="2" t="s">
        <v>30</v>
      </c>
      <c r="E125" s="2" t="s">
        <v>45</v>
      </c>
      <c r="F125" s="2" t="s">
        <v>38</v>
      </c>
      <c r="G125" s="2" t="s">
        <v>37</v>
      </c>
      <c r="H125" s="2">
        <v>2.34</v>
      </c>
      <c r="I125" s="2">
        <v>20</v>
      </c>
      <c r="J125" s="2">
        <v>733.03</v>
      </c>
      <c r="K125" s="2" t="s">
        <v>54</v>
      </c>
    </row>
    <row r="126" spans="1:11" x14ac:dyDescent="0.25">
      <c r="A126" s="2">
        <v>123</v>
      </c>
      <c r="B126" s="4">
        <v>46095</v>
      </c>
      <c r="C126" s="2" t="s">
        <v>29</v>
      </c>
      <c r="D126" s="2" t="s">
        <v>30</v>
      </c>
      <c r="E126" s="2" t="s">
        <v>31</v>
      </c>
      <c r="F126" s="2" t="s">
        <v>38</v>
      </c>
      <c r="G126" s="2" t="s">
        <v>47</v>
      </c>
      <c r="H126" s="2">
        <v>3.52</v>
      </c>
      <c r="I126" s="2">
        <v>20</v>
      </c>
      <c r="J126" s="2">
        <v>641.24</v>
      </c>
      <c r="K126" s="2" t="s">
        <v>54</v>
      </c>
    </row>
    <row r="127" spans="1:11" x14ac:dyDescent="0.25">
      <c r="A127" s="2">
        <v>124</v>
      </c>
      <c r="B127" s="4">
        <v>46095</v>
      </c>
      <c r="C127" s="2" t="s">
        <v>34</v>
      </c>
      <c r="D127" s="2" t="s">
        <v>30</v>
      </c>
      <c r="E127" s="2" t="s">
        <v>45</v>
      </c>
      <c r="F127" s="2" t="s">
        <v>38</v>
      </c>
      <c r="G127" s="2" t="s">
        <v>44</v>
      </c>
      <c r="H127" s="2">
        <v>0.53</v>
      </c>
      <c r="I127" s="2">
        <v>14</v>
      </c>
      <c r="J127" s="2">
        <v>393.21</v>
      </c>
      <c r="K127" s="2" t="s">
        <v>54</v>
      </c>
    </row>
    <row r="128" spans="1:11" x14ac:dyDescent="0.25">
      <c r="A128" s="2">
        <v>125</v>
      </c>
      <c r="B128" s="4">
        <v>46095</v>
      </c>
      <c r="C128" s="2" t="s">
        <v>36</v>
      </c>
      <c r="D128" s="2" t="s">
        <v>35</v>
      </c>
      <c r="E128" s="2" t="s">
        <v>31</v>
      </c>
      <c r="F128" s="2" t="s">
        <v>38</v>
      </c>
      <c r="G128" s="2" t="s">
        <v>46</v>
      </c>
      <c r="H128" s="2">
        <v>3</v>
      </c>
      <c r="I128" s="2">
        <v>16</v>
      </c>
      <c r="J128" s="2">
        <v>724.29</v>
      </c>
      <c r="K128" s="2" t="s">
        <v>54</v>
      </c>
    </row>
    <row r="129" spans="1:11" x14ac:dyDescent="0.25">
      <c r="A129" s="2">
        <v>126</v>
      </c>
      <c r="B129" s="4">
        <v>46096</v>
      </c>
      <c r="C129" s="2" t="s">
        <v>34</v>
      </c>
      <c r="D129" s="2" t="s">
        <v>30</v>
      </c>
      <c r="E129" s="2" t="s">
        <v>45</v>
      </c>
      <c r="F129" s="2" t="s">
        <v>38</v>
      </c>
      <c r="G129" s="2" t="s">
        <v>47</v>
      </c>
      <c r="H129" s="2">
        <v>3.39</v>
      </c>
      <c r="I129" s="2">
        <v>11</v>
      </c>
      <c r="J129" s="2">
        <v>394.09</v>
      </c>
      <c r="K129" s="2" t="s">
        <v>54</v>
      </c>
    </row>
    <row r="130" spans="1:11" x14ac:dyDescent="0.25">
      <c r="A130" s="2">
        <v>127</v>
      </c>
      <c r="B130" s="4">
        <v>46096</v>
      </c>
      <c r="C130" s="2" t="s">
        <v>36</v>
      </c>
      <c r="D130" s="2" t="s">
        <v>35</v>
      </c>
      <c r="E130" s="2" t="s">
        <v>39</v>
      </c>
      <c r="F130" s="2" t="s">
        <v>38</v>
      </c>
      <c r="G130" s="2" t="s">
        <v>42</v>
      </c>
      <c r="H130" s="2">
        <v>1.92</v>
      </c>
      <c r="I130" s="2">
        <v>16</v>
      </c>
      <c r="J130" s="2">
        <v>736.1</v>
      </c>
      <c r="K130" s="2" t="s">
        <v>54</v>
      </c>
    </row>
    <row r="131" spans="1:11" x14ac:dyDescent="0.25">
      <c r="A131" s="2">
        <v>128</v>
      </c>
      <c r="B131" s="4">
        <v>46097</v>
      </c>
      <c r="C131" s="2" t="s">
        <v>36</v>
      </c>
      <c r="D131" s="2" t="s">
        <v>35</v>
      </c>
      <c r="E131" s="2" t="s">
        <v>31</v>
      </c>
      <c r="F131" s="2" t="s">
        <v>41</v>
      </c>
      <c r="G131" s="2" t="s">
        <v>40</v>
      </c>
      <c r="H131" s="2">
        <v>2.69</v>
      </c>
      <c r="I131" s="2">
        <v>19</v>
      </c>
      <c r="J131" s="2">
        <v>229.05</v>
      </c>
      <c r="K131" s="2" t="s">
        <v>54</v>
      </c>
    </row>
    <row r="132" spans="1:11" x14ac:dyDescent="0.25">
      <c r="A132" s="2">
        <v>129</v>
      </c>
      <c r="B132" s="4">
        <v>46098</v>
      </c>
      <c r="C132" s="2" t="s">
        <v>29</v>
      </c>
      <c r="D132" s="2" t="s">
        <v>30</v>
      </c>
      <c r="E132" s="2" t="s">
        <v>31</v>
      </c>
      <c r="F132" s="2" t="s">
        <v>38</v>
      </c>
      <c r="G132" s="2" t="s">
        <v>44</v>
      </c>
      <c r="H132" s="2">
        <v>1.48</v>
      </c>
      <c r="I132" s="2">
        <v>21</v>
      </c>
      <c r="J132" s="2">
        <v>367.9</v>
      </c>
      <c r="K132" s="2" t="s">
        <v>54</v>
      </c>
    </row>
    <row r="133" spans="1:11" x14ac:dyDescent="0.25">
      <c r="A133" s="2">
        <v>130</v>
      </c>
      <c r="B133" s="4">
        <v>46099</v>
      </c>
      <c r="C133" s="2" t="s">
        <v>34</v>
      </c>
      <c r="D133" s="2" t="s">
        <v>30</v>
      </c>
      <c r="E133" s="2" t="s">
        <v>39</v>
      </c>
      <c r="F133" s="2" t="s">
        <v>38</v>
      </c>
      <c r="G133" s="2" t="s">
        <v>37</v>
      </c>
      <c r="H133" s="2">
        <v>1.41</v>
      </c>
      <c r="I133" s="2">
        <v>14</v>
      </c>
      <c r="J133" s="2">
        <v>385.97</v>
      </c>
      <c r="K133" s="2" t="s">
        <v>54</v>
      </c>
    </row>
    <row r="134" spans="1:11" x14ac:dyDescent="0.25">
      <c r="A134" s="2">
        <v>131</v>
      </c>
      <c r="B134" s="4">
        <v>46100</v>
      </c>
      <c r="C134" s="2" t="s">
        <v>34</v>
      </c>
      <c r="D134" s="2" t="s">
        <v>30</v>
      </c>
      <c r="E134" s="2" t="s">
        <v>45</v>
      </c>
      <c r="F134" s="2" t="s">
        <v>38</v>
      </c>
      <c r="G134" s="2" t="s">
        <v>42</v>
      </c>
      <c r="H134" s="2">
        <v>1.7</v>
      </c>
      <c r="I134" s="2">
        <v>20</v>
      </c>
      <c r="J134" s="2">
        <v>355.45</v>
      </c>
      <c r="K134" s="2" t="s">
        <v>55</v>
      </c>
    </row>
    <row r="135" spans="1:11" x14ac:dyDescent="0.25">
      <c r="A135" s="2">
        <v>132</v>
      </c>
      <c r="B135" s="4">
        <v>46100</v>
      </c>
      <c r="C135" s="2" t="s">
        <v>36</v>
      </c>
      <c r="D135" s="2" t="s">
        <v>35</v>
      </c>
      <c r="E135" s="2" t="s">
        <v>45</v>
      </c>
      <c r="F135" s="2" t="s">
        <v>38</v>
      </c>
      <c r="G135" s="2" t="s">
        <v>46</v>
      </c>
      <c r="H135" s="2">
        <v>1.66</v>
      </c>
      <c r="I135" s="2">
        <v>5</v>
      </c>
      <c r="J135" s="2">
        <v>760.33</v>
      </c>
      <c r="K135" s="2" t="s">
        <v>54</v>
      </c>
    </row>
    <row r="136" spans="1:11" x14ac:dyDescent="0.25">
      <c r="A136" s="2">
        <v>133</v>
      </c>
      <c r="B136" s="4">
        <v>46101</v>
      </c>
      <c r="C136" s="2" t="s">
        <v>29</v>
      </c>
      <c r="D136" s="2" t="s">
        <v>35</v>
      </c>
      <c r="E136" s="2" t="s">
        <v>39</v>
      </c>
      <c r="F136" s="2" t="s">
        <v>41</v>
      </c>
      <c r="G136" s="2" t="s">
        <v>40</v>
      </c>
      <c r="H136" s="2">
        <v>2.82</v>
      </c>
      <c r="I136" s="2">
        <v>7</v>
      </c>
      <c r="J136" s="2">
        <v>104.42</v>
      </c>
      <c r="K136" s="2" t="s">
        <v>54</v>
      </c>
    </row>
    <row r="137" spans="1:11" x14ac:dyDescent="0.25">
      <c r="A137" s="2">
        <v>134</v>
      </c>
      <c r="B137" s="4">
        <v>46101</v>
      </c>
      <c r="C137" s="2" t="s">
        <v>34</v>
      </c>
      <c r="D137" s="2" t="s">
        <v>35</v>
      </c>
      <c r="E137" s="2" t="s">
        <v>31</v>
      </c>
      <c r="F137" s="2" t="s">
        <v>43</v>
      </c>
      <c r="G137" s="2" t="s">
        <v>37</v>
      </c>
      <c r="H137" s="2">
        <v>2.72</v>
      </c>
      <c r="I137" s="2">
        <v>10</v>
      </c>
      <c r="J137" s="2">
        <v>1124.08</v>
      </c>
      <c r="K137" s="2" t="s">
        <v>54</v>
      </c>
    </row>
    <row r="138" spans="1:11" x14ac:dyDescent="0.25">
      <c r="A138" s="2">
        <v>135</v>
      </c>
      <c r="B138" s="4">
        <v>46102</v>
      </c>
      <c r="C138" s="2" t="s">
        <v>34</v>
      </c>
      <c r="D138" s="2" t="s">
        <v>30</v>
      </c>
      <c r="E138" s="2" t="s">
        <v>45</v>
      </c>
      <c r="F138" s="2" t="s">
        <v>43</v>
      </c>
      <c r="G138" s="2" t="s">
        <v>42</v>
      </c>
      <c r="H138" s="2">
        <v>3.58</v>
      </c>
      <c r="I138" s="2">
        <v>10</v>
      </c>
      <c r="J138" s="2">
        <v>948.32</v>
      </c>
      <c r="K138" s="2" t="s">
        <v>54</v>
      </c>
    </row>
    <row r="139" spans="1:11" x14ac:dyDescent="0.25">
      <c r="A139" s="2">
        <v>136</v>
      </c>
      <c r="B139" s="4">
        <v>46102</v>
      </c>
      <c r="C139" s="2" t="s">
        <v>36</v>
      </c>
      <c r="D139" s="2" t="s">
        <v>30</v>
      </c>
      <c r="E139" s="2" t="s">
        <v>31</v>
      </c>
      <c r="F139" s="2" t="s">
        <v>43</v>
      </c>
      <c r="G139" s="2" t="s">
        <v>48</v>
      </c>
      <c r="H139" s="2">
        <v>2.98</v>
      </c>
      <c r="I139" s="2">
        <v>21</v>
      </c>
      <c r="J139" s="2">
        <v>1070.28</v>
      </c>
      <c r="K139" s="2" t="s">
        <v>54</v>
      </c>
    </row>
    <row r="140" spans="1:11" x14ac:dyDescent="0.25">
      <c r="A140" s="2">
        <v>137</v>
      </c>
      <c r="B140" s="4">
        <v>46103</v>
      </c>
      <c r="C140" s="2" t="s">
        <v>29</v>
      </c>
      <c r="D140" s="2" t="s">
        <v>30</v>
      </c>
      <c r="E140" s="2" t="s">
        <v>39</v>
      </c>
      <c r="F140" s="2" t="s">
        <v>38</v>
      </c>
      <c r="G140" s="2" t="s">
        <v>46</v>
      </c>
      <c r="H140" s="2">
        <v>2.2799999999999998</v>
      </c>
      <c r="I140" s="2">
        <v>7</v>
      </c>
      <c r="J140" s="2">
        <v>633.29</v>
      </c>
      <c r="K140" s="2" t="s">
        <v>54</v>
      </c>
    </row>
    <row r="141" spans="1:11" x14ac:dyDescent="0.25">
      <c r="A141" s="2">
        <v>138</v>
      </c>
      <c r="B141" s="4">
        <v>46103</v>
      </c>
      <c r="C141" s="2" t="s">
        <v>34</v>
      </c>
      <c r="D141" s="2" t="s">
        <v>30</v>
      </c>
      <c r="E141" s="2" t="s">
        <v>45</v>
      </c>
      <c r="F141" s="2" t="s">
        <v>38</v>
      </c>
      <c r="G141" s="2" t="s">
        <v>44</v>
      </c>
      <c r="H141" s="2">
        <v>1.45</v>
      </c>
      <c r="I141" s="2">
        <v>4</v>
      </c>
      <c r="J141" s="2">
        <v>520.76</v>
      </c>
      <c r="K141" s="2" t="s">
        <v>54</v>
      </c>
    </row>
    <row r="142" spans="1:11" x14ac:dyDescent="0.25">
      <c r="A142" s="2">
        <v>139</v>
      </c>
      <c r="B142" s="4">
        <v>46103</v>
      </c>
      <c r="C142" s="2" t="s">
        <v>36</v>
      </c>
      <c r="D142" s="2" t="s">
        <v>30</v>
      </c>
      <c r="E142" s="2" t="s">
        <v>31</v>
      </c>
      <c r="F142" s="2" t="s">
        <v>38</v>
      </c>
      <c r="G142" s="2" t="s">
        <v>42</v>
      </c>
      <c r="H142" s="2">
        <v>3.19</v>
      </c>
      <c r="I142" s="2">
        <v>8</v>
      </c>
      <c r="J142" s="2">
        <v>565.66999999999996</v>
      </c>
      <c r="K142" s="2" t="s">
        <v>54</v>
      </c>
    </row>
    <row r="143" spans="1:11" x14ac:dyDescent="0.25">
      <c r="A143" s="2">
        <v>140</v>
      </c>
      <c r="B143" s="4">
        <v>46104</v>
      </c>
      <c r="C143" s="2" t="s">
        <v>29</v>
      </c>
      <c r="D143" s="2" t="s">
        <v>30</v>
      </c>
      <c r="E143" s="2" t="s">
        <v>45</v>
      </c>
      <c r="F143" s="2" t="s">
        <v>43</v>
      </c>
      <c r="G143" s="2" t="s">
        <v>42</v>
      </c>
      <c r="H143" s="2">
        <v>0.91</v>
      </c>
      <c r="I143" s="2">
        <v>16</v>
      </c>
      <c r="J143" s="2">
        <v>871.17</v>
      </c>
      <c r="K143" s="2" t="s">
        <v>54</v>
      </c>
    </row>
    <row r="144" spans="1:11" x14ac:dyDescent="0.25">
      <c r="A144" s="2">
        <v>141</v>
      </c>
      <c r="B144" s="4">
        <v>46104</v>
      </c>
      <c r="C144" s="2" t="s">
        <v>36</v>
      </c>
      <c r="D144" s="2" t="s">
        <v>35</v>
      </c>
      <c r="E144" s="2" t="s">
        <v>45</v>
      </c>
      <c r="F144" s="2" t="s">
        <v>38</v>
      </c>
      <c r="G144" s="2" t="s">
        <v>47</v>
      </c>
      <c r="H144" s="2">
        <v>1.55</v>
      </c>
      <c r="I144" s="2">
        <v>4</v>
      </c>
      <c r="J144" s="2">
        <v>420.74</v>
      </c>
      <c r="K144" s="2" t="s">
        <v>54</v>
      </c>
    </row>
    <row r="145" spans="1:11" x14ac:dyDescent="0.25">
      <c r="A145" s="2">
        <v>142</v>
      </c>
      <c r="B145" s="4">
        <v>46105</v>
      </c>
      <c r="C145" s="2" t="s">
        <v>36</v>
      </c>
      <c r="D145" s="2" t="s">
        <v>35</v>
      </c>
      <c r="E145" s="2" t="s">
        <v>39</v>
      </c>
      <c r="F145" s="2" t="s">
        <v>41</v>
      </c>
      <c r="G145" s="2" t="s">
        <v>40</v>
      </c>
      <c r="H145" s="2">
        <v>3.36</v>
      </c>
      <c r="I145" s="2">
        <v>8</v>
      </c>
      <c r="J145" s="2">
        <v>234.55</v>
      </c>
      <c r="K145" s="2" t="s">
        <v>54</v>
      </c>
    </row>
    <row r="146" spans="1:11" x14ac:dyDescent="0.25">
      <c r="A146" s="2">
        <v>143</v>
      </c>
      <c r="B146" s="4">
        <v>46106</v>
      </c>
      <c r="C146" s="2" t="s">
        <v>34</v>
      </c>
      <c r="D146" s="2" t="s">
        <v>30</v>
      </c>
      <c r="E146" s="2" t="s">
        <v>45</v>
      </c>
      <c r="F146" s="2" t="s">
        <v>43</v>
      </c>
      <c r="G146" s="2" t="s">
        <v>48</v>
      </c>
      <c r="H146" s="2">
        <v>3.33</v>
      </c>
      <c r="I146" s="2">
        <v>15</v>
      </c>
      <c r="J146" s="2">
        <v>960.9</v>
      </c>
      <c r="K146" s="2" t="s">
        <v>54</v>
      </c>
    </row>
    <row r="147" spans="1:11" x14ac:dyDescent="0.25">
      <c r="A147" s="2">
        <v>144</v>
      </c>
      <c r="B147" s="4">
        <v>46107</v>
      </c>
      <c r="C147" s="2" t="s">
        <v>36</v>
      </c>
      <c r="D147" s="2" t="s">
        <v>30</v>
      </c>
      <c r="E147" s="2" t="s">
        <v>31</v>
      </c>
      <c r="F147" s="2" t="s">
        <v>38</v>
      </c>
      <c r="G147" s="2" t="s">
        <v>42</v>
      </c>
      <c r="H147" s="2">
        <v>3.22</v>
      </c>
      <c r="I147" s="2">
        <v>4</v>
      </c>
      <c r="J147" s="2">
        <v>497.46</v>
      </c>
      <c r="K147" s="2" t="s">
        <v>54</v>
      </c>
    </row>
    <row r="148" spans="1:11" x14ac:dyDescent="0.25">
      <c r="A148" s="2">
        <v>145</v>
      </c>
      <c r="B148" s="4">
        <v>46108</v>
      </c>
      <c r="C148" s="2" t="s">
        <v>29</v>
      </c>
      <c r="D148" s="2" t="s">
        <v>30</v>
      </c>
      <c r="E148" s="2" t="s">
        <v>31</v>
      </c>
      <c r="F148" s="2" t="s">
        <v>38</v>
      </c>
      <c r="G148" s="2" t="s">
        <v>42</v>
      </c>
      <c r="H148" s="2">
        <v>1.99</v>
      </c>
      <c r="I148" s="2">
        <v>19</v>
      </c>
      <c r="J148" s="2">
        <v>863.14</v>
      </c>
      <c r="K148" s="2" t="s">
        <v>54</v>
      </c>
    </row>
    <row r="149" spans="1:11" x14ac:dyDescent="0.25">
      <c r="A149" s="2">
        <v>146</v>
      </c>
      <c r="B149" s="4">
        <v>46108</v>
      </c>
      <c r="C149" s="2" t="s">
        <v>34</v>
      </c>
      <c r="D149" s="2" t="s">
        <v>30</v>
      </c>
      <c r="E149" s="2" t="s">
        <v>45</v>
      </c>
      <c r="F149" s="2" t="s">
        <v>41</v>
      </c>
      <c r="G149" s="2" t="s">
        <v>40</v>
      </c>
      <c r="H149" s="2">
        <v>4.1399999999999997</v>
      </c>
      <c r="I149" s="2">
        <v>9</v>
      </c>
      <c r="J149" s="2">
        <v>159.37</v>
      </c>
      <c r="K149" s="2" t="s">
        <v>54</v>
      </c>
    </row>
    <row r="150" spans="1:11" x14ac:dyDescent="0.25">
      <c r="A150" s="2">
        <v>147</v>
      </c>
      <c r="B150" s="4">
        <v>46108</v>
      </c>
      <c r="C150" s="2" t="s">
        <v>36</v>
      </c>
      <c r="D150" s="2" t="s">
        <v>35</v>
      </c>
      <c r="E150" s="2" t="s">
        <v>39</v>
      </c>
      <c r="F150" s="2" t="s">
        <v>38</v>
      </c>
      <c r="G150" s="2" t="s">
        <v>44</v>
      </c>
      <c r="H150" s="2">
        <v>0.82</v>
      </c>
      <c r="I150" s="2">
        <v>3</v>
      </c>
      <c r="J150" s="2">
        <v>625.57000000000005</v>
      </c>
      <c r="K150" s="2" t="s">
        <v>54</v>
      </c>
    </row>
    <row r="151" spans="1:11" x14ac:dyDescent="0.25">
      <c r="A151" s="2">
        <v>148</v>
      </c>
      <c r="B151" s="4">
        <v>46109</v>
      </c>
      <c r="C151" s="2" t="s">
        <v>29</v>
      </c>
      <c r="D151" s="2" t="s">
        <v>30</v>
      </c>
      <c r="E151" s="2" t="s">
        <v>39</v>
      </c>
      <c r="F151" s="2" t="s">
        <v>38</v>
      </c>
      <c r="G151" s="2" t="s">
        <v>42</v>
      </c>
      <c r="H151" s="2">
        <v>3.09</v>
      </c>
      <c r="I151" s="2">
        <v>21</v>
      </c>
      <c r="J151" s="2">
        <v>693.81</v>
      </c>
      <c r="K151" s="2" t="s">
        <v>54</v>
      </c>
    </row>
    <row r="152" spans="1:11" x14ac:dyDescent="0.25">
      <c r="A152" s="2">
        <v>149</v>
      </c>
      <c r="B152" s="4">
        <v>46109</v>
      </c>
      <c r="C152" s="2" t="s">
        <v>34</v>
      </c>
      <c r="D152" s="2" t="s">
        <v>30</v>
      </c>
      <c r="E152" s="2" t="s">
        <v>31</v>
      </c>
      <c r="F152" s="2" t="s">
        <v>38</v>
      </c>
      <c r="G152" s="2" t="s">
        <v>37</v>
      </c>
      <c r="H152" s="2">
        <v>3.33</v>
      </c>
      <c r="I152" s="2">
        <v>6</v>
      </c>
      <c r="J152" s="2">
        <v>886.76</v>
      </c>
      <c r="K152" s="2" t="s">
        <v>54</v>
      </c>
    </row>
    <row r="153" spans="1:11" x14ac:dyDescent="0.25">
      <c r="A153" s="2">
        <v>150</v>
      </c>
      <c r="B153" s="4">
        <v>46110</v>
      </c>
      <c r="C153" s="2" t="s">
        <v>29</v>
      </c>
      <c r="D153" s="2" t="s">
        <v>30</v>
      </c>
      <c r="E153" s="2" t="s">
        <v>31</v>
      </c>
      <c r="F153" s="2" t="s">
        <v>38</v>
      </c>
      <c r="G153" s="2" t="s">
        <v>46</v>
      </c>
      <c r="H153" s="2">
        <v>0.57999999999999996</v>
      </c>
      <c r="I153" s="2">
        <v>4</v>
      </c>
      <c r="J153" s="2">
        <v>716.62</v>
      </c>
      <c r="K153" s="2" t="s">
        <v>55</v>
      </c>
    </row>
    <row r="154" spans="1:11" x14ac:dyDescent="0.25">
      <c r="A154" s="2">
        <v>151</v>
      </c>
      <c r="B154" s="4">
        <v>46110</v>
      </c>
      <c r="C154" s="2" t="s">
        <v>36</v>
      </c>
      <c r="D154" s="2" t="s">
        <v>35</v>
      </c>
      <c r="E154" s="2" t="s">
        <v>39</v>
      </c>
      <c r="F154" s="2" t="s">
        <v>43</v>
      </c>
      <c r="G154" s="2" t="s">
        <v>44</v>
      </c>
      <c r="H154" s="2">
        <v>2.89</v>
      </c>
      <c r="I154" s="2">
        <v>12</v>
      </c>
      <c r="J154" s="2">
        <v>857.48</v>
      </c>
      <c r="K154" s="2" t="s">
        <v>54</v>
      </c>
    </row>
    <row r="155" spans="1:11" x14ac:dyDescent="0.25">
      <c r="A155" s="2">
        <v>152</v>
      </c>
      <c r="B155" s="4">
        <v>46111</v>
      </c>
      <c r="C155" s="2" t="s">
        <v>34</v>
      </c>
      <c r="D155" s="2" t="s">
        <v>30</v>
      </c>
      <c r="E155" s="2" t="s">
        <v>31</v>
      </c>
      <c r="F155" s="2" t="s">
        <v>41</v>
      </c>
      <c r="G155" s="2" t="s">
        <v>40</v>
      </c>
      <c r="H155" s="2">
        <v>4.2</v>
      </c>
      <c r="I155" s="2">
        <v>12</v>
      </c>
      <c r="J155" s="2">
        <v>174.2</v>
      </c>
      <c r="K155" s="2" t="s">
        <v>54</v>
      </c>
    </row>
    <row r="156" spans="1:11" x14ac:dyDescent="0.25">
      <c r="A156" s="2">
        <v>153</v>
      </c>
      <c r="B156" s="4">
        <v>46111</v>
      </c>
      <c r="C156" s="2" t="s">
        <v>36</v>
      </c>
      <c r="D156" s="2" t="s">
        <v>30</v>
      </c>
      <c r="E156" s="2" t="s">
        <v>45</v>
      </c>
      <c r="F156" s="2" t="s">
        <v>43</v>
      </c>
      <c r="G156" s="2" t="s">
        <v>46</v>
      </c>
      <c r="H156" s="2">
        <v>1.55</v>
      </c>
      <c r="I156" s="2">
        <v>14</v>
      </c>
      <c r="J156" s="2">
        <v>1538.1</v>
      </c>
      <c r="K156" s="2" t="s">
        <v>55</v>
      </c>
    </row>
    <row r="157" spans="1:11" x14ac:dyDescent="0.25">
      <c r="A157" s="2">
        <v>154</v>
      </c>
      <c r="B157" s="4">
        <v>46112</v>
      </c>
      <c r="C157" s="2" t="s">
        <v>34</v>
      </c>
      <c r="D157" s="2" t="s">
        <v>35</v>
      </c>
      <c r="E157" s="2" t="s">
        <v>39</v>
      </c>
      <c r="F157" s="2" t="s">
        <v>38</v>
      </c>
      <c r="G157" s="2" t="s">
        <v>46</v>
      </c>
      <c r="H157" s="2">
        <v>1.1299999999999999</v>
      </c>
      <c r="I157" s="2">
        <v>10</v>
      </c>
      <c r="J157" s="2">
        <v>305.48</v>
      </c>
      <c r="K157" s="2" t="s">
        <v>54</v>
      </c>
    </row>
    <row r="158" spans="1:11" x14ac:dyDescent="0.25">
      <c r="A158" s="2">
        <v>155</v>
      </c>
      <c r="B158" s="4">
        <v>46112</v>
      </c>
      <c r="C158" s="2" t="s">
        <v>36</v>
      </c>
      <c r="D158" s="2" t="s">
        <v>35</v>
      </c>
      <c r="E158" s="2" t="s">
        <v>31</v>
      </c>
      <c r="F158" s="2" t="s">
        <v>38</v>
      </c>
      <c r="G158" s="2" t="s">
        <v>46</v>
      </c>
      <c r="H158" s="2">
        <v>2.14</v>
      </c>
      <c r="I158" s="2">
        <v>13</v>
      </c>
      <c r="J158" s="2">
        <v>884.62</v>
      </c>
      <c r="K158" s="2" t="s">
        <v>54</v>
      </c>
    </row>
    <row r="159" spans="1:11" x14ac:dyDescent="0.25">
      <c r="A159" s="2">
        <v>156</v>
      </c>
      <c r="B159" s="4">
        <v>46113</v>
      </c>
      <c r="C159" s="2" t="s">
        <v>29</v>
      </c>
      <c r="D159" s="2" t="s">
        <v>30</v>
      </c>
      <c r="E159" s="2" t="s">
        <v>31</v>
      </c>
      <c r="F159" s="2" t="s">
        <v>41</v>
      </c>
      <c r="G159" s="2" t="s">
        <v>40</v>
      </c>
      <c r="H159" s="2">
        <v>4.37</v>
      </c>
      <c r="I159" s="2">
        <v>21</v>
      </c>
      <c r="J159" s="2">
        <v>161.25</v>
      </c>
      <c r="K159" s="2" t="s">
        <v>54</v>
      </c>
    </row>
    <row r="160" spans="1:11" x14ac:dyDescent="0.25">
      <c r="A160" s="2">
        <v>157</v>
      </c>
      <c r="B160" s="4">
        <v>46113</v>
      </c>
      <c r="C160" s="2" t="s">
        <v>34</v>
      </c>
      <c r="D160" s="2" t="s">
        <v>35</v>
      </c>
      <c r="E160" s="2" t="s">
        <v>45</v>
      </c>
      <c r="F160" s="2" t="s">
        <v>38</v>
      </c>
      <c r="G160" s="2" t="s">
        <v>46</v>
      </c>
      <c r="H160" s="2">
        <v>3.46</v>
      </c>
      <c r="I160" s="2">
        <v>13</v>
      </c>
      <c r="J160" s="2">
        <v>707.59</v>
      </c>
      <c r="K160" s="2" t="s">
        <v>54</v>
      </c>
    </row>
    <row r="161" spans="1:11" x14ac:dyDescent="0.25">
      <c r="A161" s="2">
        <v>158</v>
      </c>
      <c r="B161" s="4">
        <v>46114</v>
      </c>
      <c r="C161" s="2" t="s">
        <v>29</v>
      </c>
      <c r="D161" s="2" t="s">
        <v>30</v>
      </c>
      <c r="E161" s="2" t="s">
        <v>31</v>
      </c>
      <c r="F161" s="2" t="s">
        <v>38</v>
      </c>
      <c r="G161" s="2" t="s">
        <v>42</v>
      </c>
      <c r="H161" s="2">
        <v>1.41</v>
      </c>
      <c r="I161" s="2">
        <v>10</v>
      </c>
      <c r="J161" s="2">
        <v>413.92</v>
      </c>
      <c r="K161" s="2" t="s">
        <v>54</v>
      </c>
    </row>
    <row r="162" spans="1:11" x14ac:dyDescent="0.25">
      <c r="A162" s="2">
        <v>159</v>
      </c>
      <c r="B162" s="4">
        <v>46114</v>
      </c>
      <c r="C162" s="2" t="s">
        <v>34</v>
      </c>
      <c r="D162" s="2" t="s">
        <v>35</v>
      </c>
      <c r="E162" s="2" t="s">
        <v>45</v>
      </c>
      <c r="F162" s="2" t="s">
        <v>38</v>
      </c>
      <c r="G162" s="2" t="s">
        <v>44</v>
      </c>
      <c r="H162" s="2">
        <v>0.69</v>
      </c>
      <c r="I162" s="2">
        <v>6</v>
      </c>
      <c r="J162" s="2">
        <v>678.16</v>
      </c>
      <c r="K162" s="2" t="s">
        <v>54</v>
      </c>
    </row>
    <row r="163" spans="1:11" x14ac:dyDescent="0.25">
      <c r="A163" s="2">
        <v>160</v>
      </c>
      <c r="B163" s="4">
        <v>46114</v>
      </c>
      <c r="C163" s="2" t="s">
        <v>36</v>
      </c>
      <c r="D163" s="2" t="s">
        <v>35</v>
      </c>
      <c r="E163" s="2" t="s">
        <v>31</v>
      </c>
      <c r="F163" s="2" t="s">
        <v>41</v>
      </c>
      <c r="G163" s="2" t="s">
        <v>40</v>
      </c>
      <c r="H163" s="2">
        <v>4.59</v>
      </c>
      <c r="I163" s="2">
        <v>5</v>
      </c>
      <c r="J163" s="2">
        <v>220.39</v>
      </c>
      <c r="K163" s="2" t="s">
        <v>54</v>
      </c>
    </row>
    <row r="164" spans="1:11" x14ac:dyDescent="0.25">
      <c r="A164" s="2">
        <v>161</v>
      </c>
      <c r="B164" s="4">
        <v>46115</v>
      </c>
      <c r="C164" s="2" t="s">
        <v>29</v>
      </c>
      <c r="D164" s="2" t="s">
        <v>35</v>
      </c>
      <c r="E164" s="2" t="s">
        <v>45</v>
      </c>
      <c r="F164" s="2" t="s">
        <v>38</v>
      </c>
      <c r="G164" s="2" t="s">
        <v>47</v>
      </c>
      <c r="H164" s="2">
        <v>0.52</v>
      </c>
      <c r="I164" s="2">
        <v>6</v>
      </c>
      <c r="J164" s="2">
        <v>401.14</v>
      </c>
      <c r="K164" s="2" t="s">
        <v>54</v>
      </c>
    </row>
    <row r="165" spans="1:11" x14ac:dyDescent="0.25">
      <c r="A165" s="2">
        <v>162</v>
      </c>
      <c r="B165" s="4">
        <v>46115</v>
      </c>
      <c r="C165" s="2" t="s">
        <v>34</v>
      </c>
      <c r="D165" s="2" t="s">
        <v>30</v>
      </c>
      <c r="E165" s="2" t="s">
        <v>31</v>
      </c>
      <c r="F165" s="2" t="s">
        <v>38</v>
      </c>
      <c r="G165" s="2" t="s">
        <v>48</v>
      </c>
      <c r="H165" s="2">
        <v>3.63</v>
      </c>
      <c r="I165" s="2">
        <v>5</v>
      </c>
      <c r="J165" s="2">
        <v>717.91</v>
      </c>
      <c r="K165" s="2" t="s">
        <v>54</v>
      </c>
    </row>
    <row r="166" spans="1:11" x14ac:dyDescent="0.25">
      <c r="A166" s="2">
        <v>163</v>
      </c>
      <c r="B166" s="4">
        <v>46116</v>
      </c>
      <c r="C166" s="2" t="s">
        <v>29</v>
      </c>
      <c r="D166" s="2" t="s">
        <v>30</v>
      </c>
      <c r="E166" s="2" t="s">
        <v>31</v>
      </c>
      <c r="F166" s="2" t="s">
        <v>38</v>
      </c>
      <c r="G166" s="2" t="s">
        <v>47</v>
      </c>
      <c r="H166" s="2">
        <v>1.17</v>
      </c>
      <c r="I166" s="2">
        <v>10</v>
      </c>
      <c r="J166" s="2">
        <v>755.89</v>
      </c>
      <c r="K166" s="2" t="s">
        <v>54</v>
      </c>
    </row>
    <row r="167" spans="1:11" x14ac:dyDescent="0.25">
      <c r="A167" s="2">
        <v>164</v>
      </c>
      <c r="B167" s="4">
        <v>46116</v>
      </c>
      <c r="C167" s="2" t="s">
        <v>34</v>
      </c>
      <c r="D167" s="2" t="s">
        <v>30</v>
      </c>
      <c r="E167" s="2" t="s">
        <v>39</v>
      </c>
      <c r="F167" s="2" t="s">
        <v>41</v>
      </c>
      <c r="G167" s="2" t="s">
        <v>40</v>
      </c>
      <c r="H167" s="2">
        <v>2.99</v>
      </c>
      <c r="I167" s="2">
        <v>6</v>
      </c>
      <c r="J167" s="2">
        <v>210.2</v>
      </c>
      <c r="K167" s="2" t="s">
        <v>54</v>
      </c>
    </row>
    <row r="168" spans="1:11" x14ac:dyDescent="0.25">
      <c r="A168" s="2">
        <v>165</v>
      </c>
      <c r="B168" s="4">
        <v>46116</v>
      </c>
      <c r="C168" s="2" t="s">
        <v>36</v>
      </c>
      <c r="D168" s="2" t="s">
        <v>35</v>
      </c>
      <c r="E168" s="2" t="s">
        <v>31</v>
      </c>
      <c r="F168" s="2" t="s">
        <v>38</v>
      </c>
      <c r="G168" s="2" t="s">
        <v>42</v>
      </c>
      <c r="H168" s="2">
        <v>1.6</v>
      </c>
      <c r="I168" s="2">
        <v>13</v>
      </c>
      <c r="J168" s="2">
        <v>327.14</v>
      </c>
      <c r="K168" s="2" t="s">
        <v>54</v>
      </c>
    </row>
    <row r="169" spans="1:11" x14ac:dyDescent="0.25">
      <c r="A169" s="2">
        <v>166</v>
      </c>
      <c r="B169" s="4">
        <v>46117</v>
      </c>
      <c r="C169" s="2" t="s">
        <v>29</v>
      </c>
      <c r="D169" s="2" t="s">
        <v>30</v>
      </c>
      <c r="E169" s="2" t="s">
        <v>39</v>
      </c>
      <c r="F169" s="2" t="s">
        <v>38</v>
      </c>
      <c r="G169" s="2" t="s">
        <v>37</v>
      </c>
      <c r="H169" s="2">
        <v>1.63</v>
      </c>
      <c r="I169" s="2">
        <v>14</v>
      </c>
      <c r="J169" s="2">
        <v>510.75</v>
      </c>
      <c r="K169" s="2" t="s">
        <v>54</v>
      </c>
    </row>
    <row r="170" spans="1:11" x14ac:dyDescent="0.25">
      <c r="A170" s="2">
        <v>167</v>
      </c>
      <c r="B170" s="4">
        <v>46117</v>
      </c>
      <c r="C170" s="2" t="s">
        <v>34</v>
      </c>
      <c r="D170" s="2" t="s">
        <v>35</v>
      </c>
      <c r="E170" s="2" t="s">
        <v>45</v>
      </c>
      <c r="F170" s="2" t="s">
        <v>43</v>
      </c>
      <c r="G170" s="2" t="s">
        <v>47</v>
      </c>
      <c r="H170" s="2">
        <v>1.95</v>
      </c>
      <c r="I170" s="2">
        <v>7</v>
      </c>
      <c r="J170" s="2">
        <v>956.6</v>
      </c>
      <c r="K170" s="2" t="s">
        <v>54</v>
      </c>
    </row>
    <row r="171" spans="1:11" x14ac:dyDescent="0.25">
      <c r="A171" s="2">
        <v>168</v>
      </c>
      <c r="B171" s="4">
        <v>46118</v>
      </c>
      <c r="C171" s="2" t="s">
        <v>29</v>
      </c>
      <c r="D171" s="2" t="s">
        <v>30</v>
      </c>
      <c r="E171" s="2" t="s">
        <v>31</v>
      </c>
      <c r="F171" s="2" t="s">
        <v>38</v>
      </c>
      <c r="G171" s="2" t="s">
        <v>48</v>
      </c>
      <c r="H171" s="2">
        <v>0.66</v>
      </c>
      <c r="I171" s="2">
        <v>12</v>
      </c>
      <c r="J171" s="2">
        <v>797.3</v>
      </c>
      <c r="K171" s="2" t="s">
        <v>54</v>
      </c>
    </row>
    <row r="172" spans="1:11" x14ac:dyDescent="0.25">
      <c r="A172" s="2">
        <v>169</v>
      </c>
      <c r="B172" s="4">
        <v>46118</v>
      </c>
      <c r="C172" s="2" t="s">
        <v>34</v>
      </c>
      <c r="D172" s="2" t="s">
        <v>35</v>
      </c>
      <c r="E172" s="2" t="s">
        <v>31</v>
      </c>
      <c r="F172" s="2" t="s">
        <v>38</v>
      </c>
      <c r="G172" s="2" t="s">
        <v>37</v>
      </c>
      <c r="H172" s="2">
        <v>2.09</v>
      </c>
      <c r="I172" s="2">
        <v>16</v>
      </c>
      <c r="J172" s="2">
        <v>560.5</v>
      </c>
      <c r="K172" s="2" t="s">
        <v>54</v>
      </c>
    </row>
    <row r="173" spans="1:11" x14ac:dyDescent="0.25">
      <c r="A173" s="2">
        <v>170</v>
      </c>
      <c r="B173" s="4">
        <v>46118</v>
      </c>
      <c r="C173" s="2" t="s">
        <v>36</v>
      </c>
      <c r="D173" s="2" t="s">
        <v>35</v>
      </c>
      <c r="E173" s="2" t="s">
        <v>45</v>
      </c>
      <c r="F173" s="2" t="s">
        <v>38</v>
      </c>
      <c r="G173" s="2" t="s">
        <v>46</v>
      </c>
      <c r="H173" s="2">
        <v>1.01</v>
      </c>
      <c r="I173" s="2">
        <v>11</v>
      </c>
      <c r="J173" s="2">
        <v>892.78</v>
      </c>
      <c r="K173" s="2" t="s">
        <v>54</v>
      </c>
    </row>
    <row r="174" spans="1:11" x14ac:dyDescent="0.25">
      <c r="A174" s="2">
        <v>171</v>
      </c>
      <c r="B174" s="4">
        <v>46119</v>
      </c>
      <c r="C174" s="2" t="s">
        <v>36</v>
      </c>
      <c r="D174" s="2" t="s">
        <v>30</v>
      </c>
      <c r="E174" s="2" t="s">
        <v>39</v>
      </c>
      <c r="F174" s="2" t="s">
        <v>43</v>
      </c>
      <c r="G174" s="2" t="s">
        <v>44</v>
      </c>
      <c r="H174" s="2">
        <v>2.4900000000000002</v>
      </c>
      <c r="I174" s="2">
        <v>9</v>
      </c>
      <c r="J174" s="2">
        <v>1318.93</v>
      </c>
      <c r="K174" s="2" t="s">
        <v>54</v>
      </c>
    </row>
    <row r="175" spans="1:11" x14ac:dyDescent="0.25">
      <c r="A175" s="2">
        <v>172</v>
      </c>
      <c r="B175" s="4">
        <v>46120</v>
      </c>
      <c r="C175" s="2" t="s">
        <v>36</v>
      </c>
      <c r="D175" s="2" t="s">
        <v>35</v>
      </c>
      <c r="E175" s="2" t="s">
        <v>39</v>
      </c>
      <c r="F175" s="2" t="s">
        <v>41</v>
      </c>
      <c r="G175" s="2" t="s">
        <v>40</v>
      </c>
      <c r="H175" s="2">
        <v>4.71</v>
      </c>
      <c r="I175" s="2">
        <v>7</v>
      </c>
      <c r="J175" s="2">
        <v>158.43</v>
      </c>
      <c r="K175" s="2" t="s">
        <v>55</v>
      </c>
    </row>
    <row r="176" spans="1:11" x14ac:dyDescent="0.25">
      <c r="A176" s="2">
        <v>173</v>
      </c>
      <c r="B176" s="4">
        <v>46121</v>
      </c>
      <c r="C176" s="2" t="s">
        <v>29</v>
      </c>
      <c r="D176" s="2" t="s">
        <v>30</v>
      </c>
      <c r="E176" s="2" t="s">
        <v>31</v>
      </c>
      <c r="F176" s="2" t="s">
        <v>38</v>
      </c>
      <c r="G176" s="2" t="s">
        <v>47</v>
      </c>
      <c r="H176" s="2">
        <v>2.85</v>
      </c>
      <c r="I176" s="2">
        <v>13</v>
      </c>
      <c r="J176" s="2">
        <v>796.61</v>
      </c>
      <c r="K176" s="2" t="s">
        <v>54</v>
      </c>
    </row>
    <row r="177" spans="1:11" x14ac:dyDescent="0.25">
      <c r="A177" s="2">
        <v>174</v>
      </c>
      <c r="B177" s="4">
        <v>46121</v>
      </c>
      <c r="C177" s="2" t="s">
        <v>34</v>
      </c>
      <c r="D177" s="2" t="s">
        <v>30</v>
      </c>
      <c r="E177" s="2" t="s">
        <v>31</v>
      </c>
      <c r="F177" s="2" t="s">
        <v>38</v>
      </c>
      <c r="G177" s="2" t="s">
        <v>48</v>
      </c>
      <c r="H177" s="2">
        <v>3.73</v>
      </c>
      <c r="I177" s="2">
        <v>3</v>
      </c>
      <c r="J177" s="2">
        <v>595</v>
      </c>
      <c r="K177" s="2" t="s">
        <v>55</v>
      </c>
    </row>
    <row r="178" spans="1:11" x14ac:dyDescent="0.25">
      <c r="A178" s="2">
        <v>175</v>
      </c>
      <c r="B178" s="4">
        <v>46121</v>
      </c>
      <c r="C178" s="2" t="s">
        <v>36</v>
      </c>
      <c r="D178" s="2" t="s">
        <v>35</v>
      </c>
      <c r="E178" s="2" t="s">
        <v>39</v>
      </c>
      <c r="F178" s="2" t="s">
        <v>38</v>
      </c>
      <c r="G178" s="2" t="s">
        <v>46</v>
      </c>
      <c r="H178" s="2">
        <v>1.7</v>
      </c>
      <c r="I178" s="2">
        <v>14</v>
      </c>
      <c r="J178" s="2">
        <v>899.97</v>
      </c>
      <c r="K178" s="2" t="s">
        <v>54</v>
      </c>
    </row>
    <row r="179" spans="1:11" x14ac:dyDescent="0.25">
      <c r="A179" s="2">
        <v>176</v>
      </c>
      <c r="B179" s="4">
        <v>46122</v>
      </c>
      <c r="C179" s="2" t="s">
        <v>29</v>
      </c>
      <c r="D179" s="2" t="s">
        <v>30</v>
      </c>
      <c r="E179" s="2" t="s">
        <v>45</v>
      </c>
      <c r="F179" s="2" t="s">
        <v>38</v>
      </c>
      <c r="G179" s="2" t="s">
        <v>47</v>
      </c>
      <c r="H179" s="2">
        <v>1.99</v>
      </c>
      <c r="I179" s="2">
        <v>11</v>
      </c>
      <c r="J179" s="2">
        <v>339.02</v>
      </c>
      <c r="K179" s="2" t="s">
        <v>54</v>
      </c>
    </row>
    <row r="180" spans="1:11" x14ac:dyDescent="0.25">
      <c r="A180" s="2">
        <v>177</v>
      </c>
      <c r="B180" s="4">
        <v>46122</v>
      </c>
      <c r="C180" s="2" t="s">
        <v>34</v>
      </c>
      <c r="D180" s="2" t="s">
        <v>35</v>
      </c>
      <c r="E180" s="2" t="s">
        <v>39</v>
      </c>
      <c r="F180" s="2" t="s">
        <v>38</v>
      </c>
      <c r="G180" s="2" t="s">
        <v>42</v>
      </c>
      <c r="H180" s="2">
        <v>2.89</v>
      </c>
      <c r="I180" s="2">
        <v>10</v>
      </c>
      <c r="J180" s="2">
        <v>718.61</v>
      </c>
      <c r="K180" s="2" t="s">
        <v>55</v>
      </c>
    </row>
    <row r="181" spans="1:11" x14ac:dyDescent="0.25">
      <c r="A181" s="2">
        <v>178</v>
      </c>
      <c r="B181" s="4">
        <v>46122</v>
      </c>
      <c r="C181" s="2" t="s">
        <v>36</v>
      </c>
      <c r="D181" s="2" t="s">
        <v>35</v>
      </c>
      <c r="E181" s="2" t="s">
        <v>39</v>
      </c>
      <c r="F181" s="2" t="s">
        <v>38</v>
      </c>
      <c r="G181" s="2" t="s">
        <v>37</v>
      </c>
      <c r="H181" s="2">
        <v>0.9</v>
      </c>
      <c r="I181" s="2">
        <v>5</v>
      </c>
      <c r="J181" s="2">
        <v>863.31</v>
      </c>
      <c r="K181" s="2" t="s">
        <v>54</v>
      </c>
    </row>
    <row r="182" spans="1:11" x14ac:dyDescent="0.25">
      <c r="A182" s="2">
        <v>179</v>
      </c>
      <c r="B182" s="4">
        <v>46123</v>
      </c>
      <c r="C182" s="2" t="s">
        <v>29</v>
      </c>
      <c r="D182" s="2" t="s">
        <v>30</v>
      </c>
      <c r="E182" s="2" t="s">
        <v>39</v>
      </c>
      <c r="F182" s="2" t="s">
        <v>38</v>
      </c>
      <c r="G182" s="2" t="s">
        <v>46</v>
      </c>
      <c r="H182" s="2">
        <v>3.59</v>
      </c>
      <c r="I182" s="2">
        <v>17</v>
      </c>
      <c r="J182" s="2">
        <v>501.2</v>
      </c>
      <c r="K182" s="2" t="s">
        <v>54</v>
      </c>
    </row>
    <row r="183" spans="1:11" x14ac:dyDescent="0.25">
      <c r="A183" s="2">
        <v>180</v>
      </c>
      <c r="B183" s="4">
        <v>46123</v>
      </c>
      <c r="C183" s="2" t="s">
        <v>36</v>
      </c>
      <c r="D183" s="2" t="s">
        <v>30</v>
      </c>
      <c r="E183" s="2" t="s">
        <v>39</v>
      </c>
      <c r="F183" s="2" t="s">
        <v>41</v>
      </c>
      <c r="G183" s="2" t="s">
        <v>40</v>
      </c>
      <c r="H183" s="2">
        <v>3.33</v>
      </c>
      <c r="I183" s="2">
        <v>6</v>
      </c>
      <c r="J183" s="2">
        <v>126.49</v>
      </c>
      <c r="K183" s="2" t="s">
        <v>54</v>
      </c>
    </row>
    <row r="184" spans="1:11" x14ac:dyDescent="0.25">
      <c r="A184" s="2">
        <v>181</v>
      </c>
      <c r="B184" s="4">
        <v>46124</v>
      </c>
      <c r="C184" s="2" t="s">
        <v>29</v>
      </c>
      <c r="D184" s="2" t="s">
        <v>30</v>
      </c>
      <c r="E184" s="2" t="s">
        <v>45</v>
      </c>
      <c r="F184" s="2" t="s">
        <v>38</v>
      </c>
      <c r="G184" s="2" t="s">
        <v>37</v>
      </c>
      <c r="H184" s="2">
        <v>2.4</v>
      </c>
      <c r="I184" s="2">
        <v>18</v>
      </c>
      <c r="J184" s="2">
        <v>583.01</v>
      </c>
      <c r="K184" s="2" t="s">
        <v>54</v>
      </c>
    </row>
    <row r="185" spans="1:11" x14ac:dyDescent="0.25">
      <c r="A185" s="2">
        <v>182</v>
      </c>
      <c r="B185" s="4">
        <v>46124</v>
      </c>
      <c r="C185" s="2" t="s">
        <v>36</v>
      </c>
      <c r="D185" s="2" t="s">
        <v>30</v>
      </c>
      <c r="E185" s="2" t="s">
        <v>39</v>
      </c>
      <c r="F185" s="2" t="s">
        <v>38</v>
      </c>
      <c r="G185" s="2" t="s">
        <v>48</v>
      </c>
      <c r="H185" s="2">
        <v>0.56000000000000005</v>
      </c>
      <c r="I185" s="2">
        <v>5</v>
      </c>
      <c r="J185" s="2">
        <v>450.2</v>
      </c>
      <c r="K185" s="2" t="s">
        <v>54</v>
      </c>
    </row>
    <row r="186" spans="1:11" x14ac:dyDescent="0.25">
      <c r="A186" s="2">
        <v>183</v>
      </c>
      <c r="B186" s="4">
        <v>46125</v>
      </c>
      <c r="C186" s="2" t="s">
        <v>29</v>
      </c>
      <c r="D186" s="2" t="s">
        <v>35</v>
      </c>
      <c r="E186" s="2" t="s">
        <v>31</v>
      </c>
      <c r="F186" s="2" t="s">
        <v>38</v>
      </c>
      <c r="G186" s="2" t="s">
        <v>48</v>
      </c>
      <c r="H186" s="2">
        <v>1.38</v>
      </c>
      <c r="I186" s="2">
        <v>16</v>
      </c>
      <c r="J186" s="2">
        <v>675.66</v>
      </c>
      <c r="K186" s="2" t="s">
        <v>54</v>
      </c>
    </row>
    <row r="187" spans="1:11" x14ac:dyDescent="0.25">
      <c r="A187" s="2">
        <v>184</v>
      </c>
      <c r="B187" s="4">
        <v>46125</v>
      </c>
      <c r="C187" s="2" t="s">
        <v>34</v>
      </c>
      <c r="D187" s="2" t="s">
        <v>35</v>
      </c>
      <c r="E187" s="2" t="s">
        <v>31</v>
      </c>
      <c r="F187" s="2" t="s">
        <v>41</v>
      </c>
      <c r="G187" s="2" t="s">
        <v>40</v>
      </c>
      <c r="H187" s="2">
        <v>3.15</v>
      </c>
      <c r="I187" s="2">
        <v>7</v>
      </c>
      <c r="J187" s="2">
        <v>177.66</v>
      </c>
      <c r="K187" s="2" t="s">
        <v>54</v>
      </c>
    </row>
    <row r="188" spans="1:11" x14ac:dyDescent="0.25">
      <c r="A188" s="2">
        <v>185</v>
      </c>
      <c r="B188" s="4">
        <v>46126</v>
      </c>
      <c r="C188" s="2" t="s">
        <v>29</v>
      </c>
      <c r="D188" s="2" t="s">
        <v>30</v>
      </c>
      <c r="E188" s="2" t="s">
        <v>39</v>
      </c>
      <c r="F188" s="2" t="s">
        <v>41</v>
      </c>
      <c r="G188" s="2" t="s">
        <v>40</v>
      </c>
      <c r="H188" s="2">
        <v>3.8</v>
      </c>
      <c r="I188" s="2">
        <v>12</v>
      </c>
      <c r="J188" s="2">
        <v>167.52</v>
      </c>
      <c r="K188" s="2" t="s">
        <v>54</v>
      </c>
    </row>
    <row r="189" spans="1:11" x14ac:dyDescent="0.25">
      <c r="A189" s="2">
        <v>186</v>
      </c>
      <c r="B189" s="4">
        <v>46126</v>
      </c>
      <c r="C189" s="2" t="s">
        <v>36</v>
      </c>
      <c r="D189" s="2" t="s">
        <v>35</v>
      </c>
      <c r="E189" s="2" t="s">
        <v>39</v>
      </c>
      <c r="F189" s="2" t="s">
        <v>38</v>
      </c>
      <c r="G189" s="2" t="s">
        <v>47</v>
      </c>
      <c r="H189" s="2">
        <v>2.96</v>
      </c>
      <c r="I189" s="2">
        <v>18</v>
      </c>
      <c r="J189" s="2">
        <v>486.15</v>
      </c>
      <c r="K189" s="2" t="s">
        <v>55</v>
      </c>
    </row>
    <row r="190" spans="1:11" x14ac:dyDescent="0.25">
      <c r="A190" s="2">
        <v>187</v>
      </c>
      <c r="B190" s="4">
        <v>46127</v>
      </c>
      <c r="C190" s="2" t="s">
        <v>34</v>
      </c>
      <c r="D190" s="2" t="s">
        <v>30</v>
      </c>
      <c r="E190" s="2" t="s">
        <v>31</v>
      </c>
      <c r="F190" s="2" t="s">
        <v>38</v>
      </c>
      <c r="G190" s="2" t="s">
        <v>44</v>
      </c>
      <c r="H190" s="2">
        <v>3.31</v>
      </c>
      <c r="I190" s="2">
        <v>7</v>
      </c>
      <c r="J190" s="2">
        <v>533.54</v>
      </c>
      <c r="K190" s="2" t="s">
        <v>55</v>
      </c>
    </row>
    <row r="191" spans="1:11" x14ac:dyDescent="0.25">
      <c r="A191" s="2">
        <v>188</v>
      </c>
      <c r="B191" s="4">
        <v>46127</v>
      </c>
      <c r="C191" s="2" t="s">
        <v>36</v>
      </c>
      <c r="D191" s="2" t="s">
        <v>30</v>
      </c>
      <c r="E191" s="2" t="s">
        <v>45</v>
      </c>
      <c r="F191" s="2" t="s">
        <v>38</v>
      </c>
      <c r="G191" s="2" t="s">
        <v>42</v>
      </c>
      <c r="H191" s="2">
        <v>0.57999999999999996</v>
      </c>
      <c r="I191" s="2">
        <v>19</v>
      </c>
      <c r="J191" s="2">
        <v>739</v>
      </c>
      <c r="K191" s="2" t="s">
        <v>54</v>
      </c>
    </row>
    <row r="192" spans="1:11" x14ac:dyDescent="0.25">
      <c r="A192" s="2">
        <v>189</v>
      </c>
      <c r="B192" s="4">
        <v>46128</v>
      </c>
      <c r="C192" s="2" t="s">
        <v>36</v>
      </c>
      <c r="D192" s="2" t="s">
        <v>35</v>
      </c>
      <c r="E192" s="2" t="s">
        <v>45</v>
      </c>
      <c r="F192" s="2" t="s">
        <v>38</v>
      </c>
      <c r="G192" s="2" t="s">
        <v>47</v>
      </c>
      <c r="H192" s="2">
        <v>0.95</v>
      </c>
      <c r="I192" s="2">
        <v>21</v>
      </c>
      <c r="J192" s="2">
        <v>412.01</v>
      </c>
      <c r="K192" s="2" t="s">
        <v>54</v>
      </c>
    </row>
    <row r="193" spans="1:11" x14ac:dyDescent="0.25">
      <c r="A193" s="2">
        <v>190</v>
      </c>
      <c r="B193" s="4">
        <v>46129</v>
      </c>
      <c r="C193" s="2" t="s">
        <v>29</v>
      </c>
      <c r="D193" s="2" t="s">
        <v>30</v>
      </c>
      <c r="E193" s="2" t="s">
        <v>45</v>
      </c>
      <c r="F193" s="2" t="s">
        <v>38</v>
      </c>
      <c r="G193" s="2" t="s">
        <v>44</v>
      </c>
      <c r="H193" s="2">
        <v>1.48</v>
      </c>
      <c r="I193" s="2">
        <v>17</v>
      </c>
      <c r="J193" s="2">
        <v>773.08</v>
      </c>
      <c r="K193" s="2" t="s">
        <v>54</v>
      </c>
    </row>
    <row r="194" spans="1:11" x14ac:dyDescent="0.25">
      <c r="A194" s="2">
        <v>191</v>
      </c>
      <c r="B194" s="4">
        <v>46129</v>
      </c>
      <c r="C194" s="2" t="s">
        <v>34</v>
      </c>
      <c r="D194" s="2" t="s">
        <v>35</v>
      </c>
      <c r="E194" s="2" t="s">
        <v>31</v>
      </c>
      <c r="F194" s="2" t="s">
        <v>38</v>
      </c>
      <c r="G194" s="2" t="s">
        <v>42</v>
      </c>
      <c r="H194" s="2">
        <v>2.86</v>
      </c>
      <c r="I194" s="2">
        <v>3</v>
      </c>
      <c r="J194" s="2">
        <v>884.58</v>
      </c>
      <c r="K194" s="2" t="s">
        <v>54</v>
      </c>
    </row>
    <row r="195" spans="1:11" x14ac:dyDescent="0.25">
      <c r="A195" s="2">
        <v>192</v>
      </c>
      <c r="B195" s="4">
        <v>46129</v>
      </c>
      <c r="C195" s="2" t="s">
        <v>36</v>
      </c>
      <c r="D195" s="2" t="s">
        <v>35</v>
      </c>
      <c r="E195" s="2" t="s">
        <v>39</v>
      </c>
      <c r="F195" s="2" t="s">
        <v>38</v>
      </c>
      <c r="G195" s="2" t="s">
        <v>37</v>
      </c>
      <c r="H195" s="2">
        <v>2.81</v>
      </c>
      <c r="I195" s="2">
        <v>6</v>
      </c>
      <c r="J195" s="2">
        <v>437.85</v>
      </c>
      <c r="K195" s="2" t="s">
        <v>55</v>
      </c>
    </row>
    <row r="196" spans="1:11" x14ac:dyDescent="0.25">
      <c r="A196" s="2">
        <v>193</v>
      </c>
      <c r="B196" s="4">
        <v>46130</v>
      </c>
      <c r="C196" s="2" t="s">
        <v>29</v>
      </c>
      <c r="D196" s="2" t="s">
        <v>30</v>
      </c>
      <c r="E196" s="2" t="s">
        <v>31</v>
      </c>
      <c r="F196" s="2" t="s">
        <v>38</v>
      </c>
      <c r="G196" s="2" t="s">
        <v>46</v>
      </c>
      <c r="H196" s="2">
        <v>3.09</v>
      </c>
      <c r="I196" s="2">
        <v>19</v>
      </c>
      <c r="J196" s="2">
        <v>899.65</v>
      </c>
      <c r="K196" s="2" t="s">
        <v>54</v>
      </c>
    </row>
    <row r="197" spans="1:11" x14ac:dyDescent="0.25">
      <c r="A197" s="2">
        <v>194</v>
      </c>
      <c r="B197" s="4">
        <v>46131</v>
      </c>
      <c r="C197" s="2" t="s">
        <v>34</v>
      </c>
      <c r="D197" s="2" t="s">
        <v>35</v>
      </c>
      <c r="E197" s="2" t="s">
        <v>45</v>
      </c>
      <c r="F197" s="2" t="s">
        <v>38</v>
      </c>
      <c r="G197" s="2" t="s">
        <v>47</v>
      </c>
      <c r="H197" s="2">
        <v>1.66</v>
      </c>
      <c r="I197" s="2">
        <v>16</v>
      </c>
      <c r="J197" s="2">
        <v>501.58</v>
      </c>
      <c r="K197" s="2" t="s">
        <v>55</v>
      </c>
    </row>
    <row r="198" spans="1:11" x14ac:dyDescent="0.25">
      <c r="A198" s="2">
        <v>195</v>
      </c>
      <c r="B198" s="4">
        <v>46131</v>
      </c>
      <c r="C198" s="2" t="s">
        <v>36</v>
      </c>
      <c r="D198" s="2" t="s">
        <v>30</v>
      </c>
      <c r="E198" s="2" t="s">
        <v>39</v>
      </c>
      <c r="F198" s="2" t="s">
        <v>38</v>
      </c>
      <c r="G198" s="2" t="s">
        <v>46</v>
      </c>
      <c r="H198" s="2">
        <v>3.15</v>
      </c>
      <c r="I198" s="2">
        <v>15</v>
      </c>
      <c r="J198" s="2">
        <v>762.53</v>
      </c>
      <c r="K198" s="2" t="s">
        <v>54</v>
      </c>
    </row>
    <row r="199" spans="1:11" x14ac:dyDescent="0.25">
      <c r="A199" s="2">
        <v>196</v>
      </c>
      <c r="B199" s="4">
        <v>46132</v>
      </c>
      <c r="C199" s="2" t="s">
        <v>29</v>
      </c>
      <c r="D199" s="2" t="s">
        <v>30</v>
      </c>
      <c r="E199" s="2" t="s">
        <v>31</v>
      </c>
      <c r="F199" s="2" t="s">
        <v>38</v>
      </c>
      <c r="G199" s="2" t="s">
        <v>48</v>
      </c>
      <c r="H199" s="2">
        <v>0.51</v>
      </c>
      <c r="I199" s="2">
        <v>6</v>
      </c>
      <c r="J199" s="2">
        <v>733.83</v>
      </c>
      <c r="K199" s="2" t="s">
        <v>54</v>
      </c>
    </row>
    <row r="200" spans="1:11" x14ac:dyDescent="0.25">
      <c r="A200" s="2">
        <v>197</v>
      </c>
      <c r="B200" s="4">
        <v>46132</v>
      </c>
      <c r="C200" s="2" t="s">
        <v>34</v>
      </c>
      <c r="D200" s="2" t="s">
        <v>35</v>
      </c>
      <c r="E200" s="2" t="s">
        <v>31</v>
      </c>
      <c r="F200" s="2" t="s">
        <v>38</v>
      </c>
      <c r="G200" s="2" t="s">
        <v>46</v>
      </c>
      <c r="H200" s="2">
        <v>2.85</v>
      </c>
      <c r="I200" s="2">
        <v>15</v>
      </c>
      <c r="J200" s="2">
        <v>367.78</v>
      </c>
      <c r="K200" s="2" t="s">
        <v>54</v>
      </c>
    </row>
    <row r="201" spans="1:11" x14ac:dyDescent="0.25">
      <c r="A201" s="2">
        <v>198</v>
      </c>
      <c r="B201" s="4">
        <v>46133</v>
      </c>
      <c r="C201" s="2" t="s">
        <v>29</v>
      </c>
      <c r="D201" s="2" t="s">
        <v>30</v>
      </c>
      <c r="E201" s="2" t="s">
        <v>45</v>
      </c>
      <c r="F201" s="2" t="s">
        <v>43</v>
      </c>
      <c r="G201" s="2" t="s">
        <v>44</v>
      </c>
      <c r="H201" s="2">
        <v>2.7</v>
      </c>
      <c r="I201" s="2">
        <v>5</v>
      </c>
      <c r="J201" s="2">
        <v>1488.2</v>
      </c>
      <c r="K201" s="2" t="s">
        <v>54</v>
      </c>
    </row>
    <row r="202" spans="1:11" x14ac:dyDescent="0.25">
      <c r="A202" s="2">
        <v>199</v>
      </c>
      <c r="B202" s="4">
        <v>46133</v>
      </c>
      <c r="C202" s="2" t="s">
        <v>34</v>
      </c>
      <c r="D202" s="2" t="s">
        <v>35</v>
      </c>
      <c r="E202" s="2" t="s">
        <v>39</v>
      </c>
      <c r="F202" s="2" t="s">
        <v>41</v>
      </c>
      <c r="G202" s="2" t="s">
        <v>40</v>
      </c>
      <c r="H202" s="2">
        <v>3.05</v>
      </c>
      <c r="I202" s="2">
        <v>19</v>
      </c>
      <c r="J202" s="2">
        <v>150.94</v>
      </c>
      <c r="K202" s="2" t="s">
        <v>54</v>
      </c>
    </row>
    <row r="203" spans="1:11" x14ac:dyDescent="0.25">
      <c r="A203" s="2">
        <v>200</v>
      </c>
      <c r="B203" s="4">
        <v>46134</v>
      </c>
      <c r="C203" s="2" t="s">
        <v>36</v>
      </c>
      <c r="D203" s="2" t="s">
        <v>30</v>
      </c>
      <c r="E203" s="2" t="s">
        <v>39</v>
      </c>
      <c r="F203" s="2" t="s">
        <v>41</v>
      </c>
      <c r="G203" s="2" t="s">
        <v>40</v>
      </c>
      <c r="H203" s="2">
        <v>4.49</v>
      </c>
      <c r="I203" s="2">
        <v>12</v>
      </c>
      <c r="J203" s="2">
        <v>209.98</v>
      </c>
      <c r="K203" s="2" t="s">
        <v>55</v>
      </c>
    </row>
    <row r="204" spans="1:11" x14ac:dyDescent="0.25">
      <c r="A204" s="2">
        <v>201</v>
      </c>
      <c r="B204" s="4">
        <v>46135</v>
      </c>
      <c r="C204" s="2" t="s">
        <v>29</v>
      </c>
      <c r="D204" s="2" t="s">
        <v>30</v>
      </c>
      <c r="E204" s="2" t="s">
        <v>39</v>
      </c>
      <c r="F204" s="2" t="s">
        <v>41</v>
      </c>
      <c r="G204" s="2" t="s">
        <v>40</v>
      </c>
      <c r="H204" s="2">
        <v>4.97</v>
      </c>
      <c r="I204" s="2">
        <v>11</v>
      </c>
      <c r="J204" s="2">
        <v>208.46</v>
      </c>
      <c r="K204" s="2" t="s">
        <v>54</v>
      </c>
    </row>
    <row r="205" spans="1:11" x14ac:dyDescent="0.25">
      <c r="A205" s="2">
        <v>202</v>
      </c>
      <c r="B205" s="4">
        <v>46135</v>
      </c>
      <c r="C205" s="2" t="s">
        <v>36</v>
      </c>
      <c r="D205" s="2" t="s">
        <v>35</v>
      </c>
      <c r="E205" s="2" t="s">
        <v>45</v>
      </c>
      <c r="F205" s="2" t="s">
        <v>43</v>
      </c>
      <c r="G205" s="2" t="s">
        <v>42</v>
      </c>
      <c r="H205" s="2">
        <v>2.96</v>
      </c>
      <c r="I205" s="2">
        <v>4</v>
      </c>
      <c r="J205" s="2">
        <v>884.48</v>
      </c>
      <c r="K205" s="2" t="s">
        <v>54</v>
      </c>
    </row>
    <row r="206" spans="1:11" x14ac:dyDescent="0.25">
      <c r="A206" s="2">
        <v>203</v>
      </c>
      <c r="B206" s="4">
        <v>46136</v>
      </c>
      <c r="C206" s="2" t="s">
        <v>29</v>
      </c>
      <c r="D206" s="2" t="s">
        <v>30</v>
      </c>
      <c r="E206" s="2" t="s">
        <v>45</v>
      </c>
      <c r="F206" s="2" t="s">
        <v>38</v>
      </c>
      <c r="G206" s="2" t="s">
        <v>42</v>
      </c>
      <c r="H206" s="2">
        <v>2.58</v>
      </c>
      <c r="I206" s="2">
        <v>16</v>
      </c>
      <c r="J206" s="2">
        <v>600.51</v>
      </c>
      <c r="K206" s="2" t="s">
        <v>54</v>
      </c>
    </row>
    <row r="207" spans="1:11" x14ac:dyDescent="0.25">
      <c r="A207" s="2">
        <v>204</v>
      </c>
      <c r="B207" s="4">
        <v>46136</v>
      </c>
      <c r="C207" s="2" t="s">
        <v>36</v>
      </c>
      <c r="D207" s="2" t="s">
        <v>35</v>
      </c>
      <c r="E207" s="2" t="s">
        <v>39</v>
      </c>
      <c r="F207" s="2" t="s">
        <v>38</v>
      </c>
      <c r="G207" s="2" t="s">
        <v>42</v>
      </c>
      <c r="H207" s="2">
        <v>2.99</v>
      </c>
      <c r="I207" s="2">
        <v>7</v>
      </c>
      <c r="J207" s="2">
        <v>436.59</v>
      </c>
      <c r="K207" s="2" t="s">
        <v>54</v>
      </c>
    </row>
    <row r="208" spans="1:11" x14ac:dyDescent="0.25">
      <c r="A208" s="2">
        <v>205</v>
      </c>
      <c r="B208" s="4">
        <v>46137</v>
      </c>
      <c r="C208" s="2" t="s">
        <v>29</v>
      </c>
      <c r="D208" s="2" t="s">
        <v>35</v>
      </c>
      <c r="E208" s="2" t="s">
        <v>39</v>
      </c>
      <c r="F208" s="2" t="s">
        <v>38</v>
      </c>
      <c r="G208" s="2" t="s">
        <v>37</v>
      </c>
      <c r="H208" s="2">
        <v>2.95</v>
      </c>
      <c r="I208" s="2">
        <v>4</v>
      </c>
      <c r="J208" s="2">
        <v>724.55</v>
      </c>
      <c r="K208" s="2" t="s">
        <v>54</v>
      </c>
    </row>
    <row r="209" spans="1:11" x14ac:dyDescent="0.25">
      <c r="A209" s="2">
        <v>206</v>
      </c>
      <c r="B209" s="4">
        <v>46137</v>
      </c>
      <c r="C209" s="2" t="s">
        <v>34</v>
      </c>
      <c r="D209" s="2" t="s">
        <v>35</v>
      </c>
      <c r="E209" s="2" t="s">
        <v>39</v>
      </c>
      <c r="F209" s="2" t="s">
        <v>41</v>
      </c>
      <c r="G209" s="2" t="s">
        <v>40</v>
      </c>
      <c r="H209" s="2">
        <v>4.93</v>
      </c>
      <c r="I209" s="2">
        <v>9</v>
      </c>
      <c r="J209" s="2">
        <v>169.46</v>
      </c>
      <c r="K209" s="2" t="s">
        <v>54</v>
      </c>
    </row>
    <row r="210" spans="1:11" x14ac:dyDescent="0.25">
      <c r="A210" s="2">
        <v>207</v>
      </c>
      <c r="B210" s="4">
        <v>46137</v>
      </c>
      <c r="C210" s="2" t="s">
        <v>36</v>
      </c>
      <c r="D210" s="2" t="s">
        <v>30</v>
      </c>
      <c r="E210" s="2" t="s">
        <v>31</v>
      </c>
      <c r="F210" s="2" t="s">
        <v>38</v>
      </c>
      <c r="G210" s="2" t="s">
        <v>37</v>
      </c>
      <c r="H210" s="2">
        <v>2.66</v>
      </c>
      <c r="I210" s="2">
        <v>7</v>
      </c>
      <c r="J210" s="2">
        <v>594.73</v>
      </c>
      <c r="K210" s="2" t="s">
        <v>54</v>
      </c>
    </row>
    <row r="211" spans="1:11" x14ac:dyDescent="0.25">
      <c r="A211" s="2">
        <v>208</v>
      </c>
      <c r="B211" s="4">
        <v>46138</v>
      </c>
      <c r="C211" s="2" t="s">
        <v>36</v>
      </c>
      <c r="D211" s="2" t="s">
        <v>35</v>
      </c>
      <c r="E211" s="2" t="s">
        <v>39</v>
      </c>
      <c r="F211" s="2" t="s">
        <v>38</v>
      </c>
      <c r="G211" s="2" t="s">
        <v>47</v>
      </c>
      <c r="H211" s="2">
        <v>2.72</v>
      </c>
      <c r="I211" s="2">
        <v>8</v>
      </c>
      <c r="J211" s="2">
        <v>484.78</v>
      </c>
      <c r="K211" s="2" t="s">
        <v>55</v>
      </c>
    </row>
    <row r="212" spans="1:11" x14ac:dyDescent="0.25">
      <c r="A212" s="2">
        <v>209</v>
      </c>
      <c r="B212" s="4">
        <v>46139</v>
      </c>
      <c r="C212" s="2" t="s">
        <v>29</v>
      </c>
      <c r="D212" s="2" t="s">
        <v>35</v>
      </c>
      <c r="E212" s="2" t="s">
        <v>39</v>
      </c>
      <c r="F212" s="2" t="s">
        <v>38</v>
      </c>
      <c r="G212" s="2" t="s">
        <v>37</v>
      </c>
      <c r="H212" s="2">
        <v>0.6</v>
      </c>
      <c r="I212" s="2">
        <v>20</v>
      </c>
      <c r="J212" s="2">
        <v>691.48</v>
      </c>
      <c r="K212" s="2" t="s">
        <v>54</v>
      </c>
    </row>
    <row r="213" spans="1:11" x14ac:dyDescent="0.25">
      <c r="A213" s="2">
        <v>210</v>
      </c>
      <c r="B213" s="4">
        <v>46139</v>
      </c>
      <c r="C213" s="2" t="s">
        <v>34</v>
      </c>
      <c r="D213" s="2" t="s">
        <v>30</v>
      </c>
      <c r="E213" s="2" t="s">
        <v>45</v>
      </c>
      <c r="F213" s="2" t="s">
        <v>38</v>
      </c>
      <c r="G213" s="2" t="s">
        <v>37</v>
      </c>
      <c r="H213" s="2">
        <v>0.86</v>
      </c>
      <c r="I213" s="2">
        <v>13</v>
      </c>
      <c r="J213" s="2">
        <v>750.31</v>
      </c>
      <c r="K213" s="2" t="s">
        <v>54</v>
      </c>
    </row>
    <row r="214" spans="1:11" x14ac:dyDescent="0.25">
      <c r="A214" s="2">
        <v>211</v>
      </c>
      <c r="B214" s="4">
        <v>46139</v>
      </c>
      <c r="C214" s="2" t="s">
        <v>36</v>
      </c>
      <c r="D214" s="2" t="s">
        <v>35</v>
      </c>
      <c r="E214" s="2" t="s">
        <v>45</v>
      </c>
      <c r="F214" s="2" t="s">
        <v>41</v>
      </c>
      <c r="G214" s="2" t="s">
        <v>40</v>
      </c>
      <c r="H214" s="2">
        <v>3.25</v>
      </c>
      <c r="I214" s="2">
        <v>16</v>
      </c>
      <c r="J214" s="2">
        <v>206.34</v>
      </c>
      <c r="K214" s="2" t="s">
        <v>54</v>
      </c>
    </row>
    <row r="215" spans="1:11" x14ac:dyDescent="0.25">
      <c r="A215" s="2">
        <v>212</v>
      </c>
      <c r="B215" s="4">
        <v>46140</v>
      </c>
      <c r="C215" s="2" t="s">
        <v>29</v>
      </c>
      <c r="D215" s="2" t="s">
        <v>30</v>
      </c>
      <c r="E215" s="2" t="s">
        <v>31</v>
      </c>
      <c r="F215" s="2" t="s">
        <v>41</v>
      </c>
      <c r="G215" s="2" t="s">
        <v>40</v>
      </c>
      <c r="H215" s="2">
        <v>3.69</v>
      </c>
      <c r="I215" s="2">
        <v>7</v>
      </c>
      <c r="J215" s="2">
        <v>131.84</v>
      </c>
      <c r="K215" s="2" t="s">
        <v>54</v>
      </c>
    </row>
    <row r="216" spans="1:11" x14ac:dyDescent="0.25">
      <c r="A216" s="2">
        <v>213</v>
      </c>
      <c r="B216" s="4">
        <v>46141</v>
      </c>
      <c r="C216" s="2" t="s">
        <v>34</v>
      </c>
      <c r="D216" s="2" t="s">
        <v>35</v>
      </c>
      <c r="E216" s="2" t="s">
        <v>31</v>
      </c>
      <c r="F216" s="2" t="s">
        <v>41</v>
      </c>
      <c r="G216" s="2" t="s">
        <v>40</v>
      </c>
      <c r="H216" s="2">
        <v>3.4</v>
      </c>
      <c r="I216" s="2">
        <v>9</v>
      </c>
      <c r="J216" s="2">
        <v>169.94</v>
      </c>
      <c r="K216" s="2" t="s">
        <v>54</v>
      </c>
    </row>
    <row r="217" spans="1:11" x14ac:dyDescent="0.25">
      <c r="A217" s="2">
        <v>214</v>
      </c>
      <c r="B217" s="4">
        <v>46141</v>
      </c>
      <c r="C217" s="2" t="s">
        <v>36</v>
      </c>
      <c r="D217" s="2" t="s">
        <v>30</v>
      </c>
      <c r="E217" s="2" t="s">
        <v>39</v>
      </c>
      <c r="F217" s="2" t="s">
        <v>38</v>
      </c>
      <c r="G217" s="2" t="s">
        <v>47</v>
      </c>
      <c r="H217" s="2">
        <v>0.96</v>
      </c>
      <c r="I217" s="2">
        <v>14</v>
      </c>
      <c r="J217" s="2">
        <v>357.52</v>
      </c>
      <c r="K217" s="2" t="s">
        <v>54</v>
      </c>
    </row>
    <row r="218" spans="1:11" x14ac:dyDescent="0.25">
      <c r="A218" s="2">
        <v>215</v>
      </c>
      <c r="B218" s="4">
        <v>46142</v>
      </c>
      <c r="C218" s="2" t="s">
        <v>29</v>
      </c>
      <c r="D218" s="2" t="s">
        <v>35</v>
      </c>
      <c r="E218" s="2" t="s">
        <v>31</v>
      </c>
      <c r="F218" s="2" t="s">
        <v>38</v>
      </c>
      <c r="G218" s="2" t="s">
        <v>42</v>
      </c>
      <c r="H218" s="2">
        <v>0.97</v>
      </c>
      <c r="I218" s="2">
        <v>20</v>
      </c>
      <c r="J218" s="2">
        <v>876.41</v>
      </c>
      <c r="K218" s="2" t="s">
        <v>54</v>
      </c>
    </row>
    <row r="219" spans="1:11" x14ac:dyDescent="0.25">
      <c r="A219" s="2">
        <v>216</v>
      </c>
      <c r="B219" s="4">
        <v>46142</v>
      </c>
      <c r="C219" s="2" t="s">
        <v>34</v>
      </c>
      <c r="D219" s="2" t="s">
        <v>30</v>
      </c>
      <c r="E219" s="2" t="s">
        <v>31</v>
      </c>
      <c r="F219" s="2" t="s">
        <v>38</v>
      </c>
      <c r="G219" s="2" t="s">
        <v>42</v>
      </c>
      <c r="H219" s="2">
        <v>2.59</v>
      </c>
      <c r="I219" s="2">
        <v>12</v>
      </c>
      <c r="J219" s="2">
        <v>318.89999999999998</v>
      </c>
      <c r="K219" s="2" t="s">
        <v>54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A3" sqref="A3"/>
    </sheetView>
  </sheetViews>
  <sheetFormatPr defaultRowHeight="15" x14ac:dyDescent="0.25"/>
  <cols>
    <col min="1" max="2" width="18" customWidth="1"/>
    <col min="8" max="8" width="18" customWidth="1"/>
  </cols>
  <sheetData>
    <row r="1" spans="1:8" ht="23.25" x14ac:dyDescent="0.25">
      <c r="A1" s="1" t="s">
        <v>56</v>
      </c>
      <c r="B1" s="2"/>
    </row>
    <row r="2" spans="1:8" x14ac:dyDescent="0.25">
      <c r="A2" s="2"/>
      <c r="B2" s="2"/>
    </row>
    <row r="3" spans="1:8" x14ac:dyDescent="0.25">
      <c r="A3" s="14" t="s">
        <v>57</v>
      </c>
      <c r="B3" s="15" t="s">
        <v>58</v>
      </c>
      <c r="C3" s="15"/>
      <c r="D3" s="15"/>
      <c r="E3" s="15"/>
      <c r="F3" s="15"/>
      <c r="G3" s="15"/>
      <c r="H3" s="15"/>
    </row>
    <row r="4" spans="1:8" x14ac:dyDescent="0.25">
      <c r="A4" s="14" t="s">
        <v>59</v>
      </c>
      <c r="B4" s="15" t="s">
        <v>60</v>
      </c>
      <c r="C4" s="15"/>
      <c r="D4" s="15"/>
      <c r="E4" s="15"/>
      <c r="F4" s="15"/>
      <c r="G4" s="15"/>
      <c r="H4" s="15"/>
    </row>
    <row r="5" spans="1:8" x14ac:dyDescent="0.25">
      <c r="A5" s="14" t="s">
        <v>61</v>
      </c>
      <c r="B5" s="15" t="s">
        <v>62</v>
      </c>
      <c r="C5" s="15"/>
      <c r="D5" s="15"/>
      <c r="E5" s="15"/>
      <c r="F5" s="15"/>
      <c r="G5" s="15"/>
      <c r="H5" s="15"/>
    </row>
    <row r="6" spans="1:8" x14ac:dyDescent="0.25">
      <c r="A6" s="14" t="s">
        <v>63</v>
      </c>
      <c r="B6" s="15" t="s">
        <v>64</v>
      </c>
      <c r="C6" s="15"/>
      <c r="D6" s="15"/>
      <c r="E6" s="15"/>
      <c r="F6" s="15"/>
      <c r="G6" s="15"/>
      <c r="H6" s="15"/>
    </row>
    <row r="7" spans="1:8" x14ac:dyDescent="0.25">
      <c r="A7" s="14" t="s">
        <v>65</v>
      </c>
      <c r="B7" s="15" t="s">
        <v>66</v>
      </c>
      <c r="C7" s="15"/>
      <c r="D7" s="15"/>
      <c r="E7" s="15"/>
      <c r="F7" s="15"/>
      <c r="G7" s="15"/>
      <c r="H7" s="15"/>
    </row>
    <row r="8" spans="1:8" x14ac:dyDescent="0.25">
      <c r="A8" s="14" t="s">
        <v>67</v>
      </c>
      <c r="B8" s="15" t="s">
        <v>68</v>
      </c>
      <c r="C8" s="15"/>
      <c r="D8" s="15"/>
      <c r="E8" s="15"/>
      <c r="F8" s="15"/>
      <c r="G8" s="15"/>
      <c r="H8" s="15"/>
    </row>
    <row r="9" spans="1:8" x14ac:dyDescent="0.25">
      <c r="A9" s="14" t="s">
        <v>69</v>
      </c>
      <c r="B9" s="15" t="s">
        <v>70</v>
      </c>
      <c r="C9" s="15"/>
      <c r="D9" s="15"/>
      <c r="E9" s="15"/>
      <c r="F9" s="15"/>
      <c r="G9" s="15"/>
      <c r="H9" s="15"/>
    </row>
    <row r="10" spans="1:8" x14ac:dyDescent="0.25">
      <c r="A10" s="14" t="s">
        <v>71</v>
      </c>
      <c r="B10" s="15" t="s">
        <v>72</v>
      </c>
      <c r="C10" s="15"/>
      <c r="D10" s="15"/>
      <c r="E10" s="15"/>
      <c r="F10" s="15"/>
      <c r="G10" s="15"/>
      <c r="H10" s="15"/>
    </row>
    <row r="11" spans="1:8" x14ac:dyDescent="0.25">
      <c r="A11" s="14" t="s">
        <v>73</v>
      </c>
      <c r="B11" s="15" t="s">
        <v>74</v>
      </c>
      <c r="C11" s="15"/>
      <c r="D11" s="15"/>
      <c r="E11" s="15"/>
      <c r="F11" s="15"/>
      <c r="G11" s="15"/>
      <c r="H11" s="15"/>
    </row>
    <row r="12" spans="1:8" x14ac:dyDescent="0.25">
      <c r="A12" s="14" t="s">
        <v>75</v>
      </c>
      <c r="B12" s="15" t="s">
        <v>76</v>
      </c>
      <c r="C12" s="15"/>
      <c r="D12" s="15"/>
      <c r="E12" s="15"/>
      <c r="F12" s="15"/>
      <c r="G12" s="15"/>
      <c r="H12" s="15"/>
    </row>
    <row r="13" spans="1:8" x14ac:dyDescent="0.25">
      <c r="A13" s="14" t="s">
        <v>77</v>
      </c>
      <c r="B13" s="15" t="s">
        <v>78</v>
      </c>
      <c r="C13" s="15"/>
      <c r="D13" s="15"/>
      <c r="E13" s="15"/>
      <c r="F13" s="15"/>
      <c r="G13" s="15"/>
      <c r="H13" s="15"/>
    </row>
    <row r="14" spans="1:8" x14ac:dyDescent="0.25">
      <c r="A14" s="14" t="s">
        <v>79</v>
      </c>
      <c r="B14" s="15" t="s">
        <v>80</v>
      </c>
      <c r="C14" s="15"/>
      <c r="D14" s="15"/>
      <c r="E14" s="15"/>
      <c r="F14" s="15"/>
      <c r="G14" s="15"/>
      <c r="H14" s="15"/>
    </row>
    <row r="15" spans="1:8" x14ac:dyDescent="0.25">
      <c r="A15" s="14" t="s">
        <v>81</v>
      </c>
      <c r="B15" s="15" t="s">
        <v>82</v>
      </c>
      <c r="C15" s="15"/>
      <c r="D15" s="15"/>
      <c r="E15" s="15"/>
      <c r="F15" s="15"/>
      <c r="G15" s="15"/>
      <c r="H15" s="15"/>
    </row>
    <row r="16" spans="1:8" x14ac:dyDescent="0.25">
      <c r="A16" s="14" t="s">
        <v>83</v>
      </c>
      <c r="B16" s="15" t="s">
        <v>84</v>
      </c>
      <c r="C16" s="15"/>
      <c r="D16" s="15"/>
      <c r="E16" s="15"/>
      <c r="F16" s="15"/>
      <c r="G16" s="15"/>
      <c r="H16" s="15"/>
    </row>
  </sheetData>
  <mergeCells count="14">
    <mergeCell ref="B8:H8"/>
    <mergeCell ref="B9:H9"/>
    <mergeCell ref="B10:H10"/>
    <mergeCell ref="B11:H11"/>
    <mergeCell ref="B3:H3"/>
    <mergeCell ref="B4:H4"/>
    <mergeCell ref="B5:H5"/>
    <mergeCell ref="B7:H7"/>
    <mergeCell ref="B6:H6"/>
    <mergeCell ref="B12:H12"/>
    <mergeCell ref="B13:H13"/>
    <mergeCell ref="B14:H14"/>
    <mergeCell ref="B15:H15"/>
    <mergeCell ref="B16:H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E11" sqref="E11"/>
    </sheetView>
  </sheetViews>
  <sheetFormatPr defaultRowHeight="15" x14ac:dyDescent="0.25"/>
  <cols>
    <col min="1" max="2" width="18" customWidth="1"/>
  </cols>
  <sheetData>
    <row r="1" spans="1:2" ht="23.25" x14ac:dyDescent="0.25">
      <c r="A1" s="1" t="s">
        <v>85</v>
      </c>
      <c r="B1" s="2"/>
    </row>
    <row r="2" spans="1:2" x14ac:dyDescent="0.25">
      <c r="A2" s="2"/>
      <c r="B2" s="2"/>
    </row>
    <row r="4" spans="1:2" x14ac:dyDescent="0.25">
      <c r="A4" s="3" t="s">
        <v>86</v>
      </c>
      <c r="B4" s="3">
        <f>SUM(Production_Data!F5:F364)</f>
        <v>351084</v>
      </c>
    </row>
    <row r="5" spans="1:2" x14ac:dyDescent="0.25">
      <c r="A5" s="3" t="s">
        <v>87</v>
      </c>
      <c r="B5" s="3">
        <f>SUM(Production_Data!G5:G364)</f>
        <v>265176.30000000016</v>
      </c>
    </row>
    <row r="6" spans="1:2" x14ac:dyDescent="0.25">
      <c r="A6" s="3" t="s">
        <v>88</v>
      </c>
      <c r="B6" s="3">
        <f>SUM(Production_Data!H5:H364)</f>
        <v>261118.19999999992</v>
      </c>
    </row>
    <row r="7" spans="1:2" x14ac:dyDescent="0.25">
      <c r="A7" s="3" t="s">
        <v>89</v>
      </c>
      <c r="B7" s="3">
        <f>SUM(Production_Data!I5:I364)</f>
        <v>4059.8000000000015</v>
      </c>
    </row>
    <row r="8" spans="1:2" x14ac:dyDescent="0.25">
      <c r="A8" s="3" t="s">
        <v>90</v>
      </c>
      <c r="B8" s="7">
        <f>B5/B4</f>
        <v>0.75530727689100086</v>
      </c>
    </row>
    <row r="9" spans="1:2" x14ac:dyDescent="0.25">
      <c r="A9" s="3" t="s">
        <v>91</v>
      </c>
      <c r="B9" s="7">
        <f>AVERAGE(Production_Data!W5:W364)</f>
        <v>0.74326301078154189</v>
      </c>
    </row>
    <row r="10" spans="1:2" x14ac:dyDescent="0.25">
      <c r="A10" s="3" t="s">
        <v>92</v>
      </c>
      <c r="B10" s="7">
        <f>AVERAGE(Production_Data!T5:T364)</f>
        <v>0.80801736111111133</v>
      </c>
    </row>
    <row r="11" spans="1:2" x14ac:dyDescent="0.25">
      <c r="A11" s="3" t="s">
        <v>93</v>
      </c>
      <c r="B11" s="7">
        <f>AVERAGE(Production_Data!U5:U364)</f>
        <v>0.95766829396998177</v>
      </c>
    </row>
    <row r="12" spans="1:2" x14ac:dyDescent="0.25">
      <c r="A12" s="3" t="s">
        <v>94</v>
      </c>
      <c r="B12" s="7">
        <f>AVERAGE(Production_Data!V5:V364)</f>
        <v>0.98461774091319465</v>
      </c>
    </row>
    <row r="13" spans="1:2" x14ac:dyDescent="0.25">
      <c r="A13" s="3" t="s">
        <v>95</v>
      </c>
      <c r="B13" s="3">
        <f>SUM(Production_Data!J5:J364)</f>
        <v>552.91000000000008</v>
      </c>
    </row>
    <row r="14" spans="1:2" x14ac:dyDescent="0.25">
      <c r="A14" s="3" t="s">
        <v>96</v>
      </c>
      <c r="B14" s="3">
        <f>SUM(Production_Data!R5:R364)</f>
        <v>133526.85999999993</v>
      </c>
    </row>
    <row r="15" spans="1:2" x14ac:dyDescent="0.25">
      <c r="A15" s="3" t="s">
        <v>97</v>
      </c>
      <c r="B15" s="7">
        <f>B7/B6</f>
        <v>1.5547748107944995E-2</v>
      </c>
    </row>
    <row r="16" spans="1:2" x14ac:dyDescent="0.25">
      <c r="A16" s="3" t="s">
        <v>98</v>
      </c>
      <c r="B16" s="3">
        <f>SUM(Production_Data!O5:O364)/B5</f>
        <v>118.28589545898328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10" sqref="B10"/>
    </sheetView>
  </sheetViews>
  <sheetFormatPr defaultRowHeight="15" x14ac:dyDescent="0.25"/>
  <cols>
    <col min="1" max="7" width="18" customWidth="1"/>
  </cols>
  <sheetData>
    <row r="1" spans="1:7" x14ac:dyDescent="0.25">
      <c r="A1" s="3" t="s">
        <v>4</v>
      </c>
      <c r="B1" s="3" t="s">
        <v>99</v>
      </c>
      <c r="C1" s="3" t="s">
        <v>90</v>
      </c>
      <c r="D1" s="3" t="s">
        <v>100</v>
      </c>
      <c r="E1" s="3" t="s">
        <v>101</v>
      </c>
      <c r="F1" s="3" t="s">
        <v>97</v>
      </c>
      <c r="G1" s="3" t="s">
        <v>102</v>
      </c>
    </row>
    <row r="2" spans="1:7" x14ac:dyDescent="0.25">
      <c r="A2" s="2" t="s">
        <v>29</v>
      </c>
      <c r="B2" s="8">
        <f>SUMIF(Production_Data!C:C,A2,Production_Data!G:G)</f>
        <v>92588.099999999991</v>
      </c>
      <c r="C2" s="5">
        <f>SUMIF(Production_Data!C:C,A2,Production_Data!G:G)/SUMIF(Production_Data!C:C,A2,Production_Data!F:F)</f>
        <v>0.7928624643551383</v>
      </c>
      <c r="D2" s="5">
        <f>AVERAGEIF(Production_Data!C:C,A2,Production_Data!W:W)</f>
        <v>0.78077886749557734</v>
      </c>
      <c r="E2" s="2">
        <f>SUMIF(Production_Data!C:C,A2,Production_Data!J:J)</f>
        <v>173.05999999999995</v>
      </c>
      <c r="F2" s="5">
        <f>SUMIF(Production_Data!C:C,A2,Production_Data!I:I)/SUMIF(Production_Data!C:C,A2,Production_Data!G:G)</f>
        <v>1.4886362286298131E-2</v>
      </c>
      <c r="G2" s="10">
        <f>SUMIF(Production_Data!C:C,A2,Production_Data!O:O)/SUMIF(Production_Data!C:C,A2,Production_Data!G:G)</f>
        <v>118.71380015358342</v>
      </c>
    </row>
    <row r="3" spans="1:7" x14ac:dyDescent="0.25">
      <c r="A3" s="2" t="s">
        <v>34</v>
      </c>
      <c r="B3" s="8">
        <f>SUMIF(Production_Data!C:C,A3,Production_Data!G:G)</f>
        <v>88654.399999999994</v>
      </c>
      <c r="C3" s="5">
        <f>SUMIF(Production_Data!C:C,A3,Production_Data!G:G)/SUMIF(Production_Data!C:C,A3,Production_Data!F:F)</f>
        <v>0.75221368087019969</v>
      </c>
      <c r="D3" s="5">
        <f>AVERAGEIF(Production_Data!C:C,A3,Production_Data!W:W)</f>
        <v>0.7405835372188817</v>
      </c>
      <c r="E3" s="2">
        <f>SUMIF(Production_Data!C:C,A3,Production_Data!J:J)</f>
        <v>195.43000000000006</v>
      </c>
      <c r="F3" s="5">
        <f>SUMIF(Production_Data!C:C,A3,Production_Data!I:I)/SUMIF(Production_Data!C:C,A3,Production_Data!G:G)</f>
        <v>1.475166489198506E-2</v>
      </c>
      <c r="G3" s="10">
        <f>SUMIF(Production_Data!C:C,A3,Production_Data!O:O)/SUMIF(Production_Data!C:C,A3,Production_Data!G:G)</f>
        <v>118.26310707646773</v>
      </c>
    </row>
    <row r="4" spans="1:7" x14ac:dyDescent="0.25">
      <c r="A4" s="2" t="s">
        <v>36</v>
      </c>
      <c r="B4" s="8">
        <f>SUMIF(Production_Data!C:C,A4,Production_Data!G:G)</f>
        <v>83933.8</v>
      </c>
      <c r="C4" s="5">
        <f>SUMIF(Production_Data!C:C,A4,Production_Data!G:G)/SUMIF(Production_Data!C:C,A4,Production_Data!F:F)</f>
        <v>0.72077733600116789</v>
      </c>
      <c r="D4" s="5">
        <f>AVERAGEIF(Production_Data!C:C,A4,Production_Data!W:W)</f>
        <v>0.70842662763016773</v>
      </c>
      <c r="E4" s="2">
        <f>SUMIF(Production_Data!C:C,A4,Production_Data!J:J)</f>
        <v>184.42000000000002</v>
      </c>
      <c r="F4" s="5">
        <f>SUMIF(Production_Data!C:C,A4,Production_Data!I:I)/SUMIF(Production_Data!C:C,A4,Production_Data!G:G)</f>
        <v>1.6366469765458014E-2</v>
      </c>
      <c r="G4" s="10">
        <f>SUMIF(Production_Data!C:C,A4,Production_Data!O:O)/SUMIF(Production_Data!C:C,A4,Production_Data!G:G)</f>
        <v>117.83794013853772</v>
      </c>
    </row>
    <row r="5" spans="1:7" x14ac:dyDescent="0.25">
      <c r="A5" s="2" t="s">
        <v>122</v>
      </c>
      <c r="B5" s="11">
        <f>SUBTOTAL(109,Table7[Actual kg])</f>
        <v>265176.3</v>
      </c>
      <c r="C5" s="5">
        <f>SUBTOTAL(101,Table7[Achievement %])</f>
        <v>0.75528449374216855</v>
      </c>
      <c r="D5" s="5">
        <f>SUBTOTAL(101,Table7[OEE %])</f>
        <v>0.74326301078154222</v>
      </c>
      <c r="E5" s="2">
        <f>SUBTOTAL(109,Table7[Downtime hr])</f>
        <v>552.91000000000008</v>
      </c>
      <c r="F5" s="5">
        <f>SUBTOTAL(101,Table7[Reject Rate %])</f>
        <v>1.5334832314580401E-2</v>
      </c>
      <c r="G5" s="10">
        <f>SUBTOTAL(101,Table7[Energy/kg])</f>
        <v>118.27161578952962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B4" sqref="B4"/>
    </sheetView>
  </sheetViews>
  <sheetFormatPr defaultRowHeight="15" x14ac:dyDescent="0.25"/>
  <cols>
    <col min="1" max="5" width="18" customWidth="1"/>
    <col min="6" max="6" width="19.140625" customWidth="1"/>
    <col min="7" max="7" width="18" customWidth="1"/>
  </cols>
  <sheetData>
    <row r="1" spans="1:7" x14ac:dyDescent="0.25">
      <c r="A1" s="3" t="s">
        <v>5</v>
      </c>
      <c r="B1" s="3" t="s">
        <v>99</v>
      </c>
      <c r="C1" s="3" t="s">
        <v>90</v>
      </c>
      <c r="D1" s="3" t="s">
        <v>100</v>
      </c>
      <c r="E1" s="3" t="s">
        <v>101</v>
      </c>
      <c r="F1" s="3" t="s">
        <v>96</v>
      </c>
      <c r="G1" s="3" t="s">
        <v>97</v>
      </c>
    </row>
    <row r="2" spans="1:7" x14ac:dyDescent="0.25">
      <c r="A2" s="2" t="s">
        <v>35</v>
      </c>
      <c r="B2" s="9">
        <f>SUMIF(Production_Data!D:D,A2,Production_Data!G:G)</f>
        <v>137262.60000000003</v>
      </c>
      <c r="C2" s="5">
        <f>SUMIF(Production_Data!D:D,A2,Production_Data!G:G)/SUMIF(Production_Data!D:D,A2,Production_Data!F:F)</f>
        <v>0.77510955005421056</v>
      </c>
      <c r="D2" s="5">
        <f>AVERAGEIF(Production_Data!D:D,A2,Production_Data!W:W)</f>
        <v>0.76318415580931565</v>
      </c>
      <c r="E2" s="2">
        <f>SUMIF(Production_Data!D:D,A2,Production_Data!J:J)</f>
        <v>275.19000000000011</v>
      </c>
      <c r="F2" s="9">
        <f>SUMIF(Production_Data!D:D,A2,Production_Data!R:R)</f>
        <v>66752.270000000048</v>
      </c>
      <c r="G2" s="5">
        <f>SUMIF(Production_Data!D:D,A2,Production_Data!I:I)/SUMIF(Production_Data!D:D,A2,Production_Data!G:G)</f>
        <v>1.5111181050045677E-2</v>
      </c>
    </row>
    <row r="3" spans="1:7" x14ac:dyDescent="0.25">
      <c r="A3" s="2" t="s">
        <v>30</v>
      </c>
      <c r="B3" s="9">
        <f>SUMIF(Production_Data!D:D,A3,Production_Data!G:G)</f>
        <v>127913.70000000003</v>
      </c>
      <c r="C3" s="5">
        <f>SUMIF(Production_Data!D:D,A3,Production_Data!G:G)/SUMIF(Production_Data!D:D,A3,Production_Data!F:F)</f>
        <v>0.73515310696797642</v>
      </c>
      <c r="D3" s="5">
        <f>AVERAGEIF(Production_Data!D:D,A3,Production_Data!W:W)</f>
        <v>0.72311928312776053</v>
      </c>
      <c r="E3" s="2">
        <f>SUMIF(Production_Data!D:D,A3,Production_Data!J:J)</f>
        <v>277.71999999999991</v>
      </c>
      <c r="F3" s="9">
        <f>SUMIF(Production_Data!D:D,A3,Production_Data!R:R)</f>
        <v>66774.589999999982</v>
      </c>
      <c r="G3" s="5">
        <f>SUMIF(Production_Data!D:D,A3,Production_Data!I:I)/SUMIF(Production_Data!D:D,A3,Production_Data!G:G)</f>
        <v>1.5522965874648293E-2</v>
      </c>
    </row>
    <row r="4" spans="1:7" x14ac:dyDescent="0.25">
      <c r="A4" s="2" t="s">
        <v>122</v>
      </c>
      <c r="B4" s="12">
        <f>SUBTOTAL(109,Table6[Actual kg])</f>
        <v>265176.30000000005</v>
      </c>
      <c r="C4" s="5">
        <f>SUBTOTAL(101,Table6[Achievement %])</f>
        <v>0.75513132851109344</v>
      </c>
      <c r="D4" s="5">
        <f>SUBTOTAL(101,Table6[OEE %])</f>
        <v>0.74315171946853809</v>
      </c>
      <c r="E4" s="2">
        <f>SUBTOTAL(109,Table6[Downtime hr])</f>
        <v>552.91000000000008</v>
      </c>
      <c r="F4" s="12">
        <f>SUBTOTAL(109,Table6[Maintenance Cost])</f>
        <v>133526.86000000004</v>
      </c>
      <c r="G4" s="5">
        <f>SUBTOTAL(101,Table6[Reject Rate %])</f>
        <v>1.5317073462346984E-2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G7" sqref="G7"/>
    </sheetView>
  </sheetViews>
  <sheetFormatPr defaultRowHeight="15" x14ac:dyDescent="0.25"/>
  <cols>
    <col min="1" max="7" width="18" customWidth="1"/>
  </cols>
  <sheetData>
    <row r="1" spans="1:7" x14ac:dyDescent="0.25">
      <c r="A1" s="3" t="s">
        <v>6</v>
      </c>
      <c r="B1" s="3" t="s">
        <v>99</v>
      </c>
      <c r="C1" s="3" t="s">
        <v>90</v>
      </c>
      <c r="D1" s="3" t="s">
        <v>100</v>
      </c>
      <c r="E1" s="3" t="s">
        <v>97</v>
      </c>
      <c r="F1" s="3" t="s">
        <v>103</v>
      </c>
      <c r="G1" s="3" t="s">
        <v>102</v>
      </c>
    </row>
    <row r="2" spans="1:7" x14ac:dyDescent="0.25">
      <c r="A2" s="2" t="s">
        <v>31</v>
      </c>
      <c r="B2" s="9">
        <f>SUMIF(Production_Data!E:E,A2,Production_Data!G:G)</f>
        <v>118725.1</v>
      </c>
      <c r="C2" s="5">
        <f>SUMIF(Production_Data!E:E,A2,Production_Data!G:G)/SUMIF(Production_Data!E:E,A2,Production_Data!F:F)</f>
        <v>0.7516006913011275</v>
      </c>
      <c r="D2" s="5">
        <f>AVERAGEIF(Production_Data!E:E,A2,Production_Data!W:W)</f>
        <v>0.74003435606993517</v>
      </c>
      <c r="E2" s="5">
        <f>SUMIF(Production_Data!E:E,A2,Production_Data!I:I)/SUMIF(Production_Data!E:E,A2,Production_Data!G:G)</f>
        <v>1.4638859011279001E-2</v>
      </c>
      <c r="F2" s="5">
        <f>SUMIF(Production_Data!E:E,A2,Production_Data!G:G)/SUMIF(Production_Data!E:E,A2,Production_Data!M:M)</f>
        <v>0.48767034046734176</v>
      </c>
      <c r="G2" s="10">
        <f>SUMIF(Production_Data!E:E,A2,Production_Data!O:O)/SUMIF(Production_Data!E:E,A2,Production_Data!G:G)</f>
        <v>117.94130390288146</v>
      </c>
    </row>
    <row r="3" spans="1:7" x14ac:dyDescent="0.25">
      <c r="A3" s="2" t="s">
        <v>39</v>
      </c>
      <c r="B3" s="9">
        <f>SUMIF(Production_Data!E:E,A3,Production_Data!G:G)</f>
        <v>78342.800000000017</v>
      </c>
      <c r="C3" s="5">
        <f>SUMIF(Production_Data!E:E,A3,Production_Data!G:G)/SUMIF(Production_Data!E:E,A3,Production_Data!F:F)</f>
        <v>0.75955518067149508</v>
      </c>
      <c r="D3" s="5">
        <f>AVERAGEIF(Production_Data!E:E,A3,Production_Data!W:W)</f>
        <v>0.74679556578558048</v>
      </c>
      <c r="E3" s="5">
        <f>SUMIF(Production_Data!E:E,A3,Production_Data!I:I)/SUMIF(Production_Data!E:E,A3,Production_Data!G:G)</f>
        <v>1.6162302087747681E-2</v>
      </c>
      <c r="F3" s="5">
        <f>SUMIF(Production_Data!E:E,A3,Production_Data!G:G)/SUMIF(Production_Data!E:E,A3,Production_Data!M:M)</f>
        <v>0.4873107182133492</v>
      </c>
      <c r="G3" s="10">
        <f>SUMIF(Production_Data!E:E,A3,Production_Data!O:O)/SUMIF(Production_Data!E:E,A3,Production_Data!G:G)</f>
        <v>118.05274383861691</v>
      </c>
    </row>
    <row r="4" spans="1:7" x14ac:dyDescent="0.25">
      <c r="A4" s="2" t="s">
        <v>45</v>
      </c>
      <c r="B4" s="9">
        <f>SUMIF(Production_Data!E:E,A4,Production_Data!G:G)</f>
        <v>68108.400000000009</v>
      </c>
      <c r="C4" s="5">
        <f>SUMIF(Production_Data!E:E,A4,Production_Data!G:G)/SUMIF(Production_Data!E:E,A4,Production_Data!F:F)</f>
        <v>0.75694503100757971</v>
      </c>
      <c r="D4" s="5">
        <f>AVERAGEIF(Production_Data!E:E,A4,Production_Data!W:W)</f>
        <v>0.74487813287776283</v>
      </c>
      <c r="E4" s="5">
        <f>SUMIF(Production_Data!E:E,A4,Production_Data!I:I)/SUMIF(Production_Data!E:E,A4,Production_Data!G:G)</f>
        <v>1.5498822465364041E-2</v>
      </c>
      <c r="F4" s="5">
        <f>SUMIF(Production_Data!E:E,A4,Production_Data!G:G)/SUMIF(Production_Data!E:E,A4,Production_Data!M:M)</f>
        <v>0.4881496750370547</v>
      </c>
      <c r="G4" s="10">
        <f>SUMIF(Production_Data!E:E,A4,Production_Data!O:O)/SUMIF(Production_Data!E:E,A4,Production_Data!G:G)</f>
        <v>119.15476651925457</v>
      </c>
    </row>
    <row r="5" spans="1:7" x14ac:dyDescent="0.25">
      <c r="A5" s="2" t="s">
        <v>122</v>
      </c>
      <c r="B5" s="12">
        <f>SUBTOTAL(109,Table5[Actual kg])</f>
        <v>265176.30000000005</v>
      </c>
      <c r="C5" s="5">
        <f>SUBTOTAL(101,Table5[Achievement %])</f>
        <v>0.75603363432673409</v>
      </c>
      <c r="D5" s="5">
        <f>SUBTOTAL(101,Table5[OEE %])</f>
        <v>0.7439026849110929</v>
      </c>
      <c r="E5" s="5">
        <f>SUBTOTAL(101,Table5[Reject Rate %])</f>
        <v>1.5433327854796909E-2</v>
      </c>
      <c r="F5" s="5">
        <f>SUBTOTAL(101,Table5[Material Yield %])</f>
        <v>0.48771024457258189</v>
      </c>
      <c r="G5" s="10">
        <f>SUBTOTAL(109,Table5[Energy/kg])</f>
        <v>355.14881426075294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selection activeCell="B5" sqref="B5"/>
    </sheetView>
  </sheetViews>
  <sheetFormatPr defaultRowHeight="15" x14ac:dyDescent="0.25"/>
  <cols>
    <col min="1" max="4" width="18" customWidth="1"/>
    <col min="5" max="5" width="21.85546875" customWidth="1"/>
    <col min="6" max="6" width="22" customWidth="1"/>
  </cols>
  <sheetData>
    <row r="1" spans="1:6" x14ac:dyDescent="0.25">
      <c r="A1" s="3" t="s">
        <v>104</v>
      </c>
      <c r="B1" s="3" t="s">
        <v>105</v>
      </c>
      <c r="C1" s="3" t="s">
        <v>101</v>
      </c>
      <c r="D1" s="3" t="s">
        <v>106</v>
      </c>
      <c r="E1" s="3" t="s">
        <v>107</v>
      </c>
      <c r="F1" s="3" t="s">
        <v>108</v>
      </c>
    </row>
    <row r="2" spans="1:6" x14ac:dyDescent="0.25">
      <c r="A2" s="2" t="s">
        <v>41</v>
      </c>
      <c r="B2" s="2">
        <f>COUNTIF(Maintenance_Log!F:F,A2)</f>
        <v>40</v>
      </c>
      <c r="C2" s="2">
        <f>SUMIF(Maintenance_Log!F:F,A2,Maintenance_Log!H:H)</f>
        <v>147.72</v>
      </c>
      <c r="D2" s="9">
        <f>SUMIF(Maintenance_Log!F:F,A2,Maintenance_Log!J:J)</f>
        <v>7392.77</v>
      </c>
      <c r="E2" s="13">
        <f>AVERAGEIF(Maintenance_Log!F:F,A2,Maintenance_Log!I:I)</f>
        <v>12.45</v>
      </c>
      <c r="F2" s="13">
        <f>C2/B2</f>
        <v>3.6930000000000001</v>
      </c>
    </row>
    <row r="3" spans="1:6" x14ac:dyDescent="0.25">
      <c r="A3" s="2" t="s">
        <v>38</v>
      </c>
      <c r="B3" s="2">
        <f>COUNTIF(Maintenance_Log!F:F,A3)</f>
        <v>141</v>
      </c>
      <c r="C3" s="2">
        <f>SUMIF(Maintenance_Log!F:F,A3,Maintenance_Log!H:H)</f>
        <v>300.77999999999992</v>
      </c>
      <c r="D3" s="9">
        <f>SUMIF(Maintenance_Log!F:F,A3,Maintenance_Log!J:J)</f>
        <v>85387.199999999968</v>
      </c>
      <c r="E3" s="13">
        <f>AVERAGEIF(Maintenance_Log!F:F,A3,Maintenance_Log!I:I)</f>
        <v>11.319148936170214</v>
      </c>
      <c r="F3" s="13">
        <f>C3/B3</f>
        <v>2.1331914893617014</v>
      </c>
    </row>
    <row r="4" spans="1:6" x14ac:dyDescent="0.25">
      <c r="A4" s="2" t="s">
        <v>43</v>
      </c>
      <c r="B4" s="2">
        <f>COUNTIF(Maintenance_Log!F:F,A4)</f>
        <v>35</v>
      </c>
      <c r="C4" s="2">
        <f>SUMIF(Maintenance_Log!F:F,A4,Maintenance_Log!H:H)</f>
        <v>75.789999999999992</v>
      </c>
      <c r="D4" s="9">
        <f>SUMIF(Maintenance_Log!F:F,A4,Maintenance_Log!J:J)</f>
        <v>40746.89</v>
      </c>
      <c r="E4" s="13">
        <f>AVERAGEIF(Maintenance_Log!F:F,A4,Maintenance_Log!I:I)</f>
        <v>11.885714285714286</v>
      </c>
      <c r="F4" s="13">
        <f>C4/B4</f>
        <v>2.165428571428571</v>
      </c>
    </row>
    <row r="5" spans="1:6" x14ac:dyDescent="0.25">
      <c r="A5" s="2" t="s">
        <v>122</v>
      </c>
      <c r="B5" s="2">
        <f>SUBTOTAL(109,Table4[Events])</f>
        <v>216</v>
      </c>
      <c r="C5" s="2">
        <f>SUBTOTAL(109,Table4[Downtime hr])</f>
        <v>524.28999999999985</v>
      </c>
      <c r="D5" s="12">
        <f>SUBTOTAL(109,Table4[Cost])</f>
        <v>133526.85999999999</v>
      </c>
      <c r="E5" s="13">
        <f>SUBTOTAL(101,Table4[Avg Technician Hours])</f>
        <v>11.884954407294833</v>
      </c>
      <c r="F5" s="13">
        <f>SUBTOTAL(101,Table4[Avg Downtime/Event])</f>
        <v>2.6638733535967574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B9" sqref="B9"/>
    </sheetView>
  </sheetViews>
  <sheetFormatPr defaultRowHeight="15" x14ac:dyDescent="0.25"/>
  <cols>
    <col min="1" max="4" width="18" customWidth="1"/>
  </cols>
  <sheetData>
    <row r="1" spans="1:4" x14ac:dyDescent="0.25">
      <c r="A1" s="3" t="s">
        <v>109</v>
      </c>
      <c r="B1" s="3" t="s">
        <v>105</v>
      </c>
      <c r="C1" s="3" t="s">
        <v>101</v>
      </c>
      <c r="D1" s="3" t="s">
        <v>110</v>
      </c>
    </row>
    <row r="2" spans="1:4" x14ac:dyDescent="0.25">
      <c r="A2" s="2" t="s">
        <v>48</v>
      </c>
      <c r="B2" s="2">
        <f>COUNTIF(Production_Data!K:K,A2)</f>
        <v>18</v>
      </c>
      <c r="C2" s="2">
        <f>SUMIF(Production_Data!K:K,A2,Production_Data!J:J)</f>
        <v>38.85</v>
      </c>
      <c r="D2" s="5">
        <f>C2/SUM(Production_Data!J:J)</f>
        <v>7.0264600025320575E-2</v>
      </c>
    </row>
    <row r="3" spans="1:4" x14ac:dyDescent="0.25">
      <c r="A3" s="2" t="s">
        <v>42</v>
      </c>
      <c r="B3" s="2">
        <f>COUNTIF(Production_Data!K:K,A3)</f>
        <v>47</v>
      </c>
      <c r="C3" s="2">
        <f>SUMIF(Production_Data!K:K,A3,Production_Data!J:J)</f>
        <v>103.83999999999996</v>
      </c>
      <c r="D3" s="5">
        <f>C3/SUM(Production_Data!J:J)</f>
        <v>0.18780633376137154</v>
      </c>
    </row>
    <row r="4" spans="1:4" x14ac:dyDescent="0.25">
      <c r="A4" s="2" t="s">
        <v>46</v>
      </c>
      <c r="B4" s="2">
        <f>COUNTIF(Production_Data!K:K,A4)</f>
        <v>36</v>
      </c>
      <c r="C4" s="2">
        <f>SUMIF(Production_Data!K:K,A4,Production_Data!J:J)</f>
        <v>79.410000000000011</v>
      </c>
      <c r="D4" s="5">
        <f>C4/SUM(Production_Data!J:J)</f>
        <v>0.14362192761932321</v>
      </c>
    </row>
    <row r="5" spans="1:4" x14ac:dyDescent="0.25">
      <c r="A5" s="2" t="s">
        <v>37</v>
      </c>
      <c r="B5" s="2">
        <f>COUNTIF(Production_Data!K:K,A5)</f>
        <v>23</v>
      </c>
      <c r="C5" s="2">
        <f>SUMIF(Production_Data!K:K,A5,Production_Data!J:J)</f>
        <v>50.57</v>
      </c>
      <c r="D5" s="5">
        <f>C5/SUM(Production_Data!J:J)</f>
        <v>9.1461539852778925E-2</v>
      </c>
    </row>
    <row r="6" spans="1:4" x14ac:dyDescent="0.25">
      <c r="A6" s="2" t="s">
        <v>40</v>
      </c>
      <c r="B6" s="2">
        <f>COUNTIF(Production_Data!K:K,A6)</f>
        <v>40</v>
      </c>
      <c r="C6" s="2">
        <f>SUMIF(Production_Data!K:K,A6,Production_Data!J:J)</f>
        <v>147.72</v>
      </c>
      <c r="D6" s="5">
        <f>C6/SUM(Production_Data!J:J)</f>
        <v>0.26716825523141197</v>
      </c>
    </row>
    <row r="7" spans="1:4" x14ac:dyDescent="0.25">
      <c r="A7" s="2" t="s">
        <v>47</v>
      </c>
      <c r="B7" s="2">
        <f>COUNTIF(Production_Data!K:K,A7)</f>
        <v>27</v>
      </c>
      <c r="C7" s="2">
        <f>SUMIF(Production_Data!K:K,A7,Production_Data!J:J)</f>
        <v>56.780000000000015</v>
      </c>
      <c r="D7" s="5">
        <f>C7/SUM(Production_Data!J:J)</f>
        <v>0.10269302418115066</v>
      </c>
    </row>
    <row r="8" spans="1:4" x14ac:dyDescent="0.25">
      <c r="A8" s="2" t="s">
        <v>44</v>
      </c>
      <c r="B8" s="2">
        <f>COUNTIF(Production_Data!K:K,A8)</f>
        <v>25</v>
      </c>
      <c r="C8" s="2">
        <f>SUMIF(Production_Data!K:K,A8,Production_Data!J:J)</f>
        <v>47.120000000000005</v>
      </c>
      <c r="D8" s="5">
        <f>C8/SUM(Production_Data!J:J)</f>
        <v>8.5221826337016873E-2</v>
      </c>
    </row>
    <row r="9" spans="1:4" x14ac:dyDescent="0.25">
      <c r="A9" s="2" t="s">
        <v>122</v>
      </c>
      <c r="B9" s="2">
        <f>SUBTOTAL(109,Table3[Events])</f>
        <v>216</v>
      </c>
      <c r="C9" s="2">
        <f>SUBTOTAL(109,Table3[Downtime hr])</f>
        <v>524.29</v>
      </c>
      <c r="D9" s="5">
        <f>SUBTOTAL(101,Table3[% of Downtime])</f>
        <v>0.13546250100119625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5"/>
  <sheetViews>
    <sheetView tabSelected="1" zoomScale="75" zoomScaleNormal="75" workbookViewId="0">
      <selection activeCell="H4" sqref="H4"/>
    </sheetView>
  </sheetViews>
  <sheetFormatPr defaultRowHeight="15" x14ac:dyDescent="0.25"/>
  <cols>
    <col min="1" max="1" width="27" bestFit="1" customWidth="1"/>
    <col min="2" max="6" width="18" customWidth="1"/>
    <col min="7" max="7" width="22.28515625" bestFit="1" customWidth="1"/>
    <col min="8" max="8" width="18" customWidth="1"/>
  </cols>
  <sheetData>
    <row r="1" spans="1:18" ht="38.25" customHeight="1" x14ac:dyDescent="0.25">
      <c r="A1" s="24" t="s">
        <v>111</v>
      </c>
      <c r="B1" s="25"/>
      <c r="C1" s="25"/>
      <c r="D1" s="25"/>
      <c r="E1" s="25"/>
      <c r="F1" s="25"/>
      <c r="G1" s="25"/>
      <c r="H1" s="25"/>
    </row>
    <row r="2" spans="1:18" ht="15.75" thickBot="1" x14ac:dyDescent="0.3">
      <c r="A2" s="2"/>
      <c r="B2" s="2"/>
      <c r="C2" s="2"/>
      <c r="D2" s="2"/>
      <c r="E2" s="2"/>
      <c r="F2" s="2"/>
      <c r="G2" s="2"/>
      <c r="H2" s="2"/>
    </row>
    <row r="3" spans="1:18" ht="19.5" thickBot="1" x14ac:dyDescent="0.3">
      <c r="A3" s="20" t="s">
        <v>112</v>
      </c>
      <c r="B3" s="2"/>
      <c r="C3" s="18" t="s">
        <v>113</v>
      </c>
      <c r="D3" s="2"/>
      <c r="E3" s="18" t="s">
        <v>114</v>
      </c>
      <c r="F3" s="2"/>
      <c r="G3" s="21" t="s">
        <v>96</v>
      </c>
      <c r="H3" s="2"/>
    </row>
    <row r="4" spans="1:18" ht="21.75" thickBot="1" x14ac:dyDescent="0.3">
      <c r="A4" s="17">
        <f>KPI_Calculations!B5</f>
        <v>265176.30000000016</v>
      </c>
      <c r="B4" s="2"/>
      <c r="C4" s="19">
        <f>KPI_Calculations!B9</f>
        <v>0.74326301078154189</v>
      </c>
      <c r="D4" s="2"/>
      <c r="E4" s="23">
        <f>KPI_Calculations!B13</f>
        <v>552.91000000000008</v>
      </c>
      <c r="F4" s="2"/>
      <c r="G4" s="22">
        <f>KPI_Calculations!B14</f>
        <v>133526.85999999993</v>
      </c>
      <c r="H4" s="2"/>
      <c r="J4" s="16" t="s">
        <v>115</v>
      </c>
      <c r="K4" s="16"/>
      <c r="L4" s="16"/>
      <c r="M4" s="16"/>
      <c r="N4" s="16"/>
      <c r="O4" s="16"/>
      <c r="P4" s="16"/>
      <c r="Q4" s="16"/>
      <c r="R4" s="16"/>
    </row>
    <row r="5" spans="1:18" x14ac:dyDescent="0.25">
      <c r="A5" s="2"/>
      <c r="B5" s="2"/>
      <c r="C5" s="2"/>
      <c r="D5" s="2"/>
      <c r="E5" s="2"/>
      <c r="F5" s="2"/>
      <c r="G5" s="2"/>
      <c r="H5" s="2"/>
      <c r="J5" s="15" t="s">
        <v>116</v>
      </c>
      <c r="K5" s="15"/>
      <c r="L5" s="15"/>
      <c r="M5" s="15"/>
      <c r="N5" s="15"/>
      <c r="O5" s="15"/>
      <c r="P5" s="15"/>
      <c r="Q5" s="15"/>
      <c r="R5" s="15"/>
    </row>
    <row r="6" spans="1:18" x14ac:dyDescent="0.25">
      <c r="A6" s="2"/>
      <c r="B6" s="2"/>
      <c r="C6" s="2"/>
      <c r="D6" s="2"/>
      <c r="E6" s="2"/>
      <c r="F6" s="2"/>
      <c r="G6" s="2"/>
      <c r="H6" s="2"/>
      <c r="J6" s="15" t="s">
        <v>117</v>
      </c>
      <c r="K6" s="15"/>
      <c r="L6" s="15"/>
      <c r="M6" s="15"/>
      <c r="N6" s="15"/>
      <c r="O6" s="15"/>
      <c r="P6" s="15"/>
      <c r="Q6" s="15"/>
      <c r="R6" s="15"/>
    </row>
    <row r="7" spans="1:18" x14ac:dyDescent="0.25">
      <c r="A7" s="2"/>
      <c r="B7" s="2"/>
      <c r="C7" s="2"/>
      <c r="D7" s="2"/>
      <c r="E7" s="2"/>
      <c r="F7" s="2"/>
      <c r="G7" s="2"/>
      <c r="H7" s="2"/>
      <c r="J7" s="15" t="s">
        <v>118</v>
      </c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2"/>
      <c r="B8" s="2"/>
      <c r="C8" s="2"/>
      <c r="D8" s="2"/>
      <c r="E8" s="2"/>
      <c r="F8" s="2"/>
      <c r="G8" s="2"/>
      <c r="H8" s="2"/>
      <c r="J8" s="15" t="s">
        <v>119</v>
      </c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2"/>
      <c r="B9" s="2"/>
      <c r="C9" s="2"/>
      <c r="D9" s="2"/>
      <c r="E9" s="2"/>
      <c r="F9" s="2"/>
      <c r="G9" s="2"/>
      <c r="H9" s="2"/>
      <c r="J9" s="15" t="s">
        <v>120</v>
      </c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J10" s="15" t="s">
        <v>121</v>
      </c>
      <c r="K10" s="15"/>
      <c r="L10" s="15"/>
      <c r="M10" s="15"/>
      <c r="N10" s="15"/>
      <c r="O10" s="15"/>
      <c r="P10" s="15"/>
      <c r="Q10" s="15"/>
      <c r="R10" s="15"/>
    </row>
    <row r="11" spans="1:18" x14ac:dyDescent="0.25">
      <c r="A11" s="2"/>
      <c r="B11" s="2"/>
      <c r="C11" s="2"/>
      <c r="D11" s="2"/>
      <c r="E11" s="2"/>
      <c r="F11" s="2"/>
      <c r="G11" s="2"/>
      <c r="H11" s="2"/>
    </row>
    <row r="12" spans="1:18" x14ac:dyDescent="0.25">
      <c r="A12" s="2"/>
      <c r="B12" s="2"/>
      <c r="C12" s="2"/>
      <c r="D12" s="2"/>
      <c r="E12" s="2"/>
      <c r="F12" s="2"/>
      <c r="G12" s="2"/>
      <c r="H12" s="2"/>
    </row>
    <row r="13" spans="1:18" x14ac:dyDescent="0.25">
      <c r="A13" s="2"/>
      <c r="B13" s="2"/>
      <c r="C13" s="2"/>
      <c r="D13" s="2"/>
      <c r="E13" s="2"/>
      <c r="F13" s="2"/>
      <c r="G13" s="2"/>
      <c r="H13" s="2"/>
    </row>
    <row r="14" spans="1:18" x14ac:dyDescent="0.25">
      <c r="A14" s="2"/>
      <c r="B14" s="2"/>
      <c r="C14" s="2"/>
      <c r="D14" s="2"/>
      <c r="E14" s="2"/>
      <c r="F14" s="2"/>
      <c r="G14" s="2"/>
      <c r="H14" s="2"/>
    </row>
    <row r="15" spans="1:18" x14ac:dyDescent="0.25">
      <c r="A15" s="2"/>
      <c r="B15" s="2"/>
      <c r="C15" s="2"/>
      <c r="D15" s="2"/>
      <c r="E15" s="2"/>
      <c r="F15" s="2"/>
      <c r="G15" s="2"/>
      <c r="H15" s="2"/>
    </row>
    <row r="16" spans="1:1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B39" s="2"/>
      <c r="C39" s="2"/>
      <c r="D39" s="2"/>
      <c r="E39" s="2"/>
      <c r="F39" s="2"/>
      <c r="G39" s="2"/>
      <c r="H39" s="2"/>
    </row>
    <row r="40" spans="1:8" x14ac:dyDescent="0.25">
      <c r="B40" s="2"/>
      <c r="C40" s="2"/>
      <c r="D40" s="2"/>
      <c r="E40" s="2"/>
      <c r="F40" s="2"/>
      <c r="G40" s="2"/>
      <c r="H40" s="2"/>
    </row>
    <row r="41" spans="1:8" x14ac:dyDescent="0.25">
      <c r="B41" s="2"/>
      <c r="C41" s="2"/>
      <c r="D41" s="2"/>
      <c r="E41" s="2"/>
      <c r="F41" s="2"/>
      <c r="G41" s="2"/>
      <c r="H41" s="2"/>
    </row>
    <row r="42" spans="1:8" x14ac:dyDescent="0.25">
      <c r="B42" s="2"/>
      <c r="C42" s="2"/>
      <c r="D42" s="2"/>
      <c r="E42" s="2"/>
      <c r="F42" s="2"/>
      <c r="G42" s="2"/>
      <c r="H42" s="2"/>
    </row>
    <row r="43" spans="1:8" x14ac:dyDescent="0.25">
      <c r="B43" s="2"/>
      <c r="C43" s="2"/>
      <c r="D43" s="2"/>
      <c r="E43" s="2"/>
      <c r="F43" s="2"/>
      <c r="G43" s="2"/>
      <c r="H43" s="2"/>
    </row>
    <row r="44" spans="1:8" x14ac:dyDescent="0.25">
      <c r="B44" s="2"/>
      <c r="C44" s="2"/>
      <c r="D44" s="2"/>
      <c r="E44" s="2"/>
      <c r="F44" s="2"/>
      <c r="G44" s="2"/>
      <c r="H44" s="2"/>
    </row>
    <row r="45" spans="1:8" x14ac:dyDescent="0.25">
      <c r="B45" s="2"/>
      <c r="C45" s="2"/>
      <c r="D45" s="2"/>
      <c r="E45" s="2"/>
      <c r="F45" s="2"/>
      <c r="G45" s="2"/>
      <c r="H45" s="2"/>
    </row>
  </sheetData>
  <mergeCells count="8">
    <mergeCell ref="J9:R9"/>
    <mergeCell ref="J10:R10"/>
    <mergeCell ref="A1:H1"/>
    <mergeCell ref="J4:R4"/>
    <mergeCell ref="J5:R5"/>
    <mergeCell ref="J6:R6"/>
    <mergeCell ref="J7:R7"/>
    <mergeCell ref="J8:R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Production_Data</vt:lpstr>
      <vt:lpstr>Maintenance_Log</vt:lpstr>
      <vt:lpstr>Project_Instructions</vt:lpstr>
      <vt:lpstr>KPI_Calculations</vt:lpstr>
      <vt:lpstr>Shift_Analysis</vt:lpstr>
      <vt:lpstr>Line_Analysis</vt:lpstr>
      <vt:lpstr>Product_Analysis</vt:lpstr>
      <vt:lpstr>Maintenance_Analysis</vt:lpstr>
      <vt:lpstr>Downtime_Analysis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Ibrahim</cp:lastModifiedBy>
  <dcterms:created xsi:type="dcterms:W3CDTF">2026-09-27T09:52:39Z</dcterms:created>
  <dcterms:modified xsi:type="dcterms:W3CDTF">2026-10-01T14:57:00Z</dcterms:modified>
</cp:coreProperties>
</file>