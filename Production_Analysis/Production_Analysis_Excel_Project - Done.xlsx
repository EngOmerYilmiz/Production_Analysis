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ustafa\Desktop\Projects\Production\"/>
    </mc:Choice>
  </mc:AlternateContent>
  <xr:revisionPtr revIDLastSave="0" documentId="13_ncr:1_{CCC29983-5F6F-4AEC-A2E2-ECC93AD17438}" xr6:coauthVersionLast="47" xr6:coauthVersionMax="47" xr10:uidLastSave="{00000000-0000-0000-0000-000000000000}"/>
  <bookViews>
    <workbookView xWindow="-120" yWindow="-120" windowWidth="20730" windowHeight="11160" firstSheet="2" activeTab="6" xr2:uid="{00000000-000D-0000-FFFF-FFFF00000000}"/>
  </bookViews>
  <sheets>
    <sheet name="Project_Instructions" sheetId="2" r:id="rId1"/>
    <sheet name="Raw_Data" sheetId="1" r:id="rId2"/>
    <sheet name="KPI_Calculations" sheetId="3" r:id="rId3"/>
    <sheet name="Shift_Analysis" sheetId="4" r:id="rId4"/>
    <sheet name="Product_Analysis" sheetId="5" r:id="rId5"/>
    <sheet name="Downtime_Analysis" sheetId="6" r:id="rId6"/>
    <sheet name="Dashboar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7" l="1"/>
  <c r="J4" i="7"/>
  <c r="H4" i="7"/>
  <c r="F4" i="7"/>
  <c r="D4" i="7"/>
  <c r="E4" i="7" s="1"/>
  <c r="B4" i="7"/>
  <c r="A4" i="7"/>
  <c r="C4" i="6"/>
  <c r="C5" i="6"/>
  <c r="C6" i="6"/>
  <c r="C3" i="6"/>
  <c r="C7" i="6"/>
  <c r="C2" i="6"/>
  <c r="B4" i="6"/>
  <c r="B5" i="6"/>
  <c r="B6" i="6"/>
  <c r="B3" i="6"/>
  <c r="B7" i="6"/>
  <c r="B2" i="6"/>
  <c r="E2" i="5"/>
  <c r="E3" i="5"/>
  <c r="E4" i="5"/>
  <c r="C3" i="5"/>
  <c r="C4" i="5"/>
  <c r="C2" i="5"/>
  <c r="B2" i="5"/>
  <c r="B3" i="5"/>
  <c r="B4" i="5"/>
  <c r="E3" i="4"/>
  <c r="E2" i="4"/>
  <c r="E4" i="4"/>
  <c r="C3" i="4"/>
  <c r="C4" i="4"/>
  <c r="C2" i="4"/>
  <c r="B3" i="4"/>
  <c r="B4" i="4"/>
  <c r="B2" i="4"/>
  <c r="B14" i="3"/>
  <c r="B12" i="3"/>
  <c r="B10" i="3"/>
  <c r="B8" i="3"/>
  <c r="B6" i="3"/>
  <c r="B7" i="3" s="1"/>
  <c r="B3" i="3"/>
  <c r="B4" i="3"/>
  <c r="A7" i="7" s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M5" i="1"/>
  <c r="M6" i="1"/>
  <c r="R6" i="1" s="1"/>
  <c r="M7" i="1"/>
  <c r="M8" i="1"/>
  <c r="R8" i="1" s="1"/>
  <c r="M9" i="1"/>
  <c r="R9" i="1" s="1"/>
  <c r="M10" i="1"/>
  <c r="R10" i="1" s="1"/>
  <c r="M11" i="1"/>
  <c r="M12" i="1"/>
  <c r="R12" i="1" s="1"/>
  <c r="M13" i="1"/>
  <c r="R13" i="1" s="1"/>
  <c r="M14" i="1"/>
  <c r="R14" i="1" s="1"/>
  <c r="M15" i="1"/>
  <c r="R15" i="1" s="1"/>
  <c r="M16" i="1"/>
  <c r="R16" i="1" s="1"/>
  <c r="M17" i="1"/>
  <c r="R17" i="1" s="1"/>
  <c r="M18" i="1"/>
  <c r="R18" i="1" s="1"/>
  <c r="M19" i="1"/>
  <c r="R19" i="1" s="1"/>
  <c r="M20" i="1"/>
  <c r="R20" i="1" s="1"/>
  <c r="M21" i="1"/>
  <c r="R21" i="1" s="1"/>
  <c r="M22" i="1"/>
  <c r="R22" i="1" s="1"/>
  <c r="M23" i="1"/>
  <c r="R23" i="1" s="1"/>
  <c r="M24" i="1"/>
  <c r="R24" i="1" s="1"/>
  <c r="M25" i="1"/>
  <c r="R25" i="1" s="1"/>
  <c r="M26" i="1"/>
  <c r="R26" i="1" s="1"/>
  <c r="M27" i="1"/>
  <c r="R27" i="1" s="1"/>
  <c r="M28" i="1"/>
  <c r="R28" i="1" s="1"/>
  <c r="M29" i="1"/>
  <c r="R29" i="1" s="1"/>
  <c r="M30" i="1"/>
  <c r="R30" i="1" s="1"/>
  <c r="M31" i="1"/>
  <c r="R31" i="1" s="1"/>
  <c r="M32" i="1"/>
  <c r="R32" i="1" s="1"/>
  <c r="M33" i="1"/>
  <c r="R33" i="1" s="1"/>
  <c r="M34" i="1"/>
  <c r="R34" i="1" s="1"/>
  <c r="M35" i="1"/>
  <c r="R35" i="1" s="1"/>
  <c r="M36" i="1"/>
  <c r="R36" i="1" s="1"/>
  <c r="M37" i="1"/>
  <c r="R37" i="1" s="1"/>
  <c r="M38" i="1"/>
  <c r="R38" i="1" s="1"/>
  <c r="M39" i="1"/>
  <c r="R39" i="1" s="1"/>
  <c r="M40" i="1"/>
  <c r="R40" i="1" s="1"/>
  <c r="M41" i="1"/>
  <c r="R41" i="1" s="1"/>
  <c r="M42" i="1"/>
  <c r="R42" i="1" s="1"/>
  <c r="M43" i="1"/>
  <c r="R43" i="1" s="1"/>
  <c r="M44" i="1"/>
  <c r="R44" i="1" s="1"/>
  <c r="M45" i="1"/>
  <c r="R45" i="1" s="1"/>
  <c r="M46" i="1"/>
  <c r="R46" i="1" s="1"/>
  <c r="M47" i="1"/>
  <c r="R47" i="1" s="1"/>
  <c r="M48" i="1"/>
  <c r="R48" i="1" s="1"/>
  <c r="M49" i="1"/>
  <c r="R49" i="1" s="1"/>
  <c r="M50" i="1"/>
  <c r="R50" i="1" s="1"/>
  <c r="M51" i="1"/>
  <c r="R51" i="1" s="1"/>
  <c r="M52" i="1"/>
  <c r="R52" i="1" s="1"/>
  <c r="M53" i="1"/>
  <c r="R53" i="1" s="1"/>
  <c r="M54" i="1"/>
  <c r="R54" i="1" s="1"/>
  <c r="M55" i="1"/>
  <c r="R55" i="1" s="1"/>
  <c r="M56" i="1"/>
  <c r="R56" i="1" s="1"/>
  <c r="M57" i="1"/>
  <c r="R57" i="1" s="1"/>
  <c r="M58" i="1"/>
  <c r="R58" i="1" s="1"/>
  <c r="M59" i="1"/>
  <c r="R59" i="1" s="1"/>
  <c r="M60" i="1"/>
  <c r="R60" i="1" s="1"/>
  <c r="M61" i="1"/>
  <c r="R61" i="1" s="1"/>
  <c r="M62" i="1"/>
  <c r="R62" i="1" s="1"/>
  <c r="M63" i="1"/>
  <c r="R63" i="1" s="1"/>
  <c r="M64" i="1"/>
  <c r="R64" i="1" s="1"/>
  <c r="M65" i="1"/>
  <c r="R65" i="1" s="1"/>
  <c r="M66" i="1"/>
  <c r="R66" i="1" s="1"/>
  <c r="M67" i="1"/>
  <c r="R67" i="1" s="1"/>
  <c r="M68" i="1"/>
  <c r="R68" i="1" s="1"/>
  <c r="M69" i="1"/>
  <c r="R69" i="1" s="1"/>
  <c r="M70" i="1"/>
  <c r="R70" i="1" s="1"/>
  <c r="M71" i="1"/>
  <c r="R71" i="1" s="1"/>
  <c r="M72" i="1"/>
  <c r="R72" i="1" s="1"/>
  <c r="M73" i="1"/>
  <c r="R73" i="1" s="1"/>
  <c r="M74" i="1"/>
  <c r="R74" i="1" s="1"/>
  <c r="M75" i="1"/>
  <c r="R75" i="1" s="1"/>
  <c r="M76" i="1"/>
  <c r="R76" i="1" s="1"/>
  <c r="M77" i="1"/>
  <c r="R77" i="1" s="1"/>
  <c r="M78" i="1"/>
  <c r="R78" i="1" s="1"/>
  <c r="M79" i="1"/>
  <c r="R79" i="1" s="1"/>
  <c r="M80" i="1"/>
  <c r="R80" i="1" s="1"/>
  <c r="M81" i="1"/>
  <c r="R81" i="1" s="1"/>
  <c r="M82" i="1"/>
  <c r="R82" i="1" s="1"/>
  <c r="M83" i="1"/>
  <c r="R83" i="1" s="1"/>
  <c r="M84" i="1"/>
  <c r="R84" i="1" s="1"/>
  <c r="M85" i="1"/>
  <c r="R85" i="1" s="1"/>
  <c r="M86" i="1"/>
  <c r="R86" i="1" s="1"/>
  <c r="M87" i="1"/>
  <c r="R87" i="1" s="1"/>
  <c r="M88" i="1"/>
  <c r="R88" i="1" s="1"/>
  <c r="M89" i="1"/>
  <c r="R89" i="1" s="1"/>
  <c r="M90" i="1"/>
  <c r="R90" i="1" s="1"/>
  <c r="M91" i="1"/>
  <c r="R91" i="1" s="1"/>
  <c r="M92" i="1"/>
  <c r="R92" i="1" s="1"/>
  <c r="M93" i="1"/>
  <c r="R93" i="1" s="1"/>
  <c r="M94" i="1"/>
  <c r="R94" i="1" s="1"/>
  <c r="M95" i="1"/>
  <c r="R95" i="1" s="1"/>
  <c r="M96" i="1"/>
  <c r="R96" i="1" s="1"/>
  <c r="M97" i="1"/>
  <c r="R97" i="1" s="1"/>
  <c r="M98" i="1"/>
  <c r="R98" i="1" s="1"/>
  <c r="M99" i="1"/>
  <c r="R99" i="1" s="1"/>
  <c r="M100" i="1"/>
  <c r="R100" i="1" s="1"/>
  <c r="M101" i="1"/>
  <c r="R101" i="1" s="1"/>
  <c r="M102" i="1"/>
  <c r="R102" i="1" s="1"/>
  <c r="M103" i="1"/>
  <c r="R103" i="1" s="1"/>
  <c r="M104" i="1"/>
  <c r="R104" i="1" s="1"/>
  <c r="M105" i="1"/>
  <c r="R105" i="1" s="1"/>
  <c r="M106" i="1"/>
  <c r="R106" i="1" s="1"/>
  <c r="M107" i="1"/>
  <c r="R107" i="1" s="1"/>
  <c r="M108" i="1"/>
  <c r="R108" i="1" s="1"/>
  <c r="M109" i="1"/>
  <c r="R109" i="1" s="1"/>
  <c r="M110" i="1"/>
  <c r="R110" i="1" s="1"/>
  <c r="M111" i="1"/>
  <c r="R111" i="1" s="1"/>
  <c r="M112" i="1"/>
  <c r="R112" i="1" s="1"/>
  <c r="M113" i="1"/>
  <c r="R113" i="1" s="1"/>
  <c r="M114" i="1"/>
  <c r="R114" i="1" s="1"/>
  <c r="M115" i="1"/>
  <c r="R115" i="1" s="1"/>
  <c r="M116" i="1"/>
  <c r="R116" i="1" s="1"/>
  <c r="M117" i="1"/>
  <c r="R117" i="1" s="1"/>
  <c r="M118" i="1"/>
  <c r="R118" i="1" s="1"/>
  <c r="M119" i="1"/>
  <c r="R119" i="1" s="1"/>
  <c r="M120" i="1"/>
  <c r="R120" i="1" s="1"/>
  <c r="M121" i="1"/>
  <c r="R121" i="1" s="1"/>
  <c r="M122" i="1"/>
  <c r="R122" i="1" s="1"/>
  <c r="M123" i="1"/>
  <c r="R123" i="1" s="1"/>
  <c r="M124" i="1"/>
  <c r="R124" i="1" s="1"/>
  <c r="M125" i="1"/>
  <c r="R125" i="1" s="1"/>
  <c r="M126" i="1"/>
  <c r="R126" i="1" s="1"/>
  <c r="M127" i="1"/>
  <c r="R127" i="1" s="1"/>
  <c r="M128" i="1"/>
  <c r="R128" i="1" s="1"/>
  <c r="M129" i="1"/>
  <c r="R129" i="1" s="1"/>
  <c r="M130" i="1"/>
  <c r="R130" i="1" s="1"/>
  <c r="M131" i="1"/>
  <c r="R131" i="1" s="1"/>
  <c r="M132" i="1"/>
  <c r="R132" i="1" s="1"/>
  <c r="M133" i="1"/>
  <c r="R133" i="1" s="1"/>
  <c r="M134" i="1"/>
  <c r="R134" i="1" s="1"/>
  <c r="M135" i="1"/>
  <c r="R135" i="1" s="1"/>
  <c r="M136" i="1"/>
  <c r="R136" i="1" s="1"/>
  <c r="M137" i="1"/>
  <c r="R137" i="1" s="1"/>
  <c r="M138" i="1"/>
  <c r="R138" i="1" s="1"/>
  <c r="M139" i="1"/>
  <c r="R139" i="1" s="1"/>
  <c r="M140" i="1"/>
  <c r="R140" i="1" s="1"/>
  <c r="M141" i="1"/>
  <c r="R141" i="1" s="1"/>
  <c r="M142" i="1"/>
  <c r="R142" i="1" s="1"/>
  <c r="M143" i="1"/>
  <c r="R143" i="1" s="1"/>
  <c r="M144" i="1"/>
  <c r="R144" i="1" s="1"/>
  <c r="M145" i="1"/>
  <c r="R145" i="1" s="1"/>
  <c r="M146" i="1"/>
  <c r="R146" i="1" s="1"/>
  <c r="M147" i="1"/>
  <c r="R147" i="1" s="1"/>
  <c r="M148" i="1"/>
  <c r="R148" i="1" s="1"/>
  <c r="M149" i="1"/>
  <c r="R149" i="1" s="1"/>
  <c r="M150" i="1"/>
  <c r="R150" i="1" s="1"/>
  <c r="M151" i="1"/>
  <c r="R151" i="1" s="1"/>
  <c r="M152" i="1"/>
  <c r="R152" i="1" s="1"/>
  <c r="M153" i="1"/>
  <c r="R153" i="1" s="1"/>
  <c r="M154" i="1"/>
  <c r="R154" i="1" s="1"/>
  <c r="M155" i="1"/>
  <c r="R155" i="1" s="1"/>
  <c r="M156" i="1"/>
  <c r="R156" i="1" s="1"/>
  <c r="M157" i="1"/>
  <c r="R157" i="1" s="1"/>
  <c r="M158" i="1"/>
  <c r="R158" i="1" s="1"/>
  <c r="M159" i="1"/>
  <c r="R159" i="1" s="1"/>
  <c r="M160" i="1"/>
  <c r="R160" i="1" s="1"/>
  <c r="M161" i="1"/>
  <c r="R161" i="1" s="1"/>
  <c r="M162" i="1"/>
  <c r="R162" i="1" s="1"/>
  <c r="M163" i="1"/>
  <c r="R163" i="1" s="1"/>
  <c r="M164" i="1"/>
  <c r="R164" i="1" s="1"/>
  <c r="M165" i="1"/>
  <c r="R165" i="1" s="1"/>
  <c r="M166" i="1"/>
  <c r="R166" i="1" s="1"/>
  <c r="M167" i="1"/>
  <c r="R167" i="1" s="1"/>
  <c r="M168" i="1"/>
  <c r="R168" i="1" s="1"/>
  <c r="M169" i="1"/>
  <c r="R169" i="1" s="1"/>
  <c r="M170" i="1"/>
  <c r="R170" i="1" s="1"/>
  <c r="M171" i="1"/>
  <c r="R171" i="1" s="1"/>
  <c r="M172" i="1"/>
  <c r="R172" i="1" s="1"/>
  <c r="M173" i="1"/>
  <c r="R173" i="1" s="1"/>
  <c r="M174" i="1"/>
  <c r="R174" i="1" s="1"/>
  <c r="M175" i="1"/>
  <c r="R175" i="1" s="1"/>
  <c r="M176" i="1"/>
  <c r="R176" i="1" s="1"/>
  <c r="M177" i="1"/>
  <c r="R177" i="1" s="1"/>
  <c r="M178" i="1"/>
  <c r="R178" i="1" s="1"/>
  <c r="M179" i="1"/>
  <c r="R179" i="1" s="1"/>
  <c r="M180" i="1"/>
  <c r="R180" i="1" s="1"/>
  <c r="M181" i="1"/>
  <c r="R181" i="1" s="1"/>
  <c r="M182" i="1"/>
  <c r="R182" i="1" s="1"/>
  <c r="M183" i="1"/>
  <c r="R183" i="1" s="1"/>
  <c r="M184" i="1"/>
  <c r="R184" i="1" s="1"/>
  <c r="M185" i="1"/>
  <c r="R185" i="1" s="1"/>
  <c r="M186" i="1"/>
  <c r="R186" i="1" s="1"/>
  <c r="M187" i="1"/>
  <c r="R187" i="1" s="1"/>
  <c r="M188" i="1"/>
  <c r="R188" i="1" s="1"/>
  <c r="M189" i="1"/>
  <c r="R189" i="1" s="1"/>
  <c r="M190" i="1"/>
  <c r="R190" i="1" s="1"/>
  <c r="M191" i="1"/>
  <c r="R191" i="1" s="1"/>
  <c r="M192" i="1"/>
  <c r="R192" i="1" s="1"/>
  <c r="M193" i="1"/>
  <c r="R193" i="1" s="1"/>
  <c r="M194" i="1"/>
  <c r="R194" i="1" s="1"/>
  <c r="M195" i="1"/>
  <c r="R195" i="1" s="1"/>
  <c r="M196" i="1"/>
  <c r="R196" i="1" s="1"/>
  <c r="M197" i="1"/>
  <c r="R197" i="1" s="1"/>
  <c r="M198" i="1"/>
  <c r="R198" i="1" s="1"/>
  <c r="M199" i="1"/>
  <c r="R199" i="1" s="1"/>
  <c r="M200" i="1"/>
  <c r="R200" i="1" s="1"/>
  <c r="M201" i="1"/>
  <c r="R201" i="1" s="1"/>
  <c r="M202" i="1"/>
  <c r="R202" i="1" s="1"/>
  <c r="M203" i="1"/>
  <c r="R203" i="1" s="1"/>
  <c r="M204" i="1"/>
  <c r="R204" i="1" s="1"/>
  <c r="M205" i="1"/>
  <c r="R205" i="1" s="1"/>
  <c r="M206" i="1"/>
  <c r="R206" i="1" s="1"/>
  <c r="M207" i="1"/>
  <c r="R207" i="1" s="1"/>
  <c r="M208" i="1"/>
  <c r="R208" i="1" s="1"/>
  <c r="M209" i="1"/>
  <c r="R209" i="1" s="1"/>
  <c r="M210" i="1"/>
  <c r="R210" i="1" s="1"/>
  <c r="M211" i="1"/>
  <c r="R211" i="1" s="1"/>
  <c r="M212" i="1"/>
  <c r="R212" i="1" s="1"/>
  <c r="M213" i="1"/>
  <c r="R213" i="1" s="1"/>
  <c r="M214" i="1"/>
  <c r="R214" i="1" s="1"/>
  <c r="M215" i="1"/>
  <c r="R215" i="1" s="1"/>
  <c r="M216" i="1"/>
  <c r="R216" i="1" s="1"/>
  <c r="M217" i="1"/>
  <c r="R217" i="1" s="1"/>
  <c r="M218" i="1"/>
  <c r="R218" i="1" s="1"/>
  <c r="M219" i="1"/>
  <c r="R219" i="1" s="1"/>
  <c r="M220" i="1"/>
  <c r="R220" i="1" s="1"/>
  <c r="M221" i="1"/>
  <c r="R221" i="1" s="1"/>
  <c r="M222" i="1"/>
  <c r="R222" i="1" s="1"/>
  <c r="M223" i="1"/>
  <c r="R223" i="1" s="1"/>
  <c r="M224" i="1"/>
  <c r="R224" i="1" s="1"/>
  <c r="M225" i="1"/>
  <c r="R225" i="1" s="1"/>
  <c r="M226" i="1"/>
  <c r="R226" i="1" s="1"/>
  <c r="M227" i="1"/>
  <c r="R227" i="1" s="1"/>
  <c r="M228" i="1"/>
  <c r="R228" i="1" s="1"/>
  <c r="M229" i="1"/>
  <c r="R229" i="1" s="1"/>
  <c r="M230" i="1"/>
  <c r="R230" i="1" s="1"/>
  <c r="M231" i="1"/>
  <c r="R231" i="1" s="1"/>
  <c r="M232" i="1"/>
  <c r="R232" i="1" s="1"/>
  <c r="M233" i="1"/>
  <c r="R233" i="1" s="1"/>
  <c r="M234" i="1"/>
  <c r="R234" i="1" s="1"/>
  <c r="M235" i="1"/>
  <c r="R235" i="1" s="1"/>
  <c r="M236" i="1"/>
  <c r="R236" i="1" s="1"/>
  <c r="M237" i="1"/>
  <c r="R237" i="1" s="1"/>
  <c r="M238" i="1"/>
  <c r="R238" i="1" s="1"/>
  <c r="M239" i="1"/>
  <c r="R239" i="1" s="1"/>
  <c r="M240" i="1"/>
  <c r="R240" i="1" s="1"/>
  <c r="M241" i="1"/>
  <c r="R241" i="1" s="1"/>
  <c r="M242" i="1"/>
  <c r="R242" i="1" s="1"/>
  <c r="M243" i="1"/>
  <c r="R243" i="1" s="1"/>
  <c r="M244" i="1"/>
  <c r="R244" i="1" s="1"/>
  <c r="M245" i="1"/>
  <c r="R245" i="1" s="1"/>
  <c r="M246" i="1"/>
  <c r="R246" i="1" s="1"/>
  <c r="M247" i="1"/>
  <c r="R247" i="1" s="1"/>
  <c r="M248" i="1"/>
  <c r="R248" i="1" s="1"/>
  <c r="M249" i="1"/>
  <c r="R249" i="1" s="1"/>
  <c r="M250" i="1"/>
  <c r="R250" i="1" s="1"/>
  <c r="M251" i="1"/>
  <c r="R251" i="1" s="1"/>
  <c r="M252" i="1"/>
  <c r="R252" i="1" s="1"/>
  <c r="M253" i="1"/>
  <c r="R253" i="1" s="1"/>
  <c r="M254" i="1"/>
  <c r="R254" i="1" s="1"/>
  <c r="M255" i="1"/>
  <c r="R255" i="1" s="1"/>
  <c r="M256" i="1"/>
  <c r="R256" i="1" s="1"/>
  <c r="M257" i="1"/>
  <c r="R257" i="1" s="1"/>
  <c r="M258" i="1"/>
  <c r="R258" i="1" s="1"/>
  <c r="M259" i="1"/>
  <c r="R259" i="1" s="1"/>
  <c r="M260" i="1"/>
  <c r="R260" i="1" s="1"/>
  <c r="M261" i="1"/>
  <c r="R261" i="1" s="1"/>
  <c r="M262" i="1"/>
  <c r="R262" i="1" s="1"/>
  <c r="M263" i="1"/>
  <c r="R263" i="1" s="1"/>
  <c r="M264" i="1"/>
  <c r="R264" i="1" s="1"/>
  <c r="M265" i="1"/>
  <c r="R265" i="1" s="1"/>
  <c r="M266" i="1"/>
  <c r="R266" i="1" s="1"/>
  <c r="M267" i="1"/>
  <c r="R267" i="1" s="1"/>
  <c r="M268" i="1"/>
  <c r="R268" i="1" s="1"/>
  <c r="M269" i="1"/>
  <c r="R269" i="1" s="1"/>
  <c r="M270" i="1"/>
  <c r="R270" i="1" s="1"/>
  <c r="M271" i="1"/>
  <c r="R271" i="1" s="1"/>
  <c r="M272" i="1"/>
  <c r="R272" i="1" s="1"/>
  <c r="M273" i="1"/>
  <c r="R273" i="1" s="1"/>
  <c r="M274" i="1"/>
  <c r="R274" i="1" s="1"/>
  <c r="B8" i="6" l="1"/>
  <c r="C4" i="7"/>
  <c r="C8" i="6"/>
  <c r="I7" i="7"/>
  <c r="C5" i="4"/>
  <c r="I4" i="7"/>
  <c r="K4" i="7"/>
  <c r="G4" i="7"/>
  <c r="D2" i="6"/>
  <c r="D5" i="6"/>
  <c r="D7" i="6"/>
  <c r="D4" i="6"/>
  <c r="D3" i="6"/>
  <c r="D6" i="6"/>
  <c r="G2" i="4"/>
  <c r="D2" i="5"/>
  <c r="D4" i="5"/>
  <c r="F2" i="5"/>
  <c r="F4" i="5"/>
  <c r="G2" i="5"/>
  <c r="G4" i="4"/>
  <c r="B11" i="3"/>
  <c r="L7" i="7" s="1"/>
  <c r="B9" i="3"/>
  <c r="B5" i="5"/>
  <c r="F3" i="4"/>
  <c r="F3" i="5"/>
  <c r="G3" i="4"/>
  <c r="E5" i="4"/>
  <c r="C5" i="5"/>
  <c r="B5" i="3"/>
  <c r="E7" i="7" s="1"/>
  <c r="F4" i="4"/>
  <c r="H2" i="5"/>
  <c r="R5" i="1"/>
  <c r="B13" i="3"/>
  <c r="B5" i="4"/>
  <c r="D4" i="4"/>
  <c r="D3" i="5"/>
  <c r="G4" i="5"/>
  <c r="H3" i="5"/>
  <c r="D2" i="4"/>
  <c r="H4" i="5"/>
  <c r="R11" i="1"/>
  <c r="R7" i="1"/>
  <c r="D3" i="4"/>
  <c r="G3" i="5"/>
  <c r="F2" i="4"/>
  <c r="E5" i="5"/>
  <c r="D5" i="5" l="1"/>
  <c r="F5" i="4"/>
  <c r="D8" i="6"/>
  <c r="F5" i="5"/>
  <c r="G5" i="5"/>
  <c r="H5" i="5"/>
  <c r="G5" i="4"/>
  <c r="D5" i="4"/>
</calcChain>
</file>

<file path=xl/sharedStrings.xml><?xml version="1.0" encoding="utf-8"?>
<sst xmlns="http://schemas.openxmlformats.org/spreadsheetml/2006/main" count="927" uniqueCount="94">
  <si>
    <t>Industrial Production Dataset | 90 Days | 270 Production Records</t>
  </si>
  <si>
    <t>Record_ID</t>
  </si>
  <si>
    <t>Date</t>
  </si>
  <si>
    <t>Shift</t>
  </si>
  <si>
    <t>Product</t>
  </si>
  <si>
    <t>Target_Production_t</t>
  </si>
  <si>
    <t>Actual_Production_t</t>
  </si>
  <si>
    <t>Downtime_hr</t>
  </si>
  <si>
    <t>Downtime_Reason</t>
  </si>
  <si>
    <t>Raw_Material_t</t>
  </si>
  <si>
    <t>Energy_kWh</t>
  </si>
  <si>
    <t>Defects_t</t>
  </si>
  <si>
    <t>Operators</t>
  </si>
  <si>
    <t>Day</t>
  </si>
  <si>
    <t>OPC</t>
  </si>
  <si>
    <t>Mechanical Failure</t>
  </si>
  <si>
    <t>Evening</t>
  </si>
  <si>
    <t>PPC</t>
  </si>
  <si>
    <t>Night</t>
  </si>
  <si>
    <t>SRC</t>
  </si>
  <si>
    <t>Planned Maintenance</t>
  </si>
  <si>
    <t>Quality Issue</t>
  </si>
  <si>
    <t>Electrical Failure</t>
  </si>
  <si>
    <t>No Downtime</t>
  </si>
  <si>
    <t>Raw Material Shortage</t>
  </si>
  <si>
    <t>PRODUCTION ANALYSIS — EXCEL PROJECT</t>
  </si>
  <si>
    <t>Project Goal</t>
  </si>
  <si>
    <t>Analyze production performance, identify losses, and recommend improvement actions.</t>
  </si>
  <si>
    <t>Scenario</t>
  </si>
  <si>
    <t>You are a Production Engineer responsible for monitoring an industrial production line.</t>
  </si>
  <si>
    <t>Dataset</t>
  </si>
  <si>
    <t>90 days × 3 shifts = 270 production records.</t>
  </si>
  <si>
    <t>Step 1</t>
  </si>
  <si>
    <t>Clean and understand the Raw_Data sheet. Check data types, missing values, duplicates and unusual values.</t>
  </si>
  <si>
    <t>Step 2</t>
  </si>
  <si>
    <t>Calculate Production Achievement %, Efficiency %, Material per Ton, Energy per Ton and Defect Rate %.</t>
  </si>
  <si>
    <t>Step 3</t>
  </si>
  <si>
    <t>Build Pivot Tables for production by date, shift, product and downtime reason.</t>
  </si>
  <si>
    <t>Step 4</t>
  </si>
  <si>
    <t>Identify the main causes of downtime and quantify their contribution.</t>
  </si>
  <si>
    <t>Step 5</t>
  </si>
  <si>
    <t>Compare Day, Evening and Night shifts.</t>
  </si>
  <si>
    <t>Step 6</t>
  </si>
  <si>
    <t>Compare OPC, PPC and SRC performance.</t>
  </si>
  <si>
    <t>Step 7</t>
  </si>
  <si>
    <t>Find periods/products/shifts with production below target.</t>
  </si>
  <si>
    <t>Step 8</t>
  </si>
  <si>
    <t>Build a management dashboard.</t>
  </si>
  <si>
    <t>Step 9</t>
  </si>
  <si>
    <t>Write 5 key findings based only on the data.</t>
  </si>
  <si>
    <t>Step 10</t>
  </si>
  <si>
    <t>Write 3 practical recommendations for improving production performance.</t>
  </si>
  <si>
    <t>KPI CALCULATION LAYER</t>
  </si>
  <si>
    <t>Total Target Production (t)</t>
  </si>
  <si>
    <t>Total Actual Production (t)</t>
  </si>
  <si>
    <t>Overall Achievement %</t>
  </si>
  <si>
    <t>Total Downtime (hr)</t>
  </si>
  <si>
    <t>Average Downtime / Record (hr)</t>
  </si>
  <si>
    <t>Total Raw Material (t)</t>
  </si>
  <si>
    <t>Material / Ton Produced</t>
  </si>
  <si>
    <t>Total Energy (kWh)</t>
  </si>
  <si>
    <t>Energy / Ton Produced</t>
  </si>
  <si>
    <t>Total Defects (t)</t>
  </si>
  <si>
    <t>Defect Rate %</t>
  </si>
  <si>
    <t>Average Operators / Shift</t>
  </si>
  <si>
    <t>Target (t)</t>
  </si>
  <si>
    <t>Actual (t)</t>
  </si>
  <si>
    <t>Achievement %</t>
  </si>
  <si>
    <t>Downtime (hr)</t>
  </si>
  <si>
    <t>Energy/ton</t>
  </si>
  <si>
    <t>Material/ton</t>
  </si>
  <si>
    <t>Downtime Reason</t>
  </si>
  <si>
    <t>Occurrences</t>
  </si>
  <si>
    <t>Total Hours</t>
  </si>
  <si>
    <t>% of Downtime</t>
  </si>
  <si>
    <t>PRODUCTION PERFORMANCE DASHBOARD</t>
  </si>
  <si>
    <t>Total Production (t)</t>
  </si>
  <si>
    <t>Target Achievement</t>
  </si>
  <si>
    <t>Energy / Ton</t>
  </si>
  <si>
    <t>Management Focus</t>
  </si>
  <si>
    <t>1. Identify the top downtime contributor.</t>
  </si>
  <si>
    <t>2. Compare shift performance.</t>
  </si>
  <si>
    <t>3. Compare product efficiency.</t>
  </si>
  <si>
    <t>4. Investigate below-target periods.</t>
  </si>
  <si>
    <t>5. Recommend corrective actions.</t>
  </si>
  <si>
    <t xml:space="preserve"> </t>
  </si>
  <si>
    <t>CEMENT PRODUCTION ANALYSIS PROJECT</t>
  </si>
  <si>
    <t>Achievement%</t>
  </si>
  <si>
    <t>Effiency%</t>
  </si>
  <si>
    <t>Mat. Per Ton</t>
  </si>
  <si>
    <t>Energy Per Ton</t>
  </si>
  <si>
    <t>Defect Rate%</t>
  </si>
  <si>
    <t>Status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</si>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</sst>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0.0"/>
  </numFmts>
  <fonts count="14" x14ac:knownFonts="1">
    <font>
      <sz val="11"/>
      <color theme="1"/>
      <name val="Calibri"/>
      <family val="2"/>
      <scheme val="minor"/>
    </font>
    <font>
      <b/>
      <sz val="18"/>
      <name val="Calibri"/>
    </font>
    <font>
      <i/>
      <sz val="11"/>
      <name val="Calibri"/>
    </font>
    <font>
      <b/>
      <sz val="11"/>
      <name val="Calibri"/>
    </font>
    <font>
      <b/>
      <sz val="11"/>
      <name val="Calibri"/>
    </font>
    <font>
      <b/>
      <sz val="16"/>
      <name val="Calibri"/>
    </font>
    <font>
      <b/>
      <sz val="13"/>
      <name val="Calibri"/>
    </font>
    <font>
      <b/>
      <sz val="14"/>
      <name val="Calibri"/>
      <family val="2"/>
    </font>
    <font>
      <sz val="14"/>
      <color theme="1"/>
      <name val="Calibri"/>
      <family val="2"/>
      <scheme val="minor"/>
    </font>
    <font>
      <b/>
      <sz val="18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20"/>
      <color theme="3" tint="-0.499984740745262"/>
      <name val="Calibri"/>
      <family val="2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medium">
        <color indexed="64"/>
      </left>
      <right/>
      <top style="medium">
        <color indexed="64"/>
      </top>
      <bottom style="thin">
        <color rgb="FFB7B7B7"/>
      </bottom>
      <diagonal/>
    </border>
    <border>
      <left/>
      <right style="medium">
        <color indexed="64"/>
      </right>
      <top style="medium">
        <color indexed="64"/>
      </top>
      <bottom style="thin">
        <color rgb="FFB7B7B7"/>
      </bottom>
      <diagonal/>
    </border>
    <border>
      <left style="medium">
        <color indexed="64"/>
      </left>
      <right/>
      <top/>
      <bottom style="thin">
        <color rgb="FFB7B7B7"/>
      </bottom>
      <diagonal/>
    </border>
    <border>
      <left/>
      <right style="medium">
        <color indexed="64"/>
      </right>
      <top/>
      <bottom style="thin">
        <color rgb="FFB7B7B7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B7B7B7"/>
      </bottom>
      <diagonal/>
    </border>
    <border>
      <left style="thin">
        <color theme="0"/>
      </left>
      <right/>
      <top style="thin">
        <color theme="0"/>
      </top>
      <bottom style="thin">
        <color rgb="FFB7B7B7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B7B7B7"/>
      </bottom>
      <diagonal/>
    </border>
    <border>
      <left style="medium">
        <color indexed="64"/>
      </left>
      <right style="medium">
        <color indexed="64"/>
      </right>
      <top style="thin">
        <color rgb="FFB7B7B7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rgb="FFB7B7B7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B7B7B7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164" fontId="0" fillId="0" borderId="0" xfId="0" applyNumberFormat="1"/>
    <xf numFmtId="166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7" fillId="0" borderId="0" xfId="0" applyFont="1"/>
    <xf numFmtId="0" fontId="8" fillId="0" borderId="0" xfId="0" applyFont="1"/>
    <xf numFmtId="0" fontId="0" fillId="0" borderId="0" xfId="0" applyAlignment="1">
      <alignment vertical="center"/>
    </xf>
    <xf numFmtId="0" fontId="8" fillId="2" borderId="0" xfId="0" applyFont="1" applyFill="1"/>
    <xf numFmtId="0" fontId="8" fillId="3" borderId="0" xfId="0" applyFont="1" applyFill="1"/>
    <xf numFmtId="0" fontId="8" fillId="4" borderId="0" xfId="0" applyFont="1" applyFill="1"/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1" fillId="0" borderId="0" xfId="0" applyFont="1"/>
    <xf numFmtId="165" fontId="0" fillId="0" borderId="0" xfId="1" applyNumberFormat="1" applyFont="1"/>
    <xf numFmtId="2" fontId="0" fillId="0" borderId="0" xfId="0" applyNumberFormat="1"/>
    <xf numFmtId="10" fontId="0" fillId="0" borderId="0" xfId="0" applyNumberFormat="1"/>
    <xf numFmtId="0" fontId="3" fillId="6" borderId="2" xfId="0" applyFont="1" applyFill="1" applyBorder="1" applyAlignment="1">
      <alignment vertical="center"/>
    </xf>
    <xf numFmtId="166" fontId="3" fillId="5" borderId="3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66" fontId="3" fillId="5" borderId="5" xfId="0" applyNumberFormat="1" applyFont="1" applyFill="1" applyBorder="1" applyAlignment="1">
      <alignment vertical="center"/>
    </xf>
    <xf numFmtId="165" fontId="3" fillId="5" borderId="5" xfId="0" applyNumberFormat="1" applyFont="1" applyFill="1" applyBorder="1" applyAlignment="1">
      <alignment vertical="center"/>
    </xf>
    <xf numFmtId="166" fontId="11" fillId="5" borderId="5" xfId="0" applyNumberFormat="1" applyFont="1" applyFill="1" applyBorder="1" applyAlignment="1">
      <alignment vertical="center"/>
    </xf>
    <xf numFmtId="0" fontId="3" fillId="6" borderId="6" xfId="0" applyFont="1" applyFill="1" applyBorder="1" applyAlignment="1">
      <alignment vertical="center"/>
    </xf>
    <xf numFmtId="166" fontId="3" fillId="5" borderId="7" xfId="0" applyNumberFormat="1" applyFont="1" applyFill="1" applyBorder="1" applyAlignment="1">
      <alignment vertical="center"/>
    </xf>
    <xf numFmtId="0" fontId="0" fillId="0" borderId="0" xfId="0" applyBorder="1" applyAlignment="1">
      <alignment vertical="center"/>
    </xf>
    <xf numFmtId="9" fontId="0" fillId="0" borderId="1" xfId="1" applyFont="1" applyBorder="1" applyAlignment="1">
      <alignment vertical="center"/>
    </xf>
    <xf numFmtId="9" fontId="0" fillId="0" borderId="0" xfId="1" applyFont="1" applyBorder="1" applyAlignment="1">
      <alignment vertical="center"/>
    </xf>
    <xf numFmtId="9" fontId="10" fillId="0" borderId="0" xfId="0" applyNumberFormat="1" applyFont="1" applyBorder="1" applyAlignment="1">
      <alignment vertical="center"/>
    </xf>
    <xf numFmtId="10" fontId="0" fillId="0" borderId="0" xfId="1" applyNumberFormat="1" applyFont="1" applyBorder="1" applyAlignment="1">
      <alignment vertical="center"/>
    </xf>
    <xf numFmtId="10" fontId="0" fillId="0" borderId="1" xfId="1" applyNumberFormat="1" applyFont="1" applyBorder="1" applyAlignment="1">
      <alignment vertical="center"/>
    </xf>
    <xf numFmtId="10" fontId="10" fillId="0" borderId="0" xfId="1" applyNumberFormat="1" applyFont="1" applyBorder="1" applyAlignment="1">
      <alignment vertical="center"/>
    </xf>
    <xf numFmtId="10" fontId="3" fillId="5" borderId="5" xfId="0" applyNumberFormat="1" applyFont="1" applyFill="1" applyBorder="1" applyAlignment="1">
      <alignment vertical="center"/>
    </xf>
    <xf numFmtId="0" fontId="0" fillId="7" borderId="8" xfId="0" applyFont="1" applyFill="1" applyBorder="1" applyAlignment="1">
      <alignment vertical="center"/>
    </xf>
    <xf numFmtId="9" fontId="0" fillId="7" borderId="8" xfId="1" applyNumberFormat="1" applyFont="1" applyFill="1" applyBorder="1" applyAlignment="1">
      <alignment vertical="center"/>
    </xf>
    <xf numFmtId="2" fontId="0" fillId="7" borderId="9" xfId="1" applyNumberFormat="1" applyFont="1" applyFill="1" applyBorder="1" applyAlignment="1">
      <alignment vertical="center"/>
    </xf>
    <xf numFmtId="2" fontId="0" fillId="7" borderId="8" xfId="0" applyNumberFormat="1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0" fillId="8" borderId="0" xfId="0" applyFill="1" applyBorder="1"/>
    <xf numFmtId="9" fontId="0" fillId="8" borderId="0" xfId="0" applyNumberFormat="1" applyFill="1" applyBorder="1"/>
    <xf numFmtId="2" fontId="0" fillId="8" borderId="0" xfId="0" applyNumberFormat="1" applyFill="1" applyBorder="1"/>
    <xf numFmtId="10" fontId="0" fillId="8" borderId="0" xfId="0" applyNumberFormat="1" applyFill="1" applyBorder="1"/>
    <xf numFmtId="0" fontId="0" fillId="8" borderId="0" xfId="0" applyFont="1" applyFill="1" applyBorder="1" applyAlignment="1">
      <alignment vertical="center"/>
    </xf>
    <xf numFmtId="165" fontId="0" fillId="0" borderId="0" xfId="0" applyNumberFormat="1" applyBorder="1" applyAlignment="1">
      <alignment vertical="center"/>
    </xf>
    <xf numFmtId="166" fontId="3" fillId="5" borderId="7" xfId="0" applyNumberFormat="1" applyFont="1" applyFill="1" applyBorder="1" applyAlignment="1">
      <alignment horizontal="center" vertical="center"/>
    </xf>
    <xf numFmtId="166" fontId="3" fillId="5" borderId="11" xfId="0" applyNumberFormat="1" applyFont="1" applyFill="1" applyBorder="1" applyAlignment="1">
      <alignment horizontal="center" vertical="center"/>
    </xf>
    <xf numFmtId="166" fontId="3" fillId="5" borderId="12" xfId="0" applyNumberFormat="1" applyFont="1" applyFill="1" applyBorder="1" applyAlignment="1">
      <alignment horizontal="center" vertical="center"/>
    </xf>
    <xf numFmtId="165" fontId="3" fillId="5" borderId="12" xfId="0" applyNumberFormat="1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166" fontId="3" fillId="5" borderId="14" xfId="0" applyNumberFormat="1" applyFont="1" applyFill="1" applyBorder="1" applyAlignment="1">
      <alignment horizontal="center" vertical="center"/>
    </xf>
    <xf numFmtId="165" fontId="3" fillId="5" borderId="14" xfId="0" applyNumberFormat="1" applyFont="1" applyFill="1" applyBorder="1" applyAlignment="1">
      <alignment horizontal="center" vertical="center"/>
    </xf>
    <xf numFmtId="166" fontId="11" fillId="5" borderId="14" xfId="0" applyNumberFormat="1" applyFont="1" applyFill="1" applyBorder="1" applyAlignment="1">
      <alignment horizontal="center" vertical="center"/>
    </xf>
    <xf numFmtId="166" fontId="11" fillId="5" borderId="12" xfId="0" applyNumberFormat="1" applyFont="1" applyFill="1" applyBorder="1" applyAlignment="1">
      <alignment horizontal="center" vertical="center"/>
    </xf>
    <xf numFmtId="10" fontId="3" fillId="5" borderId="14" xfId="0" applyNumberFormat="1" applyFont="1" applyFill="1" applyBorder="1" applyAlignment="1">
      <alignment horizontal="center" vertical="center"/>
    </xf>
    <xf numFmtId="10" fontId="3" fillId="5" borderId="12" xfId="0" applyNumberFormat="1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166" fontId="3" fillId="5" borderId="16" xfId="0" applyNumberFormat="1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 wrapText="1"/>
    </xf>
    <xf numFmtId="166" fontId="3" fillId="5" borderId="17" xfId="0" applyNumberFormat="1" applyFont="1" applyFill="1" applyBorder="1" applyAlignment="1">
      <alignment horizontal="center" vertical="center"/>
    </xf>
    <xf numFmtId="0" fontId="12" fillId="9" borderId="10" xfId="0" applyFont="1" applyFill="1" applyBorder="1" applyAlignment="1">
      <alignment horizontal="center" vertical="center"/>
    </xf>
    <xf numFmtId="166" fontId="5" fillId="0" borderId="12" xfId="0" applyNumberFormat="1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165" fontId="5" fillId="0" borderId="12" xfId="0" applyNumberFormat="1" applyFont="1" applyBorder="1" applyAlignment="1">
      <alignment horizontal="center" vertical="center"/>
    </xf>
    <xf numFmtId="166" fontId="5" fillId="0" borderId="0" xfId="0" applyNumberFormat="1" applyFont="1" applyBorder="1" applyAlignment="1">
      <alignment horizontal="center" vertical="center"/>
    </xf>
    <xf numFmtId="165" fontId="5" fillId="0" borderId="0" xfId="0" applyNumberFormat="1" applyFont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3" fillId="8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0" fontId="0" fillId="0" borderId="0" xfId="0" applyFill="1"/>
    <xf numFmtId="0" fontId="13" fillId="8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67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numFmt numFmtId="165" formatCode="0.0%"/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5" formatCode="0.0%"/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B7B7B7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B7B7B7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B7B7B7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B7B7B7"/>
        </bottom>
        <vertical/>
        <horizontal/>
      </border>
    </dxf>
    <dxf>
      <border outline="0"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 val="0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249977111117893"/>
        </patternFill>
      </fill>
    </dxf>
    <dxf>
      <numFmt numFmtId="14" formatCode="0.00%"/>
      <fill>
        <patternFill patternType="solid">
          <fgColor indexed="64"/>
          <bgColor theme="0" tint="-0.249977111117893"/>
        </patternFill>
      </fill>
    </dxf>
    <dxf>
      <numFmt numFmtId="2" formatCode="0.00"/>
      <fill>
        <patternFill patternType="solid">
          <fgColor indexed="64"/>
          <bgColor theme="0" tint="-0.249977111117893"/>
        </patternFill>
      </fill>
    </dxf>
    <dxf>
      <numFmt numFmtId="2" formatCode="0.00"/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numFmt numFmtId="13" formatCode="0%"/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B7B7B7"/>
        </bottom>
        <vertical/>
        <horizontal/>
      </border>
    </dxf>
    <dxf>
      <numFmt numFmtId="2" formatCode="0.00"/>
      <border outline="0">
        <right style="thin">
          <color theme="0"/>
        </right>
      </border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B7B7B7"/>
        </bottom>
        <vertical/>
        <horizontal/>
      </border>
    </dxf>
    <dxf>
      <border outline="0"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4" formatCode="0.00%"/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B7B7B7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B7B7B7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B7B7B7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B7B7B7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B7B7B7"/>
        </bottom>
        <vertical/>
        <horizontal/>
      </border>
    </dxf>
    <dxf>
      <border outline="0">
        <bottom style="thin">
          <color rgb="FFB7B7B7"/>
        </bottom>
      </border>
    </dxf>
    <dxf>
      <border outline="0">
        <bottom style="thin">
          <color rgb="FFB7B7B7"/>
        </bottom>
      </border>
    </dxf>
    <dxf>
      <numFmt numFmtId="0" formatCode="General"/>
    </dxf>
    <dxf>
      <numFmt numFmtId="14" formatCode="0.00%"/>
    </dxf>
    <dxf>
      <numFmt numFmtId="2" formatCode="0.00"/>
    </dxf>
    <dxf>
      <numFmt numFmtId="166" formatCode="0.0"/>
    </dxf>
    <dxf>
      <numFmt numFmtId="165" formatCode="0.0%"/>
    </dxf>
    <dxf>
      <numFmt numFmtId="165" formatCode="0.0%"/>
    </dxf>
    <dxf>
      <font>
        <strike val="0"/>
        <outline val="0"/>
        <shadow val="0"/>
        <u val="none"/>
        <vertAlign val="baseline"/>
        <sz val="14"/>
        <name val="Calibri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4"/>
        <name val="Calibri"/>
      </font>
    </dxf>
    <dxf>
      <font>
        <strike val="0"/>
        <outline val="0"/>
        <shadow val="0"/>
        <u val="none"/>
        <vertAlign val="baseline"/>
        <sz val="14"/>
        <name val="Calibri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algn="ctr">
              <a:defRPr sz="1200">
                <a:solidFill>
                  <a:srgbClr val="FF0000"/>
                </a:solidFill>
              </a:defRPr>
            </a:pPr>
            <a:r>
              <a:rPr lang="en-US" sz="1200">
                <a:solidFill>
                  <a:srgbClr val="FF0000"/>
                </a:solidFill>
              </a:rPr>
              <a:t>Actual Production by Shift</a:t>
            </a:r>
          </a:p>
        </c:rich>
      </c:tx>
      <c:layout>
        <c:manualLayout>
          <c:xMode val="edge"/>
          <c:yMode val="edge"/>
          <c:x val="0.37384513888888887"/>
          <c:y val="2.7088190188956123E-2"/>
        </c:manualLayout>
      </c:layout>
      <c:overlay val="1"/>
      <c:spPr>
        <a:noFill/>
      </c:spPr>
    </c:title>
    <c:autoTitleDeleted val="0"/>
    <c:plotArea>
      <c:layout>
        <c:manualLayout>
          <c:layoutTarget val="inner"/>
          <c:xMode val="edge"/>
          <c:yMode val="edge"/>
          <c:x val="0.12090231481481481"/>
          <c:y val="0.12365459869165174"/>
          <c:w val="0.6854527777777778"/>
          <c:h val="0.7632444755033015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Shift_Analysis!$C$1</c:f>
              <c:strCache>
                <c:ptCount val="1"/>
                <c:pt idx="0">
                  <c:v>Actual (t)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chemeClr val="tx2">
                        <a:lumMod val="50000"/>
                      </a:schemeClr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Shift_Analysis!$A$2:$A$4</c:f>
              <c:strCache>
                <c:ptCount val="3"/>
                <c:pt idx="0">
                  <c:v>Day</c:v>
                </c:pt>
                <c:pt idx="1">
                  <c:v>Evening</c:v>
                </c:pt>
                <c:pt idx="2">
                  <c:v>Night</c:v>
                </c:pt>
              </c:strCache>
            </c:strRef>
          </c:cat>
          <c:val>
            <c:numRef>
              <c:f>Shift_Analysis!$C$2:$C$4</c:f>
              <c:numCache>
                <c:formatCode>General</c:formatCode>
                <c:ptCount val="3"/>
                <c:pt idx="0">
                  <c:v>89162.799999999988</c:v>
                </c:pt>
                <c:pt idx="1">
                  <c:v>84852.5</c:v>
                </c:pt>
                <c:pt idx="2">
                  <c:v>79200.599999999948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C2-42AF-A784-ACB6C0C87B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spPr>
    <a:ln>
      <a:solidFill>
        <a:schemeClr val="tx2">
          <a:lumMod val="50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200" b="1">
                <a:solidFill>
                  <a:srgbClr val="FF0000"/>
                </a:solidFill>
              </a:defRPr>
            </a:pPr>
            <a:r>
              <a:rPr lang="en-US" sz="1200" b="1">
                <a:solidFill>
                  <a:srgbClr val="FF0000"/>
                </a:solidFill>
              </a:rPr>
              <a:t>Downtime Distribution</a:t>
            </a:r>
          </a:p>
        </c:rich>
      </c:tx>
      <c:layout>
        <c:manualLayout>
          <c:xMode val="edge"/>
          <c:yMode val="edge"/>
          <c:x val="0.43611782407407401"/>
          <c:y val="3.0238095238095238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7.2160574297075078E-2"/>
          <c:y val="2.4950971761806086E-2"/>
          <c:w val="0.44849491997905727"/>
          <c:h val="0.95489025489034907"/>
        </c:manualLayout>
      </c:layout>
      <c:pieChart>
        <c:varyColors val="1"/>
        <c:ser>
          <c:idx val="0"/>
          <c:order val="0"/>
          <c:tx>
            <c:strRef>
              <c:f>Downtime_Analysis!$C$1</c:f>
              <c:strCache>
                <c:ptCount val="1"/>
                <c:pt idx="0">
                  <c:v>Total Hours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Downtime_Analysis!$A$2:$A$7</c:f>
              <c:strCache>
                <c:ptCount val="6"/>
                <c:pt idx="0">
                  <c:v>Mechanical Failure</c:v>
                </c:pt>
                <c:pt idx="1">
                  <c:v>Planned Maintenance</c:v>
                </c:pt>
                <c:pt idx="2">
                  <c:v>Electrical Failure</c:v>
                </c:pt>
                <c:pt idx="3">
                  <c:v>Raw Material Shortage</c:v>
                </c:pt>
                <c:pt idx="4">
                  <c:v>Quality Issue</c:v>
                </c:pt>
                <c:pt idx="5">
                  <c:v>No Downtime</c:v>
                </c:pt>
              </c:strCache>
            </c:strRef>
          </c:cat>
          <c:val>
            <c:numRef>
              <c:f>Downtime_Analysis!$C$2:$C$7</c:f>
              <c:numCache>
                <c:formatCode>General</c:formatCode>
                <c:ptCount val="6"/>
                <c:pt idx="0">
                  <c:v>238.48000000000002</c:v>
                </c:pt>
                <c:pt idx="1">
                  <c:v>168.43000000000004</c:v>
                </c:pt>
                <c:pt idx="2">
                  <c:v>122.35</c:v>
                </c:pt>
                <c:pt idx="3">
                  <c:v>76.66</c:v>
                </c:pt>
                <c:pt idx="4">
                  <c:v>64.86999999999999</c:v>
                </c:pt>
                <c:pt idx="5">
                  <c:v>20.159999999999993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E-47C9-9A01-91C45BFD113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spPr>
    <a:ln>
      <a:solidFill>
        <a:schemeClr val="tx2">
          <a:lumMod val="50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baseline="0">
                <a:solidFill>
                  <a:srgbClr val="FF0000"/>
                </a:solidFill>
              </a:rPr>
              <a:t>Actual Production by Product</a:t>
            </a:r>
          </a:p>
        </c:rich>
      </c:tx>
      <c:layout>
        <c:manualLayout>
          <c:xMode val="edge"/>
          <c:yMode val="edge"/>
          <c:x val="0.38186264672068443"/>
          <c:y val="3.6050510455357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465873165025407E-2"/>
          <c:y val="9.9583148231466981E-2"/>
          <c:w val="0.4235531320121827"/>
          <c:h val="0.81675601232151562"/>
        </c:manualLayout>
      </c:layout>
      <c:pieChart>
        <c:varyColors val="1"/>
        <c:ser>
          <c:idx val="0"/>
          <c:order val="0"/>
          <c:tx>
            <c:strRef>
              <c:f>Product_Analysis!$C$1</c:f>
              <c:strCache>
                <c:ptCount val="1"/>
                <c:pt idx="0">
                  <c:v>Actual (t)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A9B-47E5-AE44-181936F60E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A9B-47E5-AE44-181936F60E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A9B-47E5-AE44-181936F60E5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Product_Analysis!$A$2:$A$4</c:f>
              <c:strCache>
                <c:ptCount val="3"/>
                <c:pt idx="0">
                  <c:v>OPC</c:v>
                </c:pt>
                <c:pt idx="1">
                  <c:v>PPC</c:v>
                </c:pt>
                <c:pt idx="2">
                  <c:v>SRC</c:v>
                </c:pt>
              </c:strCache>
            </c:strRef>
          </c:cat>
          <c:val>
            <c:numRef>
              <c:f>Product_Analysis!$C$2:$C$4</c:f>
              <c:numCache>
                <c:formatCode>General</c:formatCode>
                <c:ptCount val="3"/>
                <c:pt idx="0">
                  <c:v>121779.7</c:v>
                </c:pt>
                <c:pt idx="1">
                  <c:v>87263.199999999968</c:v>
                </c:pt>
                <c:pt idx="2">
                  <c:v>44172.999999999993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9B-47E5-AE44-181936F60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973184601924765"/>
          <c:y val="0.3264457567804025"/>
          <c:w val="0.1091570428696413"/>
          <c:h val="0.322339603382910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16872</xdr:colOff>
      <xdr:row>11</xdr:row>
      <xdr:rowOff>138205</xdr:rowOff>
    </xdr:from>
    <xdr:to>
      <xdr:col>3</xdr:col>
      <xdr:colOff>1026584</xdr:colOff>
      <xdr:row>22</xdr:row>
      <xdr:rowOff>145825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5603</xdr:colOff>
      <xdr:row>11</xdr:row>
      <xdr:rowOff>159372</xdr:rowOff>
    </xdr:from>
    <xdr:to>
      <xdr:col>8</xdr:col>
      <xdr:colOff>112283</xdr:colOff>
      <xdr:row>22</xdr:row>
      <xdr:rowOff>166992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150657</xdr:colOff>
      <xdr:row>11</xdr:row>
      <xdr:rowOff>169331</xdr:rowOff>
    </xdr:from>
    <xdr:to>
      <xdr:col>12</xdr:col>
      <xdr:colOff>31750</xdr:colOff>
      <xdr:row>22</xdr:row>
      <xdr:rowOff>166366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A424ABC-24E9-42E0-A393-97882A20C3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4:B17" headerRowCount="0" totalsRowShown="0" headerRowDxfId="66" dataDxfId="65">
  <tableColumns count="2">
    <tableColumn id="1" xr3:uid="{00000000-0010-0000-0100-000001000000}" name="Column1" headerRowDxfId="64" dataDxfId="63"/>
    <tableColumn id="2" xr3:uid="{00000000-0010-0000-0100-000002000000}" name="Column2" dataDxfId="62"/>
  </tableColumns>
  <tableStyleInfo name="TableStyleMedium2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ionData" displayName="ProductionData" ref="A4:R274">
  <autoFilter ref="A4:R274" xr:uid="{00000000-0009-0000-0100-000001000000}"/>
  <tableColumns count="18">
    <tableColumn id="1" xr3:uid="{00000000-0010-0000-0000-000001000000}" name="Record_ID"/>
    <tableColumn id="2" xr3:uid="{00000000-0010-0000-0000-000002000000}" name="Date"/>
    <tableColumn id="3" xr3:uid="{00000000-0010-0000-0000-000003000000}" name="Shift"/>
    <tableColumn id="4" xr3:uid="{00000000-0010-0000-0000-000004000000}" name="Product"/>
    <tableColumn id="5" xr3:uid="{00000000-0010-0000-0000-000005000000}" name="Target_Production_t"/>
    <tableColumn id="6" xr3:uid="{00000000-0010-0000-0000-000006000000}" name="Actual_Production_t"/>
    <tableColumn id="7" xr3:uid="{00000000-0010-0000-0000-000007000000}" name="Downtime_hr"/>
    <tableColumn id="8" xr3:uid="{00000000-0010-0000-0000-000008000000}" name="Downtime_Reason"/>
    <tableColumn id="9" xr3:uid="{00000000-0010-0000-0000-000009000000}" name="Raw_Material_t"/>
    <tableColumn id="10" xr3:uid="{00000000-0010-0000-0000-00000A000000}" name="Energy_kWh"/>
    <tableColumn id="11" xr3:uid="{00000000-0010-0000-0000-00000B000000}" name="Defects_t"/>
    <tableColumn id="12" xr3:uid="{00000000-0010-0000-0000-00000C000000}" name="Operators"/>
    <tableColumn id="13" xr3:uid="{959DBDFA-24A1-48F8-A8DF-41C5BD36547C}" name="Achievement%" dataDxfId="61" dataCellStyle="Percent">
      <calculatedColumnFormula>(ProductionData[[#This Row],[Actual_Production_t]]/ProductionData[[#This Row],[Target_Production_t]])</calculatedColumnFormula>
    </tableColumn>
    <tableColumn id="14" xr3:uid="{69687D4B-859F-4B0E-A4BB-4989AAC3DA32}" name="Effiency%" dataDxfId="60">
      <calculatedColumnFormula>ProductionData[[#This Row],[Actual_Production_t]]/(ProductionData[[#This Row],[Target_Production_t]]*((8-ProductionData[[#This Row],[Downtime_hr]])/8))</calculatedColumnFormula>
    </tableColumn>
    <tableColumn id="15" xr3:uid="{A0C34155-07F7-439F-A085-3BB7FC91BBD1}" name="Mat. Per Ton" dataDxfId="59">
      <calculatedColumnFormula>ProductionData[[#This Row],[Raw_Material_t]]/ProductionData[[#This Row],[Actual_Production_t]]</calculatedColumnFormula>
    </tableColumn>
    <tableColumn id="16" xr3:uid="{B280453F-D24E-417F-B142-C7B527266AC5}" name="Energy Per Ton" dataDxfId="58">
      <calculatedColumnFormula>ProductionData[[#This Row],[Energy_kWh]]/ProductionData[[#This Row],[Actual_Production_t]]</calculatedColumnFormula>
    </tableColumn>
    <tableColumn id="17" xr3:uid="{9FCFB31D-BDF8-4110-899C-7199CC6F7943}" name="Defect Rate%" dataDxfId="57">
      <calculatedColumnFormula>ProductionData[[#This Row],[Defects_t]]/ProductionData[[#This Row],[Actual_Production_t]]</calculatedColumnFormula>
    </tableColumn>
    <tableColumn id="18" xr3:uid="{EC33F88B-32A2-4100-83A8-3895E041C44A}" name="Status" dataDxfId="56">
      <calculatedColumnFormula>IF(ProductionData[[#This Row],[Achievement%]]&gt;=100%,"On Target",IF(ProductionData[[#This Row],[Achievement%]]&lt;90%,"Significantly Below Target","Below Target"))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14F5B8-EF73-4038-AE1E-8112B087B202}" name="Table3" displayName="Table3" ref="A1:G5" totalsRowCount="1" headerRowDxfId="48" dataDxfId="49" headerRowBorderDxfId="54" tableBorderDxfId="55">
  <autoFilter ref="A1:G4" xr:uid="{9914F5B8-EF73-4038-AE1E-8112B087B202}"/>
  <tableColumns count="7">
    <tableColumn id="1" xr3:uid="{2E134678-F9C4-4224-AE23-E98CFCCB82A2}" name="Shift" dataDxfId="53" totalsRowDxfId="46"/>
    <tableColumn id="2" xr3:uid="{0EF86214-1FEA-4813-90D8-5D6FF140A24B}" name="Target (t)" totalsRowFunction="sum" dataDxfId="52" totalsRowDxfId="45">
      <calculatedColumnFormula>SUMIF(ProductionData[Shift],A2,ProductionData[Target_Production_t])</calculatedColumnFormula>
    </tableColumn>
    <tableColumn id="3" xr3:uid="{BED4E016-F296-4763-B698-D9FFFFF80BFE}" name="Actual (t)" totalsRowFunction="sum" dataDxfId="51" totalsRowDxfId="44">
      <calculatedColumnFormula>SUMIF(ProductionData[Shift],$A2,ProductionData[Actual_Production_t])</calculatedColumnFormula>
    </tableColumn>
    <tableColumn id="4" xr3:uid="{992F289B-2D80-42B1-8A68-FFCE6478CA47}" name="Achievement %" totalsRowFunction="average" dataDxfId="50" totalsRowDxfId="43" dataCellStyle="Percent">
      <calculatedColumnFormula>AVERAGEIF(ProductionData[Shift],$A2,ProductionData[Achievement%])</calculatedColumnFormula>
    </tableColumn>
    <tableColumn id="5" xr3:uid="{47E1434F-E140-4A60-AE33-49A726126ECD}" name="Downtime (hr)" totalsRowFunction="sum" dataDxfId="47" totalsRowDxfId="42">
      <calculatedColumnFormula>SUMIF(ProductionData[Shift],$A2,ProductionData[Downtime_hr])</calculatedColumnFormula>
    </tableColumn>
    <tableColumn id="6" xr3:uid="{E6C046C3-34C6-4890-8CEA-E3C7691B42CD}" name="Energy/ton" totalsRowFunction="sum" dataDxfId="40" totalsRowDxfId="41">
      <calculatedColumnFormula>AVERAGEIF(ProductionData[Shift],$A2,ProductionData[Energy Per Ton])</calculatedColumnFormula>
    </tableColumn>
    <tableColumn id="7" xr3:uid="{2523E1DA-8DB0-4C58-A375-8CDF4D1B737B}" name="Defect Rate %" totalsRowFunction="average" dataDxfId="39" totalsRowDxfId="38" dataCellStyle="Percent" totalsRowCellStyle="Percent">
      <calculatedColumnFormula>AVERAGEIF(ProductionData[Shift],$A2,ProductionData[Defect Rate%])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F6B371-CC71-4584-8EA7-662F2EB53292}" name="Table4" displayName="Table4" ref="A1:H5" totalsRowCount="1" headerRowDxfId="35" totalsRowDxfId="24" headerRowBorderDxfId="37">
  <autoFilter ref="A1:H4" xr:uid="{A5F6B371-CC71-4584-8EA7-662F2EB53292}"/>
  <tableColumns count="8">
    <tableColumn id="1" xr3:uid="{44262707-D910-4112-A231-CDD6FF980165}" name="Product" totalsRowLabel="Total" dataDxfId="36" totalsRowDxfId="23"/>
    <tableColumn id="2" xr3:uid="{42E867BA-1D11-4ED5-A52C-AE067B69441B}" name="Target (t)" totalsRowFunction="sum" totalsRowDxfId="31">
      <calculatedColumnFormula>SUMIF(ProductionData[Product],$A2,ProductionData[Target_Production_t])</calculatedColumnFormula>
    </tableColumn>
    <tableColumn id="3" xr3:uid="{6599615D-CF2A-451F-8776-8DC5D9EF0555}" name="Actual (t)" totalsRowFunction="sum" totalsRowDxfId="30">
      <calculatedColumnFormula>SUMIF(ProductionData[Product],$A2,ProductionData[Actual_Production_t])</calculatedColumnFormula>
    </tableColumn>
    <tableColumn id="4" xr3:uid="{903F4AB2-BBD0-47A7-94BD-164309203B73}" name="Achievement %" totalsRowFunction="average" totalsRowDxfId="29">
      <calculatedColumnFormula>AVERAGEIF(ProductionData[Product],$A2,ProductionData[Achievement%])</calculatedColumnFormula>
    </tableColumn>
    <tableColumn id="5" xr3:uid="{7B1AA366-5349-441C-986B-40B7F7B4BBF5}" name="Downtime (hr)" totalsRowFunction="sum" totalsRowDxfId="28">
      <calculatedColumnFormula>SUMIF(ProductionData[Product],$A2,ProductionData[Downtime_hr])</calculatedColumnFormula>
    </tableColumn>
    <tableColumn id="6" xr3:uid="{EEA038D5-4F53-4E5A-838C-66721F977A79}" name="Material/ton" totalsRowFunction="average" dataDxfId="33" totalsRowDxfId="27">
      <calculatedColumnFormula>AVERAGEIF(ProductionData[Product],$A2,ProductionData[Mat. Per Ton])</calculatedColumnFormula>
    </tableColumn>
    <tableColumn id="7" xr3:uid="{E21B341F-675E-4BFC-AFB3-E7B47B516F5F}" name="Energy/ton" totalsRowFunction="average" dataDxfId="34" totalsRowDxfId="26">
      <calculatedColumnFormula>AVERAGEIF(ProductionData[Product],$A2,ProductionData[Energy Per Ton])</calculatedColumnFormula>
    </tableColumn>
    <tableColumn id="8" xr3:uid="{9F64FDDA-4FD3-4412-99F4-CC1F055C7E31}" name="Defect Rate %" totalsRowFunction="average" dataDxfId="32" totalsRowDxfId="25" dataCellStyle="Percent">
      <calculatedColumnFormula>AVERAGEIF(ProductionData[Product],$A2,ProductionData[Defect Rate%])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AD598F-0191-43D3-8EB6-9415B85108E3}" name="Table5" displayName="Table5" ref="A1:D8" totalsRowCount="1" headerRowDxfId="15" dataDxfId="16" headerRowBorderDxfId="21" tableBorderDxfId="22">
  <autoFilter ref="A1:D7" xr:uid="{73AD598F-0191-43D3-8EB6-9415B85108E3}"/>
  <sortState xmlns:xlrd2="http://schemas.microsoft.com/office/spreadsheetml/2017/richdata2" ref="A2:D7">
    <sortCondition descending="1" ref="D2:D7"/>
  </sortState>
  <tableColumns count="4">
    <tableColumn id="1" xr3:uid="{D7B6CE73-2AB1-4468-9BEB-AA40F73B7794}" name="Downtime Reason" totalsRowLabel="Total" dataDxfId="20" totalsRowDxfId="14"/>
    <tableColumn id="2" xr3:uid="{6D3F164E-EC48-4EDB-B449-E2DCF4506FB0}" name="Occurrences" totalsRowFunction="sum" dataDxfId="19" totalsRowDxfId="13">
      <calculatedColumnFormula>COUNTIF(ProductionData[Downtime_Reason],$A2)</calculatedColumnFormula>
    </tableColumn>
    <tableColumn id="3" xr3:uid="{7309DCB9-5D09-4E75-8F49-CC87F2A4F26C}" name="Total Hours" totalsRowFunction="sum" dataDxfId="18" totalsRowDxfId="12">
      <calculatedColumnFormula>SUMIF(ProductionData[Downtime_Reason],$A2,ProductionData[Downtime_hr])</calculatedColumnFormula>
    </tableColumn>
    <tableColumn id="4" xr3:uid="{9FC51694-29A9-4EF4-885E-79F1A58CAB2C}" name="% of Downtime" totalsRowFunction="average" dataDxfId="17" totalsRowDxfId="11">
      <calculatedColumnFormula>Table5[[#This Row],[Total Hours]]/SUM(Table5[Total Hours])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7"/>
  <sheetViews>
    <sheetView workbookViewId="0">
      <pane ySplit="2" topLeftCell="A3" activePane="bottomLeft" state="frozen"/>
      <selection pane="bottomLeft" activeCell="B16" sqref="B16"/>
    </sheetView>
  </sheetViews>
  <sheetFormatPr defaultRowHeight="15" x14ac:dyDescent="0.25"/>
  <cols>
    <col min="1" max="1" width="22" customWidth="1"/>
    <col min="2" max="2" width="123.28515625" bestFit="1" customWidth="1"/>
  </cols>
  <sheetData>
    <row r="1" spans="1:6" ht="23.25" customHeight="1" x14ac:dyDescent="0.35">
      <c r="A1" s="17" t="s">
        <v>25</v>
      </c>
      <c r="B1" s="18"/>
    </row>
    <row r="4" spans="1:6" ht="18.75" x14ac:dyDescent="0.3">
      <c r="A4" s="11" t="s">
        <v>26</v>
      </c>
      <c r="B4" s="14" t="s">
        <v>27</v>
      </c>
    </row>
    <row r="5" spans="1:6" ht="18.75" x14ac:dyDescent="0.3">
      <c r="A5" s="11" t="s">
        <v>28</v>
      </c>
      <c r="B5" s="15" t="s">
        <v>29</v>
      </c>
    </row>
    <row r="6" spans="1:6" ht="18.75" x14ac:dyDescent="0.3">
      <c r="A6" s="11" t="s">
        <v>30</v>
      </c>
      <c r="B6" s="16" t="s">
        <v>31</v>
      </c>
    </row>
    <row r="7" spans="1:6" ht="18.75" x14ac:dyDescent="0.3">
      <c r="A7" s="11" t="s">
        <v>32</v>
      </c>
      <c r="B7" s="12" t="s">
        <v>33</v>
      </c>
    </row>
    <row r="8" spans="1:6" ht="18.75" x14ac:dyDescent="0.3">
      <c r="A8" s="11" t="s">
        <v>34</v>
      </c>
      <c r="B8" s="12" t="s">
        <v>35</v>
      </c>
    </row>
    <row r="9" spans="1:6" ht="18.75" x14ac:dyDescent="0.3">
      <c r="A9" s="11" t="s">
        <v>36</v>
      </c>
      <c r="B9" s="12" t="s">
        <v>37</v>
      </c>
    </row>
    <row r="10" spans="1:6" ht="18.75" x14ac:dyDescent="0.3">
      <c r="A10" s="11" t="s">
        <v>38</v>
      </c>
      <c r="B10" s="12" t="s">
        <v>39</v>
      </c>
      <c r="F10" t="s">
        <v>85</v>
      </c>
    </row>
    <row r="11" spans="1:6" ht="18.75" x14ac:dyDescent="0.3">
      <c r="A11" s="11" t="s">
        <v>40</v>
      </c>
      <c r="B11" s="12" t="s">
        <v>41</v>
      </c>
    </row>
    <row r="12" spans="1:6" ht="18.75" x14ac:dyDescent="0.3">
      <c r="A12" s="11" t="s">
        <v>42</v>
      </c>
      <c r="B12" s="12" t="s">
        <v>43</v>
      </c>
    </row>
    <row r="13" spans="1:6" ht="18.75" x14ac:dyDescent="0.3">
      <c r="A13" s="11" t="s">
        <v>44</v>
      </c>
      <c r="B13" s="12" t="s">
        <v>45</v>
      </c>
    </row>
    <row r="14" spans="1:6" ht="18.75" x14ac:dyDescent="0.3">
      <c r="A14" s="11" t="s">
        <v>46</v>
      </c>
      <c r="B14" s="12" t="s">
        <v>47</v>
      </c>
    </row>
    <row r="15" spans="1:6" ht="18.75" x14ac:dyDescent="0.3">
      <c r="A15" s="11" t="s">
        <v>48</v>
      </c>
      <c r="B15" s="12" t="s">
        <v>49</v>
      </c>
    </row>
    <row r="16" spans="1:6" ht="18.75" x14ac:dyDescent="0.3">
      <c r="A16" s="11" t="s">
        <v>50</v>
      </c>
      <c r="B16" s="12" t="s">
        <v>51</v>
      </c>
    </row>
    <row r="17" spans="1:2" ht="18.75" x14ac:dyDescent="0.3">
      <c r="A17" s="12"/>
      <c r="B17" s="12"/>
    </row>
  </sheetData>
  <mergeCells count="1">
    <mergeCell ref="A1:B1"/>
  </mergeCells>
  <conditionalFormatting sqref="A4">
    <cfRule type="expression" dxfId="10" priority="8">
      <formula>$A10=$B$10</formula>
    </cfRule>
  </conditionalFormatting>
  <conditionalFormatting sqref="A4:B16">
    <cfRule type="expression" priority="6">
      <formula>CELL("row")=ROW()</formula>
    </cfRule>
  </conditionalFormatting>
  <conditionalFormatting sqref="A4:B17">
    <cfRule type="expression" dxfId="9" priority="2">
      <formula>ROW()=CELL("row")</formula>
    </cfRule>
    <cfRule type="expression" dxfId="8" priority="3">
      <formula>ROW()=CELL("row")</formula>
    </cfRule>
  </conditionalFormatting>
  <conditionalFormatting sqref="B11">
    <cfRule type="expression" dxfId="7" priority="1">
      <formula>ROW()=CELL("row")</formula>
    </cfRule>
  </conditionalFormatting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274"/>
  <sheetViews>
    <sheetView workbookViewId="0">
      <pane ySplit="4" topLeftCell="A5" activePane="bottomLeft" state="frozen"/>
      <selection pane="bottomLeft" activeCell="C10" sqref="C10"/>
    </sheetView>
  </sheetViews>
  <sheetFormatPr defaultRowHeight="15" x14ac:dyDescent="0.25"/>
  <cols>
    <col min="1" max="1" width="24" customWidth="1"/>
    <col min="2" max="2" width="10.42578125" bestFit="1" customWidth="1"/>
    <col min="3" max="4" width="12" customWidth="1"/>
    <col min="5" max="5" width="16.5703125" customWidth="1"/>
    <col min="6" max="6" width="23.85546875" bestFit="1" customWidth="1"/>
    <col min="7" max="7" width="12.5703125" customWidth="1"/>
    <col min="8" max="8" width="23" customWidth="1"/>
    <col min="9" max="9" width="16" customWidth="1"/>
    <col min="10" max="10" width="12" customWidth="1"/>
    <col min="11" max="11" width="14" bestFit="1" customWidth="1"/>
    <col min="12" max="12" width="14.42578125" bestFit="1" customWidth="1"/>
    <col min="13" max="13" width="15" customWidth="1"/>
    <col min="14" max="14" width="19" customWidth="1"/>
    <col min="15" max="15" width="18" customWidth="1"/>
    <col min="16" max="16" width="16" customWidth="1"/>
    <col min="17" max="17" width="21" customWidth="1"/>
    <col min="18" max="18" width="24" customWidth="1"/>
  </cols>
  <sheetData>
    <row r="1" spans="1:18" ht="23.25" x14ac:dyDescent="0.35">
      <c r="A1" s="19" t="s">
        <v>86</v>
      </c>
    </row>
    <row r="2" spans="1:18" x14ac:dyDescent="0.25">
      <c r="A2" s="1" t="s">
        <v>0</v>
      </c>
    </row>
    <row r="4" spans="1:18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0" t="s">
        <v>87</v>
      </c>
      <c r="N4" s="20" t="s">
        <v>88</v>
      </c>
      <c r="O4" s="20" t="s">
        <v>89</v>
      </c>
      <c r="P4" s="20" t="s">
        <v>90</v>
      </c>
      <c r="Q4" s="20" t="s">
        <v>91</v>
      </c>
      <c r="R4" s="20" t="s">
        <v>92</v>
      </c>
    </row>
    <row r="5" spans="1:18" x14ac:dyDescent="0.25">
      <c r="A5">
        <v>1</v>
      </c>
      <c r="B5" s="3">
        <v>46023</v>
      </c>
      <c r="C5" t="s">
        <v>13</v>
      </c>
      <c r="D5" t="s">
        <v>14</v>
      </c>
      <c r="E5" s="4">
        <v>1124</v>
      </c>
      <c r="F5" s="4">
        <v>1093.8</v>
      </c>
      <c r="G5" s="4">
        <v>2.36</v>
      </c>
      <c r="H5" t="s">
        <v>15</v>
      </c>
      <c r="I5" s="4">
        <v>1723</v>
      </c>
      <c r="J5" s="4">
        <v>93045.5</v>
      </c>
      <c r="K5">
        <v>0</v>
      </c>
      <c r="L5">
        <v>8</v>
      </c>
      <c r="M5" s="21">
        <f>(ProductionData[[#This Row],[Actual_Production_t]]/ProductionData[[#This Row],[Target_Production_t]])</f>
        <v>0.97313167259786471</v>
      </c>
      <c r="N5" s="5">
        <f>ProductionData[[#This Row],[Actual_Production_t]]/(ProductionData[[#This Row],[Target_Production_t]]*((8-ProductionData[[#This Row],[Downtime_hr]])/8))</f>
        <v>1.3803286136139925</v>
      </c>
      <c r="O5" s="4">
        <f>ProductionData[[#This Row],[Raw_Material_t]]/ProductionData[[#This Row],[Actual_Production_t]]</f>
        <v>1.5752422746388737</v>
      </c>
      <c r="P5" s="22">
        <f>ProductionData[[#This Row],[Energy_kWh]]/ProductionData[[#This Row],[Actual_Production_t]]</f>
        <v>85.066282684220155</v>
      </c>
      <c r="Q5" s="23">
        <f>ProductionData[[#This Row],[Defects_t]]/ProductionData[[#This Row],[Actual_Production_t]]</f>
        <v>0</v>
      </c>
      <c r="R5" t="str">
        <f>IF(ProductionData[[#This Row],[Achievement%]]&gt;=100%,"On Target",IF(ProductionData[[#This Row],[Achievement%]]&lt;90%,"Significantly Below Target","Below Target"))</f>
        <v>Below Target</v>
      </c>
    </row>
    <row r="6" spans="1:18" x14ac:dyDescent="0.25">
      <c r="A6">
        <v>2</v>
      </c>
      <c r="B6" s="3">
        <v>46023</v>
      </c>
      <c r="C6" t="s">
        <v>16</v>
      </c>
      <c r="D6" t="s">
        <v>17</v>
      </c>
      <c r="E6" s="4">
        <v>1039</v>
      </c>
      <c r="F6" s="4">
        <v>864.5</v>
      </c>
      <c r="G6" s="4">
        <v>3.17</v>
      </c>
      <c r="H6" t="s">
        <v>15</v>
      </c>
      <c r="I6" s="4">
        <v>1235</v>
      </c>
      <c r="J6" s="4">
        <v>74174.600000000006</v>
      </c>
      <c r="K6">
        <v>2</v>
      </c>
      <c r="L6">
        <v>10</v>
      </c>
      <c r="M6" s="21">
        <f>(ProductionData[[#This Row],[Actual_Production_t]]/ProductionData[[#This Row],[Target_Production_t]])</f>
        <v>0.83205004812319538</v>
      </c>
      <c r="N6" s="5">
        <f>ProductionData[[#This Row],[Actual_Production_t]]/(ProductionData[[#This Row],[Target_Production_t]]*((8-ProductionData[[#This Row],[Downtime_hr]])/8))</f>
        <v>1.3781367256698889</v>
      </c>
      <c r="O6" s="4">
        <f>ProductionData[[#This Row],[Raw_Material_t]]/ProductionData[[#This Row],[Actual_Production_t]]</f>
        <v>1.4285714285714286</v>
      </c>
      <c r="P6" s="22">
        <f>ProductionData[[#This Row],[Energy_kWh]]/ProductionData[[#This Row],[Actual_Production_t]]</f>
        <v>85.800578368999425</v>
      </c>
      <c r="Q6" s="23">
        <f>ProductionData[[#This Row],[Defects_t]]/ProductionData[[#This Row],[Actual_Production_t]]</f>
        <v>2.3134759976865238E-3</v>
      </c>
      <c r="R6" t="str">
        <f>IF(ProductionData[[#This Row],[Achievement%]]&gt;=100%,"On Target",IF(ProductionData[[#This Row],[Achievement%]]&lt;90%,"Significantly Below Target","Below Target"))</f>
        <v>Significantly Below Target</v>
      </c>
    </row>
    <row r="7" spans="1:18" x14ac:dyDescent="0.25">
      <c r="A7">
        <v>3</v>
      </c>
      <c r="B7" s="3">
        <v>46023</v>
      </c>
      <c r="C7" t="s">
        <v>18</v>
      </c>
      <c r="D7" t="s">
        <v>19</v>
      </c>
      <c r="E7" s="4">
        <v>954</v>
      </c>
      <c r="F7" s="4">
        <v>704</v>
      </c>
      <c r="G7" s="4">
        <v>4.33</v>
      </c>
      <c r="H7" t="s">
        <v>15</v>
      </c>
      <c r="I7" s="4">
        <v>1056.7</v>
      </c>
      <c r="J7" s="4">
        <v>58043.3</v>
      </c>
      <c r="K7">
        <v>1</v>
      </c>
      <c r="L7">
        <v>8</v>
      </c>
      <c r="M7" s="21">
        <f>(ProductionData[[#This Row],[Actual_Production_t]]/ProductionData[[#This Row],[Target_Production_t]])</f>
        <v>0.73794549266247378</v>
      </c>
      <c r="N7" s="5">
        <f>ProductionData[[#This Row],[Actual_Production_t]]/(ProductionData[[#This Row],[Target_Production_t]]*((8-ProductionData[[#This Row],[Downtime_hr]])/8))</f>
        <v>1.6086005289645207</v>
      </c>
      <c r="O7" s="4">
        <f>ProductionData[[#This Row],[Raw_Material_t]]/ProductionData[[#This Row],[Actual_Production_t]]</f>
        <v>1.5009943181818182</v>
      </c>
      <c r="P7" s="22">
        <f>ProductionData[[#This Row],[Energy_kWh]]/ProductionData[[#This Row],[Actual_Production_t]]</f>
        <v>82.447869318181816</v>
      </c>
      <c r="Q7" s="23">
        <f>ProductionData[[#This Row],[Defects_t]]/ProductionData[[#This Row],[Actual_Production_t]]</f>
        <v>1.4204545454545455E-3</v>
      </c>
      <c r="R7" t="str">
        <f>IF(ProductionData[[#This Row],[Achievement%]]&gt;=100%,"On Target",IF(ProductionData[[#This Row],[Achievement%]]&lt;90%,"Significantly Below Target","Below Target"))</f>
        <v>Significantly Below Target</v>
      </c>
    </row>
    <row r="8" spans="1:18" x14ac:dyDescent="0.25">
      <c r="A8">
        <v>4</v>
      </c>
      <c r="B8" s="3">
        <v>46024</v>
      </c>
      <c r="C8" t="s">
        <v>13</v>
      </c>
      <c r="D8" t="s">
        <v>19</v>
      </c>
      <c r="E8" s="4">
        <v>999</v>
      </c>
      <c r="F8" s="4">
        <v>940.5</v>
      </c>
      <c r="G8" s="4">
        <v>2.77</v>
      </c>
      <c r="H8" t="s">
        <v>15</v>
      </c>
      <c r="I8" s="4">
        <v>1455.2</v>
      </c>
      <c r="J8" s="4">
        <v>72980</v>
      </c>
      <c r="K8">
        <v>3</v>
      </c>
      <c r="L8">
        <v>8</v>
      </c>
      <c r="M8" s="21">
        <f>(ProductionData[[#This Row],[Actual_Production_t]]/ProductionData[[#This Row],[Target_Production_t]])</f>
        <v>0.94144144144144148</v>
      </c>
      <c r="N8" s="5">
        <f>ProductionData[[#This Row],[Actual_Production_t]]/(ProductionData[[#This Row],[Target_Production_t]]*((8-ProductionData[[#This Row],[Downtime_hr]])/8))</f>
        <v>1.4400633903501971</v>
      </c>
      <c r="O8" s="4">
        <f>ProductionData[[#This Row],[Raw_Material_t]]/ProductionData[[#This Row],[Actual_Production_t]]</f>
        <v>1.5472620946305158</v>
      </c>
      <c r="P8" s="22">
        <f>ProductionData[[#This Row],[Energy_kWh]]/ProductionData[[#This Row],[Actual_Production_t]]</f>
        <v>77.597022860180758</v>
      </c>
      <c r="Q8" s="23">
        <f>ProductionData[[#This Row],[Defects_t]]/ProductionData[[#This Row],[Actual_Production_t]]</f>
        <v>3.189792663476874E-3</v>
      </c>
      <c r="R8" t="str">
        <f>IF(ProductionData[[#This Row],[Achievement%]]&gt;=100%,"On Target",IF(ProductionData[[#This Row],[Achievement%]]&lt;90%,"Significantly Below Target","Below Target"))</f>
        <v>Below Target</v>
      </c>
    </row>
    <row r="9" spans="1:18" x14ac:dyDescent="0.25">
      <c r="A9">
        <v>5</v>
      </c>
      <c r="B9" s="3">
        <v>46024</v>
      </c>
      <c r="C9" t="s">
        <v>16</v>
      </c>
      <c r="D9" t="s">
        <v>17</v>
      </c>
      <c r="E9" s="4">
        <v>1011</v>
      </c>
      <c r="F9" s="4">
        <v>891.2</v>
      </c>
      <c r="G9" s="4">
        <v>2.11</v>
      </c>
      <c r="H9" t="s">
        <v>20</v>
      </c>
      <c r="I9" s="4">
        <v>1349.1</v>
      </c>
      <c r="J9" s="4">
        <v>77359</v>
      </c>
      <c r="K9">
        <v>4</v>
      </c>
      <c r="L9">
        <v>10</v>
      </c>
      <c r="M9" s="21">
        <f>(ProductionData[[#This Row],[Actual_Production_t]]/ProductionData[[#This Row],[Target_Production_t]])</f>
        <v>0.88150346191889228</v>
      </c>
      <c r="N9" s="5">
        <f>ProductionData[[#This Row],[Actual_Production_t]]/(ProductionData[[#This Row],[Target_Production_t]]*((8-ProductionData[[#This Row],[Downtime_hr]])/8))</f>
        <v>1.1972882335061352</v>
      </c>
      <c r="O9" s="4">
        <f>ProductionData[[#This Row],[Raw_Material_t]]/ProductionData[[#This Row],[Actual_Production_t]]</f>
        <v>1.5138016157989227</v>
      </c>
      <c r="P9" s="22">
        <f>ProductionData[[#This Row],[Energy_kWh]]/ProductionData[[#This Row],[Actual_Production_t]]</f>
        <v>86.803186714542193</v>
      </c>
      <c r="Q9" s="23">
        <f>ProductionData[[#This Row],[Defects_t]]/ProductionData[[#This Row],[Actual_Production_t]]</f>
        <v>4.4883303411131061E-3</v>
      </c>
      <c r="R9" t="str">
        <f>IF(ProductionData[[#This Row],[Achievement%]]&gt;=100%,"On Target",IF(ProductionData[[#This Row],[Achievement%]]&lt;90%,"Significantly Below Target","Below Target"))</f>
        <v>Significantly Below Target</v>
      </c>
    </row>
    <row r="10" spans="1:18" x14ac:dyDescent="0.25">
      <c r="A10">
        <v>6</v>
      </c>
      <c r="B10" s="3">
        <v>46024</v>
      </c>
      <c r="C10" t="s">
        <v>18</v>
      </c>
      <c r="D10" t="s">
        <v>14</v>
      </c>
      <c r="E10" s="4">
        <v>1149</v>
      </c>
      <c r="F10" s="4">
        <v>941.2</v>
      </c>
      <c r="G10" s="4">
        <v>3</v>
      </c>
      <c r="H10" t="s">
        <v>21</v>
      </c>
      <c r="I10" s="4">
        <v>1445.8</v>
      </c>
      <c r="J10" s="4">
        <v>77502.5</v>
      </c>
      <c r="K10">
        <v>2</v>
      </c>
      <c r="L10">
        <v>11</v>
      </c>
      <c r="M10" s="21">
        <f>(ProductionData[[#This Row],[Actual_Production_t]]/ProductionData[[#This Row],[Target_Production_t]])</f>
        <v>0.81914708442123585</v>
      </c>
      <c r="N10" s="5">
        <f>ProductionData[[#This Row],[Actual_Production_t]]/(ProductionData[[#This Row],[Target_Production_t]]*((8-ProductionData[[#This Row],[Downtime_hr]])/8))</f>
        <v>1.3106353350739774</v>
      </c>
      <c r="O10" s="4">
        <f>ProductionData[[#This Row],[Raw_Material_t]]/ProductionData[[#This Row],[Actual_Production_t]]</f>
        <v>1.5361240968975773</v>
      </c>
      <c r="P10" s="22">
        <f>ProductionData[[#This Row],[Energy_kWh]]/ProductionData[[#This Row],[Actual_Production_t]]</f>
        <v>82.344347641308957</v>
      </c>
      <c r="Q10" s="23">
        <f>ProductionData[[#This Row],[Defects_t]]/ProductionData[[#This Row],[Actual_Production_t]]</f>
        <v>2.1249468763280916E-3</v>
      </c>
      <c r="R10" t="str">
        <f>IF(ProductionData[[#This Row],[Achievement%]]&gt;=100%,"On Target",IF(ProductionData[[#This Row],[Achievement%]]&lt;90%,"Significantly Below Target","Below Target"))</f>
        <v>Significantly Below Target</v>
      </c>
    </row>
    <row r="11" spans="1:18" x14ac:dyDescent="0.25">
      <c r="A11">
        <v>7</v>
      </c>
      <c r="B11" s="3">
        <v>46025</v>
      </c>
      <c r="C11" t="s">
        <v>13</v>
      </c>
      <c r="D11" t="s">
        <v>14</v>
      </c>
      <c r="E11" s="4">
        <v>1180</v>
      </c>
      <c r="F11" s="4">
        <v>1068</v>
      </c>
      <c r="G11" s="4">
        <v>1.58</v>
      </c>
      <c r="H11" t="s">
        <v>22</v>
      </c>
      <c r="I11" s="4">
        <v>1647.2</v>
      </c>
      <c r="J11" s="4">
        <v>83705.899999999994</v>
      </c>
      <c r="K11">
        <v>7</v>
      </c>
      <c r="L11">
        <v>12</v>
      </c>
      <c r="M11" s="21">
        <f>(ProductionData[[#This Row],[Actual_Production_t]]/ProductionData[[#This Row],[Target_Production_t]])</f>
        <v>0.90508474576271192</v>
      </c>
      <c r="N11" s="5">
        <f>ProductionData[[#This Row],[Actual_Production_t]]/(ProductionData[[#This Row],[Target_Production_t]]*((8-ProductionData[[#This Row],[Downtime_hr]])/8))</f>
        <v>1.127831458894345</v>
      </c>
      <c r="O11" s="4">
        <f>ProductionData[[#This Row],[Raw_Material_t]]/ProductionData[[#This Row],[Actual_Production_t]]</f>
        <v>1.5423220973782772</v>
      </c>
      <c r="P11" s="22">
        <f>ProductionData[[#This Row],[Energy_kWh]]/ProductionData[[#This Row],[Actual_Production_t]]</f>
        <v>78.376310861423221</v>
      </c>
      <c r="Q11" s="23">
        <f>ProductionData[[#This Row],[Defects_t]]/ProductionData[[#This Row],[Actual_Production_t]]</f>
        <v>6.5543071161048693E-3</v>
      </c>
      <c r="R11" t="str">
        <f>IF(ProductionData[[#This Row],[Achievement%]]&gt;=100%,"On Target",IF(ProductionData[[#This Row],[Achievement%]]&lt;90%,"Significantly Below Target","Below Target"))</f>
        <v>Below Target</v>
      </c>
    </row>
    <row r="12" spans="1:18" x14ac:dyDescent="0.25">
      <c r="A12">
        <v>8</v>
      </c>
      <c r="B12" s="3">
        <v>46025</v>
      </c>
      <c r="C12" t="s">
        <v>16</v>
      </c>
      <c r="D12" t="s">
        <v>14</v>
      </c>
      <c r="E12" s="4">
        <v>1153</v>
      </c>
      <c r="F12" s="4">
        <v>971.5</v>
      </c>
      <c r="G12" s="4">
        <v>3.62</v>
      </c>
      <c r="H12" t="s">
        <v>21</v>
      </c>
      <c r="I12" s="4">
        <v>1489</v>
      </c>
      <c r="J12" s="4">
        <v>77157.3</v>
      </c>
      <c r="K12">
        <v>5</v>
      </c>
      <c r="L12">
        <v>8</v>
      </c>
      <c r="M12" s="21">
        <f>(ProductionData[[#This Row],[Actual_Production_t]]/ProductionData[[#This Row],[Target_Production_t]])</f>
        <v>0.84258456201214227</v>
      </c>
      <c r="N12" s="5">
        <f>ProductionData[[#This Row],[Actual_Production_t]]/(ProductionData[[#This Row],[Target_Production_t]]*((8-ProductionData[[#This Row],[Downtime_hr]])/8))</f>
        <v>1.5389672365518579</v>
      </c>
      <c r="O12" s="4">
        <f>ProductionData[[#This Row],[Raw_Material_t]]/ProductionData[[#This Row],[Actual_Production_t]]</f>
        <v>1.532681420483788</v>
      </c>
      <c r="P12" s="22">
        <f>ProductionData[[#This Row],[Energy_kWh]]/ProductionData[[#This Row],[Actual_Production_t]]</f>
        <v>79.420792588780245</v>
      </c>
      <c r="Q12" s="23">
        <f>ProductionData[[#This Row],[Defects_t]]/ProductionData[[#This Row],[Actual_Production_t]]</f>
        <v>5.1466803911477095E-3</v>
      </c>
      <c r="R12" t="str">
        <f>IF(ProductionData[[#This Row],[Achievement%]]&gt;=100%,"On Target",IF(ProductionData[[#This Row],[Achievement%]]&lt;90%,"Significantly Below Target","Below Target"))</f>
        <v>Significantly Below Target</v>
      </c>
    </row>
    <row r="13" spans="1:18" x14ac:dyDescent="0.25">
      <c r="A13">
        <v>9</v>
      </c>
      <c r="B13" s="3">
        <v>46025</v>
      </c>
      <c r="C13" t="s">
        <v>18</v>
      </c>
      <c r="D13" t="s">
        <v>14</v>
      </c>
      <c r="E13" s="4">
        <v>1160</v>
      </c>
      <c r="F13" s="4">
        <v>854.5</v>
      </c>
      <c r="G13" s="4">
        <v>4.3</v>
      </c>
      <c r="H13" t="s">
        <v>22</v>
      </c>
      <c r="I13" s="4">
        <v>1292.2</v>
      </c>
      <c r="J13" s="4">
        <v>71286.100000000006</v>
      </c>
      <c r="K13">
        <v>2</v>
      </c>
      <c r="L13">
        <v>9</v>
      </c>
      <c r="M13" s="21">
        <f>(ProductionData[[#This Row],[Actual_Production_t]]/ProductionData[[#This Row],[Target_Production_t]])</f>
        <v>0.73663793103448272</v>
      </c>
      <c r="N13" s="5">
        <f>ProductionData[[#This Row],[Actual_Production_t]]/(ProductionData[[#This Row],[Target_Production_t]]*((8-ProductionData[[#This Row],[Downtime_hr]])/8))</f>
        <v>1.5927306616961789</v>
      </c>
      <c r="O13" s="4">
        <f>ProductionData[[#This Row],[Raw_Material_t]]/ProductionData[[#This Row],[Actual_Production_t]]</f>
        <v>1.5122293739028672</v>
      </c>
      <c r="P13" s="22">
        <f>ProductionData[[#This Row],[Energy_kWh]]/ProductionData[[#This Row],[Actual_Production_t]]</f>
        <v>83.424341720304284</v>
      </c>
      <c r="Q13" s="23">
        <f>ProductionData[[#This Row],[Defects_t]]/ProductionData[[#This Row],[Actual_Production_t]]</f>
        <v>2.3405500292568754E-3</v>
      </c>
      <c r="R13" t="str">
        <f>IF(ProductionData[[#This Row],[Achievement%]]&gt;=100%,"On Target",IF(ProductionData[[#This Row],[Achievement%]]&lt;90%,"Significantly Below Target","Below Target"))</f>
        <v>Significantly Below Target</v>
      </c>
    </row>
    <row r="14" spans="1:18" x14ac:dyDescent="0.25">
      <c r="A14">
        <v>10</v>
      </c>
      <c r="B14" s="3">
        <v>46026</v>
      </c>
      <c r="C14" t="s">
        <v>13</v>
      </c>
      <c r="D14" t="s">
        <v>17</v>
      </c>
      <c r="E14" s="4">
        <v>1037</v>
      </c>
      <c r="F14" s="4">
        <v>1065.5999999999999</v>
      </c>
      <c r="G14" s="4">
        <v>0.09</v>
      </c>
      <c r="H14" t="s">
        <v>23</v>
      </c>
      <c r="I14" s="4">
        <v>1623.3</v>
      </c>
      <c r="J14" s="4">
        <v>91504.6</v>
      </c>
      <c r="K14">
        <v>3</v>
      </c>
      <c r="L14">
        <v>7</v>
      </c>
      <c r="M14" s="21">
        <f>(ProductionData[[#This Row],[Actual_Production_t]]/ProductionData[[#This Row],[Target_Production_t]])</f>
        <v>1.027579556412729</v>
      </c>
      <c r="N14" s="5">
        <f>ProductionData[[#This Row],[Actual_Production_t]]/(ProductionData[[#This Row],[Target_Production_t]]*((8-ProductionData[[#This Row],[Downtime_hr]])/8))</f>
        <v>1.0392713592037714</v>
      </c>
      <c r="O14" s="4">
        <f>ProductionData[[#This Row],[Raw_Material_t]]/ProductionData[[#This Row],[Actual_Production_t]]</f>
        <v>1.5233671171171173</v>
      </c>
      <c r="P14" s="22">
        <f>ProductionData[[#This Row],[Energy_kWh]]/ProductionData[[#This Row],[Actual_Production_t]]</f>
        <v>85.871433933933943</v>
      </c>
      <c r="Q14" s="23">
        <f>ProductionData[[#This Row],[Defects_t]]/ProductionData[[#This Row],[Actual_Production_t]]</f>
        <v>2.8153153153153156E-3</v>
      </c>
      <c r="R14" t="str">
        <f>IF(ProductionData[[#This Row],[Achievement%]]&gt;=100%,"On Target",IF(ProductionData[[#This Row],[Achievement%]]&lt;90%,"Significantly Below Target","Below Target"))</f>
        <v>On Target</v>
      </c>
    </row>
    <row r="15" spans="1:18" x14ac:dyDescent="0.25">
      <c r="A15">
        <v>11</v>
      </c>
      <c r="B15" s="3">
        <v>46026</v>
      </c>
      <c r="C15" t="s">
        <v>16</v>
      </c>
      <c r="D15" t="s">
        <v>17</v>
      </c>
      <c r="E15" s="4">
        <v>1086</v>
      </c>
      <c r="F15" s="4">
        <v>981.7</v>
      </c>
      <c r="G15" s="4">
        <v>2.16</v>
      </c>
      <c r="H15" t="s">
        <v>22</v>
      </c>
      <c r="I15" s="4">
        <v>1507.7</v>
      </c>
      <c r="J15" s="4">
        <v>79844.100000000006</v>
      </c>
      <c r="K15">
        <v>3</v>
      </c>
      <c r="L15">
        <v>7</v>
      </c>
      <c r="M15" s="21">
        <f>(ProductionData[[#This Row],[Actual_Production_t]]/ProductionData[[#This Row],[Target_Production_t]])</f>
        <v>0.90395948434622475</v>
      </c>
      <c r="N15" s="5">
        <f>ProductionData[[#This Row],[Actual_Production_t]]/(ProductionData[[#This Row],[Target_Production_t]]*((8-ProductionData[[#This Row],[Downtime_hr]])/8))</f>
        <v>1.2383006634879792</v>
      </c>
      <c r="O15" s="4">
        <f>ProductionData[[#This Row],[Raw_Material_t]]/ProductionData[[#This Row],[Actual_Production_t]]</f>
        <v>1.5358052358154222</v>
      </c>
      <c r="P15" s="22">
        <f>ProductionData[[#This Row],[Energy_kWh]]/ProductionData[[#This Row],[Actual_Production_t]]</f>
        <v>81.332484465722729</v>
      </c>
      <c r="Q15" s="23">
        <f>ProductionData[[#This Row],[Defects_t]]/ProductionData[[#This Row],[Actual_Production_t]]</f>
        <v>3.0559233981868185E-3</v>
      </c>
      <c r="R15" t="str">
        <f>IF(ProductionData[[#This Row],[Achievement%]]&gt;=100%,"On Target",IF(ProductionData[[#This Row],[Achievement%]]&lt;90%,"Significantly Below Target","Below Target"))</f>
        <v>Below Target</v>
      </c>
    </row>
    <row r="16" spans="1:18" x14ac:dyDescent="0.25">
      <c r="A16">
        <v>12</v>
      </c>
      <c r="B16" s="3">
        <v>46026</v>
      </c>
      <c r="C16" t="s">
        <v>18</v>
      </c>
      <c r="D16" t="s">
        <v>14</v>
      </c>
      <c r="E16" s="4">
        <v>1121</v>
      </c>
      <c r="F16" s="4">
        <v>824.1</v>
      </c>
      <c r="G16" s="4">
        <v>3.07</v>
      </c>
      <c r="H16" t="s">
        <v>22</v>
      </c>
      <c r="I16" s="4">
        <v>1255.5999999999999</v>
      </c>
      <c r="J16" s="4">
        <v>66150.5</v>
      </c>
      <c r="K16">
        <v>1</v>
      </c>
      <c r="L16">
        <v>11</v>
      </c>
      <c r="M16" s="21">
        <f>(ProductionData[[#This Row],[Actual_Production_t]]/ProductionData[[#This Row],[Target_Production_t]])</f>
        <v>0.73514719000892059</v>
      </c>
      <c r="N16" s="5">
        <f>ProductionData[[#This Row],[Actual_Production_t]]/(ProductionData[[#This Row],[Target_Production_t]]*((8-ProductionData[[#This Row],[Downtime_hr]])/8))</f>
        <v>1.1929366166473359</v>
      </c>
      <c r="O16" s="4">
        <f>ProductionData[[#This Row],[Raw_Material_t]]/ProductionData[[#This Row],[Actual_Production_t]]</f>
        <v>1.523601504671763</v>
      </c>
      <c r="P16" s="22">
        <f>ProductionData[[#This Row],[Energy_kWh]]/ProductionData[[#This Row],[Actual_Production_t]]</f>
        <v>80.269991505885201</v>
      </c>
      <c r="Q16" s="23">
        <f>ProductionData[[#This Row],[Defects_t]]/ProductionData[[#This Row],[Actual_Production_t]]</f>
        <v>1.2134449702705982E-3</v>
      </c>
      <c r="R16" t="str">
        <f>IF(ProductionData[[#This Row],[Achievement%]]&gt;=100%,"On Target",IF(ProductionData[[#This Row],[Achievement%]]&lt;90%,"Significantly Below Target","Below Target"))</f>
        <v>Significantly Below Target</v>
      </c>
    </row>
    <row r="17" spans="1:18" x14ac:dyDescent="0.25">
      <c r="A17">
        <v>13</v>
      </c>
      <c r="B17" s="3">
        <v>46027</v>
      </c>
      <c r="C17" t="s">
        <v>13</v>
      </c>
      <c r="D17" t="s">
        <v>14</v>
      </c>
      <c r="E17" s="4">
        <v>1110</v>
      </c>
      <c r="F17" s="4">
        <v>1058.0999999999999</v>
      </c>
      <c r="G17" s="4">
        <v>1.22</v>
      </c>
      <c r="H17" t="s">
        <v>21</v>
      </c>
      <c r="I17" s="4">
        <v>1650.7</v>
      </c>
      <c r="J17" s="4">
        <v>89949.2</v>
      </c>
      <c r="K17">
        <v>3</v>
      </c>
      <c r="L17">
        <v>12</v>
      </c>
      <c r="M17" s="21">
        <f>(ProductionData[[#This Row],[Actual_Production_t]]/ProductionData[[#This Row],[Target_Production_t]])</f>
        <v>0.95324324324324317</v>
      </c>
      <c r="N17" s="5">
        <f>ProductionData[[#This Row],[Actual_Production_t]]/(ProductionData[[#This Row],[Target_Production_t]]*((8-ProductionData[[#This Row],[Downtime_hr]])/8))</f>
        <v>1.1247707884876026</v>
      </c>
      <c r="O17" s="4">
        <f>ProductionData[[#This Row],[Raw_Material_t]]/ProductionData[[#This Row],[Actual_Production_t]]</f>
        <v>1.5600604857763918</v>
      </c>
      <c r="P17" s="22">
        <f>ProductionData[[#This Row],[Energy_kWh]]/ProductionData[[#This Row],[Actual_Production_t]]</f>
        <v>85.010112465740477</v>
      </c>
      <c r="Q17" s="23">
        <f>ProductionData[[#This Row],[Defects_t]]/ProductionData[[#This Row],[Actual_Production_t]]</f>
        <v>2.8352707683583786E-3</v>
      </c>
      <c r="R17" t="str">
        <f>IF(ProductionData[[#This Row],[Achievement%]]&gt;=100%,"On Target",IF(ProductionData[[#This Row],[Achievement%]]&lt;90%,"Significantly Below Target","Below Target"))</f>
        <v>Below Target</v>
      </c>
    </row>
    <row r="18" spans="1:18" x14ac:dyDescent="0.25">
      <c r="A18">
        <v>14</v>
      </c>
      <c r="B18" s="3">
        <v>46027</v>
      </c>
      <c r="C18" t="s">
        <v>16</v>
      </c>
      <c r="D18" t="s">
        <v>14</v>
      </c>
      <c r="E18" s="4">
        <v>1125</v>
      </c>
      <c r="F18" s="4">
        <v>1059.5999999999999</v>
      </c>
      <c r="G18" s="4">
        <v>1.72</v>
      </c>
      <c r="H18" t="s">
        <v>15</v>
      </c>
      <c r="I18" s="4">
        <v>1673.9</v>
      </c>
      <c r="J18" s="4">
        <v>90593.3</v>
      </c>
      <c r="K18">
        <v>0</v>
      </c>
      <c r="L18">
        <v>9</v>
      </c>
      <c r="M18" s="21">
        <f>(ProductionData[[#This Row],[Actual_Production_t]]/ProductionData[[#This Row],[Target_Production_t]])</f>
        <v>0.94186666666666663</v>
      </c>
      <c r="N18" s="5">
        <f>ProductionData[[#This Row],[Actual_Production_t]]/(ProductionData[[#This Row],[Target_Production_t]]*((8-ProductionData[[#This Row],[Downtime_hr]])/8))</f>
        <v>1.1998301486199574</v>
      </c>
      <c r="O18" s="4">
        <f>ProductionData[[#This Row],[Raw_Material_t]]/ProductionData[[#This Row],[Actual_Production_t]]</f>
        <v>1.5797470743676862</v>
      </c>
      <c r="P18" s="22">
        <f>ProductionData[[#This Row],[Energy_kWh]]/ProductionData[[#This Row],[Actual_Production_t]]</f>
        <v>85.49764061910156</v>
      </c>
      <c r="Q18" s="23">
        <f>ProductionData[[#This Row],[Defects_t]]/ProductionData[[#This Row],[Actual_Production_t]]</f>
        <v>0</v>
      </c>
      <c r="R18" t="str">
        <f>IF(ProductionData[[#This Row],[Achievement%]]&gt;=100%,"On Target",IF(ProductionData[[#This Row],[Achievement%]]&lt;90%,"Significantly Below Target","Below Target"))</f>
        <v>Below Target</v>
      </c>
    </row>
    <row r="19" spans="1:18" x14ac:dyDescent="0.25">
      <c r="A19">
        <v>15</v>
      </c>
      <c r="B19" s="3">
        <v>46027</v>
      </c>
      <c r="C19" t="s">
        <v>18</v>
      </c>
      <c r="D19" t="s">
        <v>19</v>
      </c>
      <c r="E19" s="4">
        <v>959</v>
      </c>
      <c r="F19" s="4">
        <v>766.6</v>
      </c>
      <c r="G19" s="4">
        <v>3.35</v>
      </c>
      <c r="H19" t="s">
        <v>20</v>
      </c>
      <c r="I19" s="4">
        <v>1144.3</v>
      </c>
      <c r="J19" s="4">
        <v>61877.1</v>
      </c>
      <c r="K19">
        <v>5</v>
      </c>
      <c r="L19">
        <v>10</v>
      </c>
      <c r="M19" s="21">
        <f>(ProductionData[[#This Row],[Actual_Production_t]]/ProductionData[[#This Row],[Target_Production_t]])</f>
        <v>0.79937434827945775</v>
      </c>
      <c r="N19" s="5">
        <f>ProductionData[[#This Row],[Actual_Production_t]]/(ProductionData[[#This Row],[Target_Production_t]]*((8-ProductionData[[#This Row],[Downtime_hr]])/8))</f>
        <v>1.3752676959646584</v>
      </c>
      <c r="O19" s="4">
        <f>ProductionData[[#This Row],[Raw_Material_t]]/ProductionData[[#This Row],[Actual_Production_t]]</f>
        <v>1.4926950169579962</v>
      </c>
      <c r="P19" s="22">
        <f>ProductionData[[#This Row],[Energy_kWh]]/ProductionData[[#This Row],[Actual_Production_t]]</f>
        <v>80.716279676493599</v>
      </c>
      <c r="Q19" s="23">
        <f>ProductionData[[#This Row],[Defects_t]]/ProductionData[[#This Row],[Actual_Production_t]]</f>
        <v>6.5223062875032611E-3</v>
      </c>
      <c r="R19" t="str">
        <f>IF(ProductionData[[#This Row],[Achievement%]]&gt;=100%,"On Target",IF(ProductionData[[#This Row],[Achievement%]]&lt;90%,"Significantly Below Target","Below Target"))</f>
        <v>Significantly Below Target</v>
      </c>
    </row>
    <row r="20" spans="1:18" x14ac:dyDescent="0.25">
      <c r="A20">
        <v>16</v>
      </c>
      <c r="B20" s="3">
        <v>46028</v>
      </c>
      <c r="C20" t="s">
        <v>13</v>
      </c>
      <c r="D20" t="s">
        <v>14</v>
      </c>
      <c r="E20" s="4">
        <v>1110</v>
      </c>
      <c r="F20" s="4">
        <v>1001.2</v>
      </c>
      <c r="G20" s="4">
        <v>3.42</v>
      </c>
      <c r="H20" t="s">
        <v>22</v>
      </c>
      <c r="I20" s="4">
        <v>1540.1</v>
      </c>
      <c r="J20" s="4">
        <v>83288.100000000006</v>
      </c>
      <c r="K20">
        <v>3</v>
      </c>
      <c r="L20">
        <v>10</v>
      </c>
      <c r="M20" s="21">
        <f>(ProductionData[[#This Row],[Actual_Production_t]]/ProductionData[[#This Row],[Target_Production_t]])</f>
        <v>0.90198198198198198</v>
      </c>
      <c r="N20" s="5">
        <f>ProductionData[[#This Row],[Actual_Production_t]]/(ProductionData[[#This Row],[Target_Production_t]]*((8-ProductionData[[#This Row],[Downtime_hr]])/8))</f>
        <v>1.5755143790078288</v>
      </c>
      <c r="O20" s="4">
        <f>ProductionData[[#This Row],[Raw_Material_t]]/ProductionData[[#This Row],[Actual_Production_t]]</f>
        <v>1.5382540950858967</v>
      </c>
      <c r="P20" s="22">
        <f>ProductionData[[#This Row],[Energy_kWh]]/ProductionData[[#This Row],[Actual_Production_t]]</f>
        <v>83.188274071114662</v>
      </c>
      <c r="Q20" s="23">
        <f>ProductionData[[#This Row],[Defects_t]]/ProductionData[[#This Row],[Actual_Production_t]]</f>
        <v>2.9964043148222133E-3</v>
      </c>
      <c r="R20" t="str">
        <f>IF(ProductionData[[#This Row],[Achievement%]]&gt;=100%,"On Target",IF(ProductionData[[#This Row],[Achievement%]]&lt;90%,"Significantly Below Target","Below Target"))</f>
        <v>Below Target</v>
      </c>
    </row>
    <row r="21" spans="1:18" x14ac:dyDescent="0.25">
      <c r="A21">
        <v>17</v>
      </c>
      <c r="B21" s="3">
        <v>46028</v>
      </c>
      <c r="C21" t="s">
        <v>16</v>
      </c>
      <c r="D21" t="s">
        <v>19</v>
      </c>
      <c r="E21" s="4">
        <v>964</v>
      </c>
      <c r="F21" s="4">
        <v>851.1</v>
      </c>
      <c r="G21" s="4">
        <v>2.78</v>
      </c>
      <c r="H21" t="s">
        <v>20</v>
      </c>
      <c r="I21" s="4">
        <v>1264.5999999999999</v>
      </c>
      <c r="J21" s="4">
        <v>72468.3</v>
      </c>
      <c r="K21">
        <v>5</v>
      </c>
      <c r="L21">
        <v>10</v>
      </c>
      <c r="M21" s="21">
        <f>(ProductionData[[#This Row],[Actual_Production_t]]/ProductionData[[#This Row],[Target_Production_t]])</f>
        <v>0.88288381742738586</v>
      </c>
      <c r="N21" s="5">
        <f>ProductionData[[#This Row],[Actual_Production_t]]/(ProductionData[[#This Row],[Target_Production_t]]*((8-ProductionData[[#This Row],[Downtime_hr]])/8))</f>
        <v>1.3530786473982923</v>
      </c>
      <c r="O21" s="4">
        <f>ProductionData[[#This Row],[Raw_Material_t]]/ProductionData[[#This Row],[Actual_Production_t]]</f>
        <v>1.4858418517213017</v>
      </c>
      <c r="P21" s="22">
        <f>ProductionData[[#This Row],[Energy_kWh]]/ProductionData[[#This Row],[Actual_Production_t]]</f>
        <v>85.146633768064859</v>
      </c>
      <c r="Q21" s="23">
        <f>ProductionData[[#This Row],[Defects_t]]/ProductionData[[#This Row],[Actual_Production_t]]</f>
        <v>5.8747503231112675E-3</v>
      </c>
      <c r="R21" t="str">
        <f>IF(ProductionData[[#This Row],[Achievement%]]&gt;=100%,"On Target",IF(ProductionData[[#This Row],[Achievement%]]&lt;90%,"Significantly Below Target","Below Target"))</f>
        <v>Significantly Below Target</v>
      </c>
    </row>
    <row r="22" spans="1:18" x14ac:dyDescent="0.25">
      <c r="A22">
        <v>18</v>
      </c>
      <c r="B22" s="3">
        <v>46028</v>
      </c>
      <c r="C22" t="s">
        <v>18</v>
      </c>
      <c r="D22" t="s">
        <v>17</v>
      </c>
      <c r="E22" s="4">
        <v>1031</v>
      </c>
      <c r="F22" s="4">
        <v>742.6</v>
      </c>
      <c r="G22" s="4">
        <v>4.78</v>
      </c>
      <c r="H22" t="s">
        <v>20</v>
      </c>
      <c r="I22" s="4">
        <v>1199.9000000000001</v>
      </c>
      <c r="J22" s="4">
        <v>61174.400000000001</v>
      </c>
      <c r="K22">
        <v>1</v>
      </c>
      <c r="L22">
        <v>11</v>
      </c>
      <c r="M22" s="21">
        <f>(ProductionData[[#This Row],[Actual_Production_t]]/ProductionData[[#This Row],[Target_Production_t]])</f>
        <v>0.72027158098933075</v>
      </c>
      <c r="N22" s="5">
        <f>ProductionData[[#This Row],[Actual_Production_t]]/(ProductionData[[#This Row],[Target_Production_t]]*((8-ProductionData[[#This Row],[Downtime_hr]])/8))</f>
        <v>1.789494611153617</v>
      </c>
      <c r="O22" s="4">
        <f>ProductionData[[#This Row],[Raw_Material_t]]/ProductionData[[#This Row],[Actual_Production_t]]</f>
        <v>1.6158093186102882</v>
      </c>
      <c r="P22" s="22">
        <f>ProductionData[[#This Row],[Energy_kWh]]/ProductionData[[#This Row],[Actual_Production_t]]</f>
        <v>82.37866953945597</v>
      </c>
      <c r="Q22" s="23">
        <f>ProductionData[[#This Row],[Defects_t]]/ProductionData[[#This Row],[Actual_Production_t]]</f>
        <v>1.3466199838405601E-3</v>
      </c>
      <c r="R22" t="str">
        <f>IF(ProductionData[[#This Row],[Achievement%]]&gt;=100%,"On Target",IF(ProductionData[[#This Row],[Achievement%]]&lt;90%,"Significantly Below Target","Below Target"))</f>
        <v>Significantly Below Target</v>
      </c>
    </row>
    <row r="23" spans="1:18" x14ac:dyDescent="0.25">
      <c r="A23">
        <v>19</v>
      </c>
      <c r="B23" s="3">
        <v>46029</v>
      </c>
      <c r="C23" t="s">
        <v>13</v>
      </c>
      <c r="D23" t="s">
        <v>17</v>
      </c>
      <c r="E23" s="4">
        <v>1013</v>
      </c>
      <c r="F23" s="4">
        <v>741.1</v>
      </c>
      <c r="G23" s="4">
        <v>6.67</v>
      </c>
      <c r="H23" t="s">
        <v>15</v>
      </c>
      <c r="I23" s="4">
        <v>1123.3</v>
      </c>
      <c r="J23" s="4">
        <v>62966.9</v>
      </c>
      <c r="K23">
        <v>4</v>
      </c>
      <c r="L23">
        <v>7</v>
      </c>
      <c r="M23" s="21">
        <f>(ProductionData[[#This Row],[Actual_Production_t]]/ProductionData[[#This Row],[Target_Production_t]])</f>
        <v>0.73158933859822317</v>
      </c>
      <c r="N23" s="5">
        <f>ProductionData[[#This Row],[Actual_Production_t]]/(ProductionData[[#This Row],[Target_Production_t]]*((8-ProductionData[[#This Row],[Downtime_hr]])/8))</f>
        <v>4.4005373750269063</v>
      </c>
      <c r="O23" s="4">
        <f>ProductionData[[#This Row],[Raw_Material_t]]/ProductionData[[#This Row],[Actual_Production_t]]</f>
        <v>1.5157198758602077</v>
      </c>
      <c r="P23" s="22">
        <f>ProductionData[[#This Row],[Energy_kWh]]/ProductionData[[#This Row],[Actual_Production_t]]</f>
        <v>84.964107407907164</v>
      </c>
      <c r="Q23" s="23">
        <f>ProductionData[[#This Row],[Defects_t]]/ProductionData[[#This Row],[Actual_Production_t]]</f>
        <v>5.397382269599244E-3</v>
      </c>
      <c r="R23" t="str">
        <f>IF(ProductionData[[#This Row],[Achievement%]]&gt;=100%,"On Target",IF(ProductionData[[#This Row],[Achievement%]]&lt;90%,"Significantly Below Target","Below Target"))</f>
        <v>Significantly Below Target</v>
      </c>
    </row>
    <row r="24" spans="1:18" x14ac:dyDescent="0.25">
      <c r="A24">
        <v>20</v>
      </c>
      <c r="B24" s="3">
        <v>46029</v>
      </c>
      <c r="C24" t="s">
        <v>16</v>
      </c>
      <c r="D24" t="s">
        <v>14</v>
      </c>
      <c r="E24" s="4">
        <v>1127</v>
      </c>
      <c r="F24" s="4">
        <v>924.3</v>
      </c>
      <c r="G24" s="4">
        <v>4</v>
      </c>
      <c r="H24" t="s">
        <v>20</v>
      </c>
      <c r="I24" s="4">
        <v>1412.3</v>
      </c>
      <c r="J24" s="4">
        <v>72798</v>
      </c>
      <c r="K24">
        <v>4</v>
      </c>
      <c r="L24">
        <v>7</v>
      </c>
      <c r="M24" s="21">
        <f>(ProductionData[[#This Row],[Actual_Production_t]]/ProductionData[[#This Row],[Target_Production_t]])</f>
        <v>0.82014196983141074</v>
      </c>
      <c r="N24" s="5">
        <f>ProductionData[[#This Row],[Actual_Production_t]]/(ProductionData[[#This Row],[Target_Production_t]]*((8-ProductionData[[#This Row],[Downtime_hr]])/8))</f>
        <v>1.6402839396628215</v>
      </c>
      <c r="O24" s="4">
        <f>ProductionData[[#This Row],[Raw_Material_t]]/ProductionData[[#This Row],[Actual_Production_t]]</f>
        <v>1.5279671102455912</v>
      </c>
      <c r="P24" s="22">
        <f>ProductionData[[#This Row],[Energy_kWh]]/ProductionData[[#This Row],[Actual_Production_t]]</f>
        <v>78.760142810775733</v>
      </c>
      <c r="Q24" s="23">
        <f>ProductionData[[#This Row],[Defects_t]]/ProductionData[[#This Row],[Actual_Production_t]]</f>
        <v>4.3275992643081254E-3</v>
      </c>
      <c r="R24" t="str">
        <f>IF(ProductionData[[#This Row],[Achievement%]]&gt;=100%,"On Target",IF(ProductionData[[#This Row],[Achievement%]]&lt;90%,"Significantly Below Target","Below Target"))</f>
        <v>Significantly Below Target</v>
      </c>
    </row>
    <row r="25" spans="1:18" x14ac:dyDescent="0.25">
      <c r="A25">
        <v>21</v>
      </c>
      <c r="B25" s="3">
        <v>46029</v>
      </c>
      <c r="C25" t="s">
        <v>18</v>
      </c>
      <c r="D25" t="s">
        <v>14</v>
      </c>
      <c r="E25" s="4">
        <v>1157</v>
      </c>
      <c r="F25" s="4">
        <v>1071.8</v>
      </c>
      <c r="G25" s="4">
        <v>0</v>
      </c>
      <c r="H25" t="s">
        <v>24</v>
      </c>
      <c r="I25" s="4">
        <v>1653.8</v>
      </c>
      <c r="J25" s="4">
        <v>81732.399999999994</v>
      </c>
      <c r="K25">
        <v>1</v>
      </c>
      <c r="L25">
        <v>10</v>
      </c>
      <c r="M25" s="21">
        <f>(ProductionData[[#This Row],[Actual_Production_t]]/ProductionData[[#This Row],[Target_Production_t]])</f>
        <v>0.92636127917026789</v>
      </c>
      <c r="N25" s="5">
        <f>ProductionData[[#This Row],[Actual_Production_t]]/(ProductionData[[#This Row],[Target_Production_t]]*((8-ProductionData[[#This Row],[Downtime_hr]])/8))</f>
        <v>0.92636127917026789</v>
      </c>
      <c r="O25" s="4">
        <f>ProductionData[[#This Row],[Raw_Material_t]]/ProductionData[[#This Row],[Actual_Production_t]]</f>
        <v>1.5430117559246128</v>
      </c>
      <c r="P25" s="22">
        <f>ProductionData[[#This Row],[Energy_kWh]]/ProductionData[[#This Row],[Actual_Production_t]]</f>
        <v>76.257137525657768</v>
      </c>
      <c r="Q25" s="23">
        <f>ProductionData[[#This Row],[Defects_t]]/ProductionData[[#This Row],[Actual_Production_t]]</f>
        <v>9.3300988990483304E-4</v>
      </c>
      <c r="R25" t="str">
        <f>IF(ProductionData[[#This Row],[Achievement%]]&gt;=100%,"On Target",IF(ProductionData[[#This Row],[Achievement%]]&lt;90%,"Significantly Below Target","Below Target"))</f>
        <v>Below Target</v>
      </c>
    </row>
    <row r="26" spans="1:18" x14ac:dyDescent="0.25">
      <c r="A26">
        <v>22</v>
      </c>
      <c r="B26" s="3">
        <v>46030</v>
      </c>
      <c r="C26" t="s">
        <v>13</v>
      </c>
      <c r="D26" t="s">
        <v>17</v>
      </c>
      <c r="E26" s="4">
        <v>1074</v>
      </c>
      <c r="F26" s="4">
        <v>778.6</v>
      </c>
      <c r="G26" s="4">
        <v>6.38</v>
      </c>
      <c r="H26" t="s">
        <v>15</v>
      </c>
      <c r="I26" s="4">
        <v>1185.3</v>
      </c>
      <c r="J26" s="4">
        <v>62570</v>
      </c>
      <c r="K26">
        <v>2</v>
      </c>
      <c r="L26">
        <v>8</v>
      </c>
      <c r="M26" s="21">
        <f>(ProductionData[[#This Row],[Actual_Production_t]]/ProductionData[[#This Row],[Target_Production_t]])</f>
        <v>0.72495344506517689</v>
      </c>
      <c r="N26" s="5">
        <f>ProductionData[[#This Row],[Actual_Production_t]]/(ProductionData[[#This Row],[Target_Production_t]]*((8-ProductionData[[#This Row],[Downtime_hr]])/8))</f>
        <v>3.5800170126675401</v>
      </c>
      <c r="O26" s="4">
        <f>ProductionData[[#This Row],[Raw_Material_t]]/ProductionData[[#This Row],[Actual_Production_t]]</f>
        <v>1.5223478037503211</v>
      </c>
      <c r="P26" s="22">
        <f>ProductionData[[#This Row],[Energy_kWh]]/ProductionData[[#This Row],[Actual_Production_t]]</f>
        <v>80.362188543539688</v>
      </c>
      <c r="Q26" s="23">
        <f>ProductionData[[#This Row],[Defects_t]]/ProductionData[[#This Row],[Actual_Production_t]]</f>
        <v>2.5687130747495505E-3</v>
      </c>
      <c r="R26" t="str">
        <f>IF(ProductionData[[#This Row],[Achievement%]]&gt;=100%,"On Target",IF(ProductionData[[#This Row],[Achievement%]]&lt;90%,"Significantly Below Target","Below Target"))</f>
        <v>Significantly Below Target</v>
      </c>
    </row>
    <row r="27" spans="1:18" x14ac:dyDescent="0.25">
      <c r="A27">
        <v>23</v>
      </c>
      <c r="B27" s="3">
        <v>46030</v>
      </c>
      <c r="C27" t="s">
        <v>16</v>
      </c>
      <c r="D27" t="s">
        <v>17</v>
      </c>
      <c r="E27" s="4">
        <v>1031</v>
      </c>
      <c r="F27" s="4">
        <v>759.7</v>
      </c>
      <c r="G27" s="4">
        <v>6.02</v>
      </c>
      <c r="H27" t="s">
        <v>15</v>
      </c>
      <c r="I27" s="4">
        <v>1130.9000000000001</v>
      </c>
      <c r="J27" s="4">
        <v>61274.400000000001</v>
      </c>
      <c r="K27">
        <v>2</v>
      </c>
      <c r="L27">
        <v>11</v>
      </c>
      <c r="M27" s="21">
        <f>(ProductionData[[#This Row],[Actual_Production_t]]/ProductionData[[#This Row],[Target_Production_t]])</f>
        <v>0.73685741998060139</v>
      </c>
      <c r="N27" s="5">
        <f>ProductionData[[#This Row],[Actual_Production_t]]/(ProductionData[[#This Row],[Target_Production_t]]*((8-ProductionData[[#This Row],[Downtime_hr]])/8))</f>
        <v>2.9772016968913184</v>
      </c>
      <c r="O27" s="4">
        <f>ProductionData[[#This Row],[Raw_Material_t]]/ProductionData[[#This Row],[Actual_Production_t]]</f>
        <v>1.4886139265499541</v>
      </c>
      <c r="P27" s="22">
        <f>ProductionData[[#This Row],[Energy_kWh]]/ProductionData[[#This Row],[Actual_Production_t]]</f>
        <v>80.656048440173748</v>
      </c>
      <c r="Q27" s="23">
        <f>ProductionData[[#This Row],[Defects_t]]/ProductionData[[#This Row],[Actual_Production_t]]</f>
        <v>2.6326181387389758E-3</v>
      </c>
      <c r="R27" t="str">
        <f>IF(ProductionData[[#This Row],[Achievement%]]&gt;=100%,"On Target",IF(ProductionData[[#This Row],[Achievement%]]&lt;90%,"Significantly Below Target","Below Target"))</f>
        <v>Significantly Below Target</v>
      </c>
    </row>
    <row r="28" spans="1:18" x14ac:dyDescent="0.25">
      <c r="A28">
        <v>24</v>
      </c>
      <c r="B28" s="3">
        <v>46030</v>
      </c>
      <c r="C28" t="s">
        <v>18</v>
      </c>
      <c r="D28" t="s">
        <v>17</v>
      </c>
      <c r="E28" s="4">
        <v>1015</v>
      </c>
      <c r="F28" s="4">
        <v>812.9</v>
      </c>
      <c r="G28" s="4">
        <v>2.2799999999999998</v>
      </c>
      <c r="H28" t="s">
        <v>21</v>
      </c>
      <c r="I28" s="4">
        <v>1274.3</v>
      </c>
      <c r="J28" s="4">
        <v>69348.600000000006</v>
      </c>
      <c r="K28">
        <v>4</v>
      </c>
      <c r="L28">
        <v>10</v>
      </c>
      <c r="M28" s="21">
        <f>(ProductionData[[#This Row],[Actual_Production_t]]/ProductionData[[#This Row],[Target_Production_t]])</f>
        <v>0.80088669950738911</v>
      </c>
      <c r="N28" s="5">
        <f>ProductionData[[#This Row],[Actual_Production_t]]/(ProductionData[[#This Row],[Target_Production_t]]*((8-ProductionData[[#This Row],[Downtime_hr]])/8))</f>
        <v>1.1201212580522923</v>
      </c>
      <c r="O28" s="4">
        <f>ProductionData[[#This Row],[Raw_Material_t]]/ProductionData[[#This Row],[Actual_Production_t]]</f>
        <v>1.567597490466232</v>
      </c>
      <c r="P28" s="22">
        <f>ProductionData[[#This Row],[Energy_kWh]]/ProductionData[[#This Row],[Actual_Production_t]]</f>
        <v>85.310124246524794</v>
      </c>
      <c r="Q28" s="23">
        <f>ProductionData[[#This Row],[Defects_t]]/ProductionData[[#This Row],[Actual_Production_t]]</f>
        <v>4.9206544470414568E-3</v>
      </c>
      <c r="R28" t="str">
        <f>IF(ProductionData[[#This Row],[Achievement%]]&gt;=100%,"On Target",IF(ProductionData[[#This Row],[Achievement%]]&lt;90%,"Significantly Below Target","Below Target"))</f>
        <v>Significantly Below Target</v>
      </c>
    </row>
    <row r="29" spans="1:18" x14ac:dyDescent="0.25">
      <c r="A29">
        <v>25</v>
      </c>
      <c r="B29" s="3">
        <v>46031</v>
      </c>
      <c r="C29" t="s">
        <v>13</v>
      </c>
      <c r="D29" t="s">
        <v>17</v>
      </c>
      <c r="E29" s="4">
        <v>1071</v>
      </c>
      <c r="F29" s="4">
        <v>985.7</v>
      </c>
      <c r="G29" s="4">
        <v>3.06</v>
      </c>
      <c r="H29" t="s">
        <v>24</v>
      </c>
      <c r="I29" s="4">
        <v>1486.7</v>
      </c>
      <c r="J29" s="4">
        <v>79570.8</v>
      </c>
      <c r="K29">
        <v>4</v>
      </c>
      <c r="L29">
        <v>11</v>
      </c>
      <c r="M29" s="21">
        <f>(ProductionData[[#This Row],[Actual_Production_t]]/ProductionData[[#This Row],[Target_Production_t]])</f>
        <v>0.92035480859010277</v>
      </c>
      <c r="N29" s="5">
        <f>ProductionData[[#This Row],[Actual_Production_t]]/(ProductionData[[#This Row],[Target_Production_t]]*((8-ProductionData[[#This Row],[Downtime_hr]])/8))</f>
        <v>1.4904531313200045</v>
      </c>
      <c r="O29" s="4">
        <f>ProductionData[[#This Row],[Raw_Material_t]]/ProductionData[[#This Row],[Actual_Production_t]]</f>
        <v>1.5082682357715329</v>
      </c>
      <c r="P29" s="22">
        <f>ProductionData[[#This Row],[Energy_kWh]]/ProductionData[[#This Row],[Actual_Production_t]]</f>
        <v>80.725169929998984</v>
      </c>
      <c r="Q29" s="23">
        <f>ProductionData[[#This Row],[Defects_t]]/ProductionData[[#This Row],[Actual_Production_t]]</f>
        <v>4.0580298265192249E-3</v>
      </c>
      <c r="R29" t="str">
        <f>IF(ProductionData[[#This Row],[Achievement%]]&gt;=100%,"On Target",IF(ProductionData[[#This Row],[Achievement%]]&lt;90%,"Significantly Below Target","Below Target"))</f>
        <v>Below Target</v>
      </c>
    </row>
    <row r="30" spans="1:18" x14ac:dyDescent="0.25">
      <c r="A30">
        <v>26</v>
      </c>
      <c r="B30" s="3">
        <v>46031</v>
      </c>
      <c r="C30" t="s">
        <v>16</v>
      </c>
      <c r="D30" t="s">
        <v>17</v>
      </c>
      <c r="E30" s="4">
        <v>1072</v>
      </c>
      <c r="F30" s="4">
        <v>831.3</v>
      </c>
      <c r="G30" s="4">
        <v>4.6100000000000003</v>
      </c>
      <c r="H30" t="s">
        <v>15</v>
      </c>
      <c r="I30" s="4">
        <v>1243.7</v>
      </c>
      <c r="J30" s="4">
        <v>67287.100000000006</v>
      </c>
      <c r="K30">
        <v>1</v>
      </c>
      <c r="L30">
        <v>12</v>
      </c>
      <c r="M30" s="21">
        <f>(ProductionData[[#This Row],[Actual_Production_t]]/ProductionData[[#This Row],[Target_Production_t]])</f>
        <v>0.77546641791044768</v>
      </c>
      <c r="N30" s="5">
        <f>ProductionData[[#This Row],[Actual_Production_t]]/(ProductionData[[#This Row],[Target_Production_t]]*((8-ProductionData[[#This Row],[Downtime_hr]])/8))</f>
        <v>1.8300092458063666</v>
      </c>
      <c r="O30" s="4">
        <f>ProductionData[[#This Row],[Raw_Material_t]]/ProductionData[[#This Row],[Actual_Production_t]]</f>
        <v>1.4960904607241672</v>
      </c>
      <c r="P30" s="22">
        <f>ProductionData[[#This Row],[Energy_kWh]]/ProductionData[[#This Row],[Actual_Production_t]]</f>
        <v>80.942018525201505</v>
      </c>
      <c r="Q30" s="23">
        <f>ProductionData[[#This Row],[Defects_t]]/ProductionData[[#This Row],[Actual_Production_t]]</f>
        <v>1.2029351617947794E-3</v>
      </c>
      <c r="R30" t="str">
        <f>IF(ProductionData[[#This Row],[Achievement%]]&gt;=100%,"On Target",IF(ProductionData[[#This Row],[Achievement%]]&lt;90%,"Significantly Below Target","Below Target"))</f>
        <v>Significantly Below Target</v>
      </c>
    </row>
    <row r="31" spans="1:18" x14ac:dyDescent="0.25">
      <c r="A31">
        <v>27</v>
      </c>
      <c r="B31" s="3">
        <v>46031</v>
      </c>
      <c r="C31" t="s">
        <v>18</v>
      </c>
      <c r="D31" t="s">
        <v>17</v>
      </c>
      <c r="E31" s="4">
        <v>1085</v>
      </c>
      <c r="F31" s="4">
        <v>976.9</v>
      </c>
      <c r="G31" s="4">
        <v>1.27</v>
      </c>
      <c r="H31" t="s">
        <v>21</v>
      </c>
      <c r="I31" s="4">
        <v>1470.5</v>
      </c>
      <c r="J31" s="4">
        <v>80650.3</v>
      </c>
      <c r="K31">
        <v>3</v>
      </c>
      <c r="L31">
        <v>9</v>
      </c>
      <c r="M31" s="21">
        <f>(ProductionData[[#This Row],[Actual_Production_t]]/ProductionData[[#This Row],[Target_Production_t]])</f>
        <v>0.90036866359446999</v>
      </c>
      <c r="N31" s="5">
        <f>ProductionData[[#This Row],[Actual_Production_t]]/(ProductionData[[#This Row],[Target_Production_t]]*((8-ProductionData[[#This Row],[Downtime_hr]])/8))</f>
        <v>1.0702747858478099</v>
      </c>
      <c r="O31" s="4">
        <f>ProductionData[[#This Row],[Raw_Material_t]]/ProductionData[[#This Row],[Actual_Production_t]]</f>
        <v>1.5052717780734979</v>
      </c>
      <c r="P31" s="22">
        <f>ProductionData[[#This Row],[Energy_kWh]]/ProductionData[[#This Row],[Actual_Production_t]]</f>
        <v>82.557375371071757</v>
      </c>
      <c r="Q31" s="23">
        <f>ProductionData[[#This Row],[Defects_t]]/ProductionData[[#This Row],[Actual_Production_t]]</f>
        <v>3.0709386835909508E-3</v>
      </c>
      <c r="R31" t="str">
        <f>IF(ProductionData[[#This Row],[Achievement%]]&gt;=100%,"On Target",IF(ProductionData[[#This Row],[Achievement%]]&lt;90%,"Significantly Below Target","Below Target"))</f>
        <v>Below Target</v>
      </c>
    </row>
    <row r="32" spans="1:18" x14ac:dyDescent="0.25">
      <c r="A32">
        <v>28</v>
      </c>
      <c r="B32" s="3">
        <v>46032</v>
      </c>
      <c r="C32" t="s">
        <v>13</v>
      </c>
      <c r="D32" t="s">
        <v>17</v>
      </c>
      <c r="E32" s="4">
        <v>1010</v>
      </c>
      <c r="F32" s="4">
        <v>817.2</v>
      </c>
      <c r="G32" s="4">
        <v>5.3</v>
      </c>
      <c r="H32" t="s">
        <v>20</v>
      </c>
      <c r="I32" s="4">
        <v>1275.5999999999999</v>
      </c>
      <c r="J32" s="4">
        <v>68745.100000000006</v>
      </c>
      <c r="K32">
        <v>2</v>
      </c>
      <c r="L32">
        <v>11</v>
      </c>
      <c r="M32" s="21">
        <f>(ProductionData[[#This Row],[Actual_Production_t]]/ProductionData[[#This Row],[Target_Production_t]])</f>
        <v>0.80910891089108916</v>
      </c>
      <c r="N32" s="5">
        <f>ProductionData[[#This Row],[Actual_Production_t]]/(ProductionData[[#This Row],[Target_Production_t]]*((8-ProductionData[[#This Row],[Downtime_hr]])/8))</f>
        <v>2.3973597359735974</v>
      </c>
      <c r="O32" s="4">
        <f>ProductionData[[#This Row],[Raw_Material_t]]/ProductionData[[#This Row],[Actual_Production_t]]</f>
        <v>1.5609397944199703</v>
      </c>
      <c r="P32" s="22">
        <f>ProductionData[[#This Row],[Energy_kWh]]/ProductionData[[#This Row],[Actual_Production_t]]</f>
        <v>84.122736172295646</v>
      </c>
      <c r="Q32" s="23">
        <f>ProductionData[[#This Row],[Defects_t]]/ProductionData[[#This Row],[Actual_Production_t]]</f>
        <v>2.4473813020068525E-3</v>
      </c>
      <c r="R32" t="str">
        <f>IF(ProductionData[[#This Row],[Achievement%]]&gt;=100%,"On Target",IF(ProductionData[[#This Row],[Achievement%]]&lt;90%,"Significantly Below Target","Below Target"))</f>
        <v>Significantly Below Target</v>
      </c>
    </row>
    <row r="33" spans="1:18" x14ac:dyDescent="0.25">
      <c r="A33">
        <v>29</v>
      </c>
      <c r="B33" s="3">
        <v>46032</v>
      </c>
      <c r="C33" t="s">
        <v>16</v>
      </c>
      <c r="D33" t="s">
        <v>17</v>
      </c>
      <c r="E33" s="4">
        <v>1021</v>
      </c>
      <c r="F33" s="4">
        <v>992.6</v>
      </c>
      <c r="G33" s="4">
        <v>0.1</v>
      </c>
      <c r="H33" t="s">
        <v>23</v>
      </c>
      <c r="I33" s="4">
        <v>1491.9</v>
      </c>
      <c r="J33" s="4">
        <v>82219.199999999997</v>
      </c>
      <c r="K33">
        <v>2</v>
      </c>
      <c r="L33">
        <v>8</v>
      </c>
      <c r="M33" s="21">
        <f>(ProductionData[[#This Row],[Actual_Production_t]]/ProductionData[[#This Row],[Target_Production_t]])</f>
        <v>0.97218413320274244</v>
      </c>
      <c r="N33" s="5">
        <f>ProductionData[[#This Row],[Actual_Production_t]]/(ProductionData[[#This Row],[Target_Production_t]]*((8-ProductionData[[#This Row],[Downtime_hr]])/8))</f>
        <v>0.9844902614711315</v>
      </c>
      <c r="O33" s="4">
        <f>ProductionData[[#This Row],[Raw_Material_t]]/ProductionData[[#This Row],[Actual_Production_t]]</f>
        <v>1.503022365504735</v>
      </c>
      <c r="P33" s="22">
        <f>ProductionData[[#This Row],[Energy_kWh]]/ProductionData[[#This Row],[Actual_Production_t]]</f>
        <v>82.832157968970378</v>
      </c>
      <c r="Q33" s="23">
        <f>ProductionData[[#This Row],[Defects_t]]/ProductionData[[#This Row],[Actual_Production_t]]</f>
        <v>2.0149103364900263E-3</v>
      </c>
      <c r="R33" t="str">
        <f>IF(ProductionData[[#This Row],[Achievement%]]&gt;=100%,"On Target",IF(ProductionData[[#This Row],[Achievement%]]&lt;90%,"Significantly Below Target","Below Target"))</f>
        <v>Below Target</v>
      </c>
    </row>
    <row r="34" spans="1:18" x14ac:dyDescent="0.25">
      <c r="A34">
        <v>30</v>
      </c>
      <c r="B34" s="3">
        <v>46032</v>
      </c>
      <c r="C34" t="s">
        <v>18</v>
      </c>
      <c r="D34" t="s">
        <v>14</v>
      </c>
      <c r="E34" s="4">
        <v>1116</v>
      </c>
      <c r="F34" s="4">
        <v>773.9</v>
      </c>
      <c r="G34" s="4">
        <v>5.07</v>
      </c>
      <c r="H34" t="s">
        <v>20</v>
      </c>
      <c r="I34" s="4">
        <v>1198.4000000000001</v>
      </c>
      <c r="J34" s="4">
        <v>65409.7</v>
      </c>
      <c r="K34">
        <v>1</v>
      </c>
      <c r="L34">
        <v>7</v>
      </c>
      <c r="M34" s="21">
        <f>(ProductionData[[#This Row],[Actual_Production_t]]/ProductionData[[#This Row],[Target_Production_t]])</f>
        <v>0.69345878136200712</v>
      </c>
      <c r="N34" s="5">
        <f>ProductionData[[#This Row],[Actual_Production_t]]/(ProductionData[[#This Row],[Target_Production_t]]*((8-ProductionData[[#This Row],[Downtime_hr]])/8))</f>
        <v>1.8934028160054805</v>
      </c>
      <c r="O34" s="4">
        <f>ProductionData[[#This Row],[Raw_Material_t]]/ProductionData[[#This Row],[Actual_Production_t]]</f>
        <v>1.5485204806822588</v>
      </c>
      <c r="P34" s="22">
        <f>ProductionData[[#This Row],[Energy_kWh]]/ProductionData[[#This Row],[Actual_Production_t]]</f>
        <v>84.519576172632128</v>
      </c>
      <c r="Q34" s="23">
        <f>ProductionData[[#This Row],[Defects_t]]/ProductionData[[#This Row],[Actual_Production_t]]</f>
        <v>1.2921566093810569E-3</v>
      </c>
      <c r="R34" t="str">
        <f>IF(ProductionData[[#This Row],[Achievement%]]&gt;=100%,"On Target",IF(ProductionData[[#This Row],[Achievement%]]&lt;90%,"Significantly Below Target","Below Target"))</f>
        <v>Significantly Below Target</v>
      </c>
    </row>
    <row r="35" spans="1:18" x14ac:dyDescent="0.25">
      <c r="A35">
        <v>31</v>
      </c>
      <c r="B35" s="3">
        <v>46033</v>
      </c>
      <c r="C35" t="s">
        <v>13</v>
      </c>
      <c r="D35" t="s">
        <v>17</v>
      </c>
      <c r="E35" s="4">
        <v>1058</v>
      </c>
      <c r="F35" s="4">
        <v>882.3</v>
      </c>
      <c r="G35" s="4">
        <v>4.6900000000000004</v>
      </c>
      <c r="H35" t="s">
        <v>22</v>
      </c>
      <c r="I35" s="4">
        <v>1346.7</v>
      </c>
      <c r="J35" s="4">
        <v>76129.8</v>
      </c>
      <c r="K35">
        <v>3</v>
      </c>
      <c r="L35">
        <v>12</v>
      </c>
      <c r="M35" s="21">
        <f>(ProductionData[[#This Row],[Actual_Production_t]]/ProductionData[[#This Row],[Target_Production_t]])</f>
        <v>0.83393194706994322</v>
      </c>
      <c r="N35" s="5">
        <f>ProductionData[[#This Row],[Actual_Production_t]]/(ProductionData[[#This Row],[Target_Production_t]]*((8-ProductionData[[#This Row],[Downtime_hr]])/8))</f>
        <v>2.015545491407718</v>
      </c>
      <c r="O35" s="4">
        <f>ProductionData[[#This Row],[Raw_Material_t]]/ProductionData[[#This Row],[Actual_Production_t]]</f>
        <v>1.5263515810948658</v>
      </c>
      <c r="P35" s="22">
        <f>ProductionData[[#This Row],[Energy_kWh]]/ProductionData[[#This Row],[Actual_Production_t]]</f>
        <v>86.285617137028225</v>
      </c>
      <c r="Q35" s="23">
        <f>ProductionData[[#This Row],[Defects_t]]/ProductionData[[#This Row],[Actual_Production_t]]</f>
        <v>3.4002040122407345E-3</v>
      </c>
      <c r="R35" t="str">
        <f>IF(ProductionData[[#This Row],[Achievement%]]&gt;=100%,"On Target",IF(ProductionData[[#This Row],[Achievement%]]&lt;90%,"Significantly Below Target","Below Target"))</f>
        <v>Significantly Below Target</v>
      </c>
    </row>
    <row r="36" spans="1:18" x14ac:dyDescent="0.25">
      <c r="A36">
        <v>32</v>
      </c>
      <c r="B36" s="3">
        <v>46033</v>
      </c>
      <c r="C36" t="s">
        <v>16</v>
      </c>
      <c r="D36" t="s">
        <v>19</v>
      </c>
      <c r="E36" s="4">
        <v>1001</v>
      </c>
      <c r="F36" s="4">
        <v>894.5</v>
      </c>
      <c r="G36" s="4">
        <v>2.0499999999999998</v>
      </c>
      <c r="H36" t="s">
        <v>22</v>
      </c>
      <c r="I36" s="4">
        <v>1346.8</v>
      </c>
      <c r="J36" s="4">
        <v>76870.7</v>
      </c>
      <c r="K36">
        <v>4</v>
      </c>
      <c r="L36">
        <v>11</v>
      </c>
      <c r="M36" s="21">
        <f>(ProductionData[[#This Row],[Actual_Production_t]]/ProductionData[[#This Row],[Target_Production_t]])</f>
        <v>0.8936063936063936</v>
      </c>
      <c r="N36" s="5">
        <f>ProductionData[[#This Row],[Actual_Production_t]]/(ProductionData[[#This Row],[Target_Production_t]]*((8-ProductionData[[#This Row],[Downtime_hr]])/8))</f>
        <v>1.20148758804221</v>
      </c>
      <c r="O36" s="4">
        <f>ProductionData[[#This Row],[Raw_Material_t]]/ProductionData[[#This Row],[Actual_Production_t]]</f>
        <v>1.5056456120737842</v>
      </c>
      <c r="P36" s="22">
        <f>ProductionData[[#This Row],[Energy_kWh]]/ProductionData[[#This Row],[Actual_Production_t]]</f>
        <v>85.937059809949687</v>
      </c>
      <c r="Q36" s="23">
        <f>ProductionData[[#This Row],[Defects_t]]/ProductionData[[#This Row],[Actual_Production_t]]</f>
        <v>4.4717719396310789E-3</v>
      </c>
      <c r="R36" t="str">
        <f>IF(ProductionData[[#This Row],[Achievement%]]&gt;=100%,"On Target",IF(ProductionData[[#This Row],[Achievement%]]&lt;90%,"Significantly Below Target","Below Target"))</f>
        <v>Significantly Below Target</v>
      </c>
    </row>
    <row r="37" spans="1:18" x14ac:dyDescent="0.25">
      <c r="A37">
        <v>33</v>
      </c>
      <c r="B37" s="3">
        <v>46033</v>
      </c>
      <c r="C37" t="s">
        <v>18</v>
      </c>
      <c r="D37" t="s">
        <v>14</v>
      </c>
      <c r="E37" s="4">
        <v>1134</v>
      </c>
      <c r="F37" s="4">
        <v>1025.8</v>
      </c>
      <c r="G37" s="4">
        <v>0.39</v>
      </c>
      <c r="H37" t="s">
        <v>23</v>
      </c>
      <c r="I37" s="4">
        <v>1624.4</v>
      </c>
      <c r="J37" s="4">
        <v>85778.4</v>
      </c>
      <c r="K37">
        <v>6</v>
      </c>
      <c r="L37">
        <v>7</v>
      </c>
      <c r="M37" s="21">
        <f>(ProductionData[[#This Row],[Actual_Production_t]]/ProductionData[[#This Row],[Target_Production_t]])</f>
        <v>0.9045855379188712</v>
      </c>
      <c r="N37" s="5">
        <f>ProductionData[[#This Row],[Actual_Production_t]]/(ProductionData[[#This Row],[Target_Production_t]]*((8-ProductionData[[#This Row],[Downtime_hr]])/8))</f>
        <v>0.95094406088711825</v>
      </c>
      <c r="O37" s="4">
        <f>ProductionData[[#This Row],[Raw_Material_t]]/ProductionData[[#This Row],[Actual_Production_t]]</f>
        <v>1.5835445505946579</v>
      </c>
      <c r="P37" s="22">
        <f>ProductionData[[#This Row],[Energy_kWh]]/ProductionData[[#This Row],[Actual_Production_t]]</f>
        <v>83.620978748294007</v>
      </c>
      <c r="Q37" s="23">
        <f>ProductionData[[#This Row],[Defects_t]]/ProductionData[[#This Row],[Actual_Production_t]]</f>
        <v>5.8490933905244692E-3</v>
      </c>
      <c r="R37" t="str">
        <f>IF(ProductionData[[#This Row],[Achievement%]]&gt;=100%,"On Target",IF(ProductionData[[#This Row],[Achievement%]]&lt;90%,"Significantly Below Target","Below Target"))</f>
        <v>Below Target</v>
      </c>
    </row>
    <row r="38" spans="1:18" x14ac:dyDescent="0.25">
      <c r="A38">
        <v>34</v>
      </c>
      <c r="B38" s="3">
        <v>46034</v>
      </c>
      <c r="C38" t="s">
        <v>13</v>
      </c>
      <c r="D38" t="s">
        <v>19</v>
      </c>
      <c r="E38" s="4">
        <v>1005</v>
      </c>
      <c r="F38" s="4">
        <v>987.3</v>
      </c>
      <c r="G38" s="4">
        <v>0.49</v>
      </c>
      <c r="H38" t="s">
        <v>23</v>
      </c>
      <c r="I38" s="4">
        <v>1477.7</v>
      </c>
      <c r="J38" s="4">
        <v>86325.7</v>
      </c>
      <c r="K38">
        <v>2</v>
      </c>
      <c r="L38">
        <v>9</v>
      </c>
      <c r="M38" s="21">
        <f>(ProductionData[[#This Row],[Actual_Production_t]]/ProductionData[[#This Row],[Target_Production_t]])</f>
        <v>0.98238805970149246</v>
      </c>
      <c r="N38" s="5">
        <f>ProductionData[[#This Row],[Actual_Production_t]]/(ProductionData[[#This Row],[Target_Production_t]]*((8-ProductionData[[#This Row],[Downtime_hr]])/8))</f>
        <v>1.0464852833038536</v>
      </c>
      <c r="O38" s="4">
        <f>ProductionData[[#This Row],[Raw_Material_t]]/ProductionData[[#This Row],[Actual_Production_t]]</f>
        <v>1.4967081940646207</v>
      </c>
      <c r="P38" s="22">
        <f>ProductionData[[#This Row],[Energy_kWh]]/ProductionData[[#This Row],[Actual_Production_t]]</f>
        <v>87.43613896485364</v>
      </c>
      <c r="Q38" s="23">
        <f>ProductionData[[#This Row],[Defects_t]]/ProductionData[[#This Row],[Actual_Production_t]]</f>
        <v>2.0257267294641955E-3</v>
      </c>
      <c r="R38" t="str">
        <f>IF(ProductionData[[#This Row],[Achievement%]]&gt;=100%,"On Target",IF(ProductionData[[#This Row],[Achievement%]]&lt;90%,"Significantly Below Target","Below Target"))</f>
        <v>Below Target</v>
      </c>
    </row>
    <row r="39" spans="1:18" x14ac:dyDescent="0.25">
      <c r="A39">
        <v>35</v>
      </c>
      <c r="B39" s="3">
        <v>46034</v>
      </c>
      <c r="C39" t="s">
        <v>16</v>
      </c>
      <c r="D39" t="s">
        <v>14</v>
      </c>
      <c r="E39" s="4">
        <v>1128</v>
      </c>
      <c r="F39" s="4">
        <v>878</v>
      </c>
      <c r="G39" s="4">
        <v>4.08</v>
      </c>
      <c r="H39" t="s">
        <v>15</v>
      </c>
      <c r="I39" s="4">
        <v>1344.5</v>
      </c>
      <c r="J39" s="4">
        <v>69094.3</v>
      </c>
      <c r="K39">
        <v>4</v>
      </c>
      <c r="L39">
        <v>7</v>
      </c>
      <c r="M39" s="21">
        <f>(ProductionData[[#This Row],[Actual_Production_t]]/ProductionData[[#This Row],[Target_Production_t]])</f>
        <v>0.77836879432624118</v>
      </c>
      <c r="N39" s="5">
        <f>ProductionData[[#This Row],[Actual_Production_t]]/(ProductionData[[#This Row],[Target_Production_t]]*((8-ProductionData[[#This Row],[Downtime_hr]])/8))</f>
        <v>1.5885077435229411</v>
      </c>
      <c r="O39" s="4">
        <f>ProductionData[[#This Row],[Raw_Material_t]]/ProductionData[[#This Row],[Actual_Production_t]]</f>
        <v>1.5313211845102506</v>
      </c>
      <c r="P39" s="22">
        <f>ProductionData[[#This Row],[Energy_kWh]]/ProductionData[[#This Row],[Actual_Production_t]]</f>
        <v>78.695102505694763</v>
      </c>
      <c r="Q39" s="23">
        <f>ProductionData[[#This Row],[Defects_t]]/ProductionData[[#This Row],[Actual_Production_t]]</f>
        <v>4.5558086560364463E-3</v>
      </c>
      <c r="R39" t="str">
        <f>IF(ProductionData[[#This Row],[Achievement%]]&gt;=100%,"On Target",IF(ProductionData[[#This Row],[Achievement%]]&lt;90%,"Significantly Below Target","Below Target"))</f>
        <v>Significantly Below Target</v>
      </c>
    </row>
    <row r="40" spans="1:18" x14ac:dyDescent="0.25">
      <c r="A40">
        <v>36</v>
      </c>
      <c r="B40" s="3">
        <v>46034</v>
      </c>
      <c r="C40" t="s">
        <v>18</v>
      </c>
      <c r="D40" t="s">
        <v>14</v>
      </c>
      <c r="E40" s="4">
        <v>1115</v>
      </c>
      <c r="F40" s="4">
        <v>759.6</v>
      </c>
      <c r="G40" s="4">
        <v>6.59</v>
      </c>
      <c r="H40" t="s">
        <v>15</v>
      </c>
      <c r="I40" s="4">
        <v>1150.0999999999999</v>
      </c>
      <c r="J40" s="4">
        <v>63154.7</v>
      </c>
      <c r="K40">
        <v>1</v>
      </c>
      <c r="L40">
        <v>7</v>
      </c>
      <c r="M40" s="21">
        <f>(ProductionData[[#This Row],[Actual_Production_t]]/ProductionData[[#This Row],[Target_Production_t]])</f>
        <v>0.68125560538116592</v>
      </c>
      <c r="N40" s="5">
        <f>ProductionData[[#This Row],[Actual_Production_t]]/(ProductionData[[#This Row],[Target_Production_t]]*((8-ProductionData[[#This Row],[Downtime_hr]])/8))</f>
        <v>3.8652800305314376</v>
      </c>
      <c r="O40" s="4">
        <f>ProductionData[[#This Row],[Raw_Material_t]]/ProductionData[[#This Row],[Actual_Production_t]]</f>
        <v>1.5140863612427591</v>
      </c>
      <c r="P40" s="22">
        <f>ProductionData[[#This Row],[Energy_kWh]]/ProductionData[[#This Row],[Actual_Production_t]]</f>
        <v>83.142048446550817</v>
      </c>
      <c r="Q40" s="23">
        <f>ProductionData[[#This Row],[Defects_t]]/ProductionData[[#This Row],[Actual_Production_t]]</f>
        <v>1.3164823591363876E-3</v>
      </c>
      <c r="R40" t="str">
        <f>IF(ProductionData[[#This Row],[Achievement%]]&gt;=100%,"On Target",IF(ProductionData[[#This Row],[Achievement%]]&lt;90%,"Significantly Below Target","Below Target"))</f>
        <v>Significantly Below Target</v>
      </c>
    </row>
    <row r="41" spans="1:18" x14ac:dyDescent="0.25">
      <c r="A41">
        <v>37</v>
      </c>
      <c r="B41" s="3">
        <v>46035</v>
      </c>
      <c r="C41" t="s">
        <v>13</v>
      </c>
      <c r="D41" t="s">
        <v>14</v>
      </c>
      <c r="E41" s="4">
        <v>1124</v>
      </c>
      <c r="F41" s="4">
        <v>870.1</v>
      </c>
      <c r="G41" s="4">
        <v>5.15</v>
      </c>
      <c r="H41" t="s">
        <v>20</v>
      </c>
      <c r="I41" s="4">
        <v>1389.2</v>
      </c>
      <c r="J41" s="4">
        <v>68533.7</v>
      </c>
      <c r="K41">
        <v>1</v>
      </c>
      <c r="L41">
        <v>8</v>
      </c>
      <c r="M41" s="21">
        <f>(ProductionData[[#This Row],[Actual_Production_t]]/ProductionData[[#This Row],[Target_Production_t]])</f>
        <v>0.77411032028469751</v>
      </c>
      <c r="N41" s="5">
        <f>ProductionData[[#This Row],[Actual_Production_t]]/(ProductionData[[#This Row],[Target_Production_t]]*((8-ProductionData[[#This Row],[Downtime_hr]])/8))</f>
        <v>2.172941249921958</v>
      </c>
      <c r="O41" s="4">
        <f>ProductionData[[#This Row],[Raw_Material_t]]/ProductionData[[#This Row],[Actual_Production_t]]</f>
        <v>1.5965980921733134</v>
      </c>
      <c r="P41" s="22">
        <f>ProductionData[[#This Row],[Energy_kWh]]/ProductionData[[#This Row],[Actual_Production_t]]</f>
        <v>78.765314331686014</v>
      </c>
      <c r="Q41" s="23">
        <f>ProductionData[[#This Row],[Defects_t]]/ProductionData[[#This Row],[Actual_Production_t]]</f>
        <v>1.1492931846914147E-3</v>
      </c>
      <c r="R41" t="str">
        <f>IF(ProductionData[[#This Row],[Achievement%]]&gt;=100%,"On Target",IF(ProductionData[[#This Row],[Achievement%]]&lt;90%,"Significantly Below Target","Below Target"))</f>
        <v>Significantly Below Target</v>
      </c>
    </row>
    <row r="42" spans="1:18" x14ac:dyDescent="0.25">
      <c r="A42">
        <v>38</v>
      </c>
      <c r="B42" s="3">
        <v>46035</v>
      </c>
      <c r="C42" t="s">
        <v>16</v>
      </c>
      <c r="D42" t="s">
        <v>14</v>
      </c>
      <c r="E42" s="4">
        <v>1169</v>
      </c>
      <c r="F42" s="4">
        <v>1128.2</v>
      </c>
      <c r="G42" s="4">
        <v>0.49</v>
      </c>
      <c r="H42" t="s">
        <v>23</v>
      </c>
      <c r="I42" s="4">
        <v>1728.4</v>
      </c>
      <c r="J42" s="4">
        <v>100982.39999999999</v>
      </c>
      <c r="K42">
        <v>3</v>
      </c>
      <c r="L42">
        <v>12</v>
      </c>
      <c r="M42" s="21">
        <f>(ProductionData[[#This Row],[Actual_Production_t]]/ProductionData[[#This Row],[Target_Production_t]])</f>
        <v>0.965098374679213</v>
      </c>
      <c r="N42" s="5">
        <f>ProductionData[[#This Row],[Actual_Production_t]]/(ProductionData[[#This Row],[Target_Production_t]]*((8-ProductionData[[#This Row],[Downtime_hr]])/8))</f>
        <v>1.0280675096449672</v>
      </c>
      <c r="O42" s="4">
        <f>ProductionData[[#This Row],[Raw_Material_t]]/ProductionData[[#This Row],[Actual_Production_t]]</f>
        <v>1.5319978727176033</v>
      </c>
      <c r="P42" s="22">
        <f>ProductionData[[#This Row],[Energy_kWh]]/ProductionData[[#This Row],[Actual_Production_t]]</f>
        <v>89.507534125155104</v>
      </c>
      <c r="Q42" s="23">
        <f>ProductionData[[#This Row],[Defects_t]]/ProductionData[[#This Row],[Actual_Production_t]]</f>
        <v>2.6591029959227084E-3</v>
      </c>
      <c r="R42" t="str">
        <f>IF(ProductionData[[#This Row],[Achievement%]]&gt;=100%,"On Target",IF(ProductionData[[#This Row],[Achievement%]]&lt;90%,"Significantly Below Target","Below Target"))</f>
        <v>Below Target</v>
      </c>
    </row>
    <row r="43" spans="1:18" x14ac:dyDescent="0.25">
      <c r="A43">
        <v>39</v>
      </c>
      <c r="B43" s="3">
        <v>46035</v>
      </c>
      <c r="C43" t="s">
        <v>18</v>
      </c>
      <c r="D43" t="s">
        <v>14</v>
      </c>
      <c r="E43" s="4">
        <v>1115</v>
      </c>
      <c r="F43" s="4">
        <v>1067.8</v>
      </c>
      <c r="G43" s="4">
        <v>0.43</v>
      </c>
      <c r="H43" t="s">
        <v>23</v>
      </c>
      <c r="I43" s="4">
        <v>1667.2</v>
      </c>
      <c r="J43" s="4">
        <v>85556.9</v>
      </c>
      <c r="K43">
        <v>3</v>
      </c>
      <c r="L43">
        <v>12</v>
      </c>
      <c r="M43" s="21">
        <f>(ProductionData[[#This Row],[Actual_Production_t]]/ProductionData[[#This Row],[Target_Production_t]])</f>
        <v>0.95766816143497757</v>
      </c>
      <c r="N43" s="5">
        <f>ProductionData[[#This Row],[Actual_Production_t]]/(ProductionData[[#This Row],[Target_Production_t]]*((8-ProductionData[[#This Row],[Downtime_hr]])/8))</f>
        <v>1.0120667492047317</v>
      </c>
      <c r="O43" s="4">
        <f>ProductionData[[#This Row],[Raw_Material_t]]/ProductionData[[#This Row],[Actual_Production_t]]</f>
        <v>1.5613410751076982</v>
      </c>
      <c r="P43" s="22">
        <f>ProductionData[[#This Row],[Energy_kWh]]/ProductionData[[#This Row],[Actual_Production_t]]</f>
        <v>80.124461509645997</v>
      </c>
      <c r="Q43" s="23">
        <f>ProductionData[[#This Row],[Defects_t]]/ProductionData[[#This Row],[Actual_Production_t]]</f>
        <v>2.8095148904289193E-3</v>
      </c>
      <c r="R43" t="str">
        <f>IF(ProductionData[[#This Row],[Achievement%]]&gt;=100%,"On Target",IF(ProductionData[[#This Row],[Achievement%]]&lt;90%,"Significantly Below Target","Below Target"))</f>
        <v>Below Target</v>
      </c>
    </row>
    <row r="44" spans="1:18" x14ac:dyDescent="0.25">
      <c r="A44">
        <v>40</v>
      </c>
      <c r="B44" s="3">
        <v>46036</v>
      </c>
      <c r="C44" t="s">
        <v>13</v>
      </c>
      <c r="D44" t="s">
        <v>19</v>
      </c>
      <c r="E44" s="4">
        <v>988</v>
      </c>
      <c r="F44" s="4">
        <v>966.4</v>
      </c>
      <c r="G44" s="4">
        <v>2.0099999999999998</v>
      </c>
      <c r="H44" t="s">
        <v>24</v>
      </c>
      <c r="I44" s="4">
        <v>1465.2</v>
      </c>
      <c r="J44" s="4">
        <v>79027.199999999997</v>
      </c>
      <c r="K44">
        <v>9</v>
      </c>
      <c r="L44">
        <v>12</v>
      </c>
      <c r="M44" s="21">
        <f>(ProductionData[[#This Row],[Actual_Production_t]]/ProductionData[[#This Row],[Target_Production_t]])</f>
        <v>0.9781376518218623</v>
      </c>
      <c r="N44" s="5">
        <f>ProductionData[[#This Row],[Actual_Production_t]]/(ProductionData[[#This Row],[Target_Production_t]]*((8-ProductionData[[#This Row],[Downtime_hr]])/8))</f>
        <v>1.3063608037687644</v>
      </c>
      <c r="O44" s="4">
        <f>ProductionData[[#This Row],[Raw_Material_t]]/ProductionData[[#This Row],[Actual_Production_t]]</f>
        <v>1.5161423841059603</v>
      </c>
      <c r="P44" s="22">
        <f>ProductionData[[#This Row],[Energy_kWh]]/ProductionData[[#This Row],[Actual_Production_t]]</f>
        <v>81.774834437086085</v>
      </c>
      <c r="Q44" s="23">
        <f>ProductionData[[#This Row],[Defects_t]]/ProductionData[[#This Row],[Actual_Production_t]]</f>
        <v>9.3129139072847689E-3</v>
      </c>
      <c r="R44" t="str">
        <f>IF(ProductionData[[#This Row],[Achievement%]]&gt;=100%,"On Target",IF(ProductionData[[#This Row],[Achievement%]]&lt;90%,"Significantly Below Target","Below Target"))</f>
        <v>Below Target</v>
      </c>
    </row>
    <row r="45" spans="1:18" x14ac:dyDescent="0.25">
      <c r="A45">
        <v>41</v>
      </c>
      <c r="B45" s="3">
        <v>46036</v>
      </c>
      <c r="C45" t="s">
        <v>16</v>
      </c>
      <c r="D45" t="s">
        <v>14</v>
      </c>
      <c r="E45" s="4">
        <v>1154</v>
      </c>
      <c r="F45" s="4">
        <v>956.4</v>
      </c>
      <c r="G45" s="4">
        <v>4.16</v>
      </c>
      <c r="H45" t="s">
        <v>20</v>
      </c>
      <c r="I45" s="4">
        <v>1426</v>
      </c>
      <c r="J45" s="4">
        <v>77259.100000000006</v>
      </c>
      <c r="K45">
        <v>6</v>
      </c>
      <c r="L45">
        <v>12</v>
      </c>
      <c r="M45" s="21">
        <f>(ProductionData[[#This Row],[Actual_Production_t]]/ProductionData[[#This Row],[Target_Production_t]])</f>
        <v>0.82876949740034656</v>
      </c>
      <c r="N45" s="5">
        <f>ProductionData[[#This Row],[Actual_Production_t]]/(ProductionData[[#This Row],[Target_Production_t]]*((8-ProductionData[[#This Row],[Downtime_hr]])/8))</f>
        <v>1.7266031195840557</v>
      </c>
      <c r="O45" s="4">
        <f>ProductionData[[#This Row],[Raw_Material_t]]/ProductionData[[#This Row],[Actual_Production_t]]</f>
        <v>1.4910079464659138</v>
      </c>
      <c r="P45" s="22">
        <f>ProductionData[[#This Row],[Energy_kWh]]/ProductionData[[#This Row],[Actual_Production_t]]</f>
        <v>80.781158511083234</v>
      </c>
      <c r="Q45" s="23">
        <f>ProductionData[[#This Row],[Defects_t]]/ProductionData[[#This Row],[Actual_Production_t]]</f>
        <v>6.2735257214554582E-3</v>
      </c>
      <c r="R45" t="str">
        <f>IF(ProductionData[[#This Row],[Achievement%]]&gt;=100%,"On Target",IF(ProductionData[[#This Row],[Achievement%]]&lt;90%,"Significantly Below Target","Below Target"))</f>
        <v>Significantly Below Target</v>
      </c>
    </row>
    <row r="46" spans="1:18" x14ac:dyDescent="0.25">
      <c r="A46">
        <v>42</v>
      </c>
      <c r="B46" s="3">
        <v>46036</v>
      </c>
      <c r="C46" t="s">
        <v>18</v>
      </c>
      <c r="D46" t="s">
        <v>17</v>
      </c>
      <c r="E46" s="4">
        <v>1026</v>
      </c>
      <c r="F46" s="4">
        <v>978.7</v>
      </c>
      <c r="G46" s="4">
        <v>0.11</v>
      </c>
      <c r="H46" t="s">
        <v>23</v>
      </c>
      <c r="I46" s="4">
        <v>1523.8</v>
      </c>
      <c r="J46" s="4">
        <v>73365.7</v>
      </c>
      <c r="K46">
        <v>4</v>
      </c>
      <c r="L46">
        <v>10</v>
      </c>
      <c r="M46" s="21">
        <f>(ProductionData[[#This Row],[Actual_Production_t]]/ProductionData[[#This Row],[Target_Production_t]])</f>
        <v>0.95389863547758291</v>
      </c>
      <c r="N46" s="5">
        <f>ProductionData[[#This Row],[Actual_Production_t]]/(ProductionData[[#This Row],[Target_Production_t]]*((8-ProductionData[[#This Row],[Downtime_hr]])/8))</f>
        <v>0.96719760251212472</v>
      </c>
      <c r="O46" s="4">
        <f>ProductionData[[#This Row],[Raw_Material_t]]/ProductionData[[#This Row],[Actual_Production_t]]</f>
        <v>1.5569633186880554</v>
      </c>
      <c r="P46" s="22">
        <f>ProductionData[[#This Row],[Energy_kWh]]/ProductionData[[#This Row],[Actual_Production_t]]</f>
        <v>74.96239910084806</v>
      </c>
      <c r="Q46" s="23">
        <f>ProductionData[[#This Row],[Defects_t]]/ProductionData[[#This Row],[Actual_Production_t]]</f>
        <v>4.0870542556452434E-3</v>
      </c>
      <c r="R46" t="str">
        <f>IF(ProductionData[[#This Row],[Achievement%]]&gt;=100%,"On Target",IF(ProductionData[[#This Row],[Achievement%]]&lt;90%,"Significantly Below Target","Below Target"))</f>
        <v>Below Target</v>
      </c>
    </row>
    <row r="47" spans="1:18" x14ac:dyDescent="0.25">
      <c r="A47">
        <v>43</v>
      </c>
      <c r="B47" s="3">
        <v>46037</v>
      </c>
      <c r="C47" t="s">
        <v>13</v>
      </c>
      <c r="D47" t="s">
        <v>14</v>
      </c>
      <c r="E47" s="4">
        <v>1160</v>
      </c>
      <c r="F47" s="4">
        <v>1019.8</v>
      </c>
      <c r="G47" s="4">
        <v>3.85</v>
      </c>
      <c r="H47" t="s">
        <v>24</v>
      </c>
      <c r="I47" s="4">
        <v>1566.5</v>
      </c>
      <c r="J47" s="4">
        <v>86012.4</v>
      </c>
      <c r="K47">
        <v>1</v>
      </c>
      <c r="L47">
        <v>12</v>
      </c>
      <c r="M47" s="21">
        <f>(ProductionData[[#This Row],[Actual_Production_t]]/ProductionData[[#This Row],[Target_Production_t]])</f>
        <v>0.87913793103448268</v>
      </c>
      <c r="N47" s="5">
        <f>ProductionData[[#This Row],[Actual_Production_t]]/(ProductionData[[#This Row],[Target_Production_t]]*((8-ProductionData[[#This Row],[Downtime_hr]])/8))</f>
        <v>1.6947237224761114</v>
      </c>
      <c r="O47" s="4">
        <f>ProductionData[[#This Row],[Raw_Material_t]]/ProductionData[[#This Row],[Actual_Production_t]]</f>
        <v>1.5360855069621495</v>
      </c>
      <c r="P47" s="22">
        <f>ProductionData[[#This Row],[Energy_kWh]]/ProductionData[[#This Row],[Actual_Production_t]]</f>
        <v>84.342420082369088</v>
      </c>
      <c r="Q47" s="23">
        <f>ProductionData[[#This Row],[Defects_t]]/ProductionData[[#This Row],[Actual_Production_t]]</f>
        <v>9.8058442831927832E-4</v>
      </c>
      <c r="R47" t="str">
        <f>IF(ProductionData[[#This Row],[Achievement%]]&gt;=100%,"On Target",IF(ProductionData[[#This Row],[Achievement%]]&lt;90%,"Significantly Below Target","Below Target"))</f>
        <v>Significantly Below Target</v>
      </c>
    </row>
    <row r="48" spans="1:18" x14ac:dyDescent="0.25">
      <c r="A48">
        <v>44</v>
      </c>
      <c r="B48" s="3">
        <v>46037</v>
      </c>
      <c r="C48" t="s">
        <v>16</v>
      </c>
      <c r="D48" t="s">
        <v>17</v>
      </c>
      <c r="E48" s="4">
        <v>1086</v>
      </c>
      <c r="F48" s="4">
        <v>886.3</v>
      </c>
      <c r="G48" s="4">
        <v>2.84</v>
      </c>
      <c r="H48" t="s">
        <v>24</v>
      </c>
      <c r="I48" s="4">
        <v>1279.7</v>
      </c>
      <c r="J48" s="4">
        <v>79878.5</v>
      </c>
      <c r="K48">
        <v>3</v>
      </c>
      <c r="L48">
        <v>10</v>
      </c>
      <c r="M48" s="21">
        <f>(ProductionData[[#This Row],[Actual_Production_t]]/ProductionData[[#This Row],[Target_Production_t]])</f>
        <v>0.81611418047882134</v>
      </c>
      <c r="N48" s="5">
        <f>ProductionData[[#This Row],[Actual_Production_t]]/(ProductionData[[#This Row],[Target_Production_t]]*((8-ProductionData[[#This Row],[Downtime_hr]])/8))</f>
        <v>1.2652933030679401</v>
      </c>
      <c r="O48" s="4">
        <f>ProductionData[[#This Row],[Raw_Material_t]]/ProductionData[[#This Row],[Actual_Production_t]]</f>
        <v>1.4438677648651699</v>
      </c>
      <c r="P48" s="22">
        <f>ProductionData[[#This Row],[Energy_kWh]]/ProductionData[[#This Row],[Actual_Production_t]]</f>
        <v>90.125803903870022</v>
      </c>
      <c r="Q48" s="23">
        <f>ProductionData[[#This Row],[Defects_t]]/ProductionData[[#This Row],[Actual_Production_t]]</f>
        <v>3.3848584000902631E-3</v>
      </c>
      <c r="R48" t="str">
        <f>IF(ProductionData[[#This Row],[Achievement%]]&gt;=100%,"On Target",IF(ProductionData[[#This Row],[Achievement%]]&lt;90%,"Significantly Below Target","Below Target"))</f>
        <v>Significantly Below Target</v>
      </c>
    </row>
    <row r="49" spans="1:18" x14ac:dyDescent="0.25">
      <c r="A49">
        <v>45</v>
      </c>
      <c r="B49" s="3">
        <v>46037</v>
      </c>
      <c r="C49" t="s">
        <v>18</v>
      </c>
      <c r="D49" t="s">
        <v>14</v>
      </c>
      <c r="E49" s="4">
        <v>1176</v>
      </c>
      <c r="F49" s="4">
        <v>1100.9000000000001</v>
      </c>
      <c r="G49" s="4">
        <v>0.3</v>
      </c>
      <c r="H49" t="s">
        <v>23</v>
      </c>
      <c r="I49" s="4">
        <v>1697.2</v>
      </c>
      <c r="J49" s="4">
        <v>87948.1</v>
      </c>
      <c r="K49">
        <v>2</v>
      </c>
      <c r="L49">
        <v>12</v>
      </c>
      <c r="M49" s="21">
        <f>(ProductionData[[#This Row],[Actual_Production_t]]/ProductionData[[#This Row],[Target_Production_t]])</f>
        <v>0.93613945578231306</v>
      </c>
      <c r="N49" s="5">
        <f>ProductionData[[#This Row],[Actual_Production_t]]/(ProductionData[[#This Row],[Target_Production_t]]*((8-ProductionData[[#This Row],[Downtime_hr]])/8))</f>
        <v>0.97261242159201344</v>
      </c>
      <c r="O49" s="4">
        <f>ProductionData[[#This Row],[Raw_Material_t]]/ProductionData[[#This Row],[Actual_Production_t]]</f>
        <v>1.541647742755927</v>
      </c>
      <c r="P49" s="22">
        <f>ProductionData[[#This Row],[Energy_kWh]]/ProductionData[[#This Row],[Actual_Production_t]]</f>
        <v>79.887455718048869</v>
      </c>
      <c r="Q49" s="23">
        <f>ProductionData[[#This Row],[Defects_t]]/ProductionData[[#This Row],[Actual_Production_t]]</f>
        <v>1.8166954310109909E-3</v>
      </c>
      <c r="R49" t="str">
        <f>IF(ProductionData[[#This Row],[Achievement%]]&gt;=100%,"On Target",IF(ProductionData[[#This Row],[Achievement%]]&lt;90%,"Significantly Below Target","Below Target"))</f>
        <v>Below Target</v>
      </c>
    </row>
    <row r="50" spans="1:18" x14ac:dyDescent="0.25">
      <c r="A50">
        <v>46</v>
      </c>
      <c r="B50" s="3">
        <v>46038</v>
      </c>
      <c r="C50" t="s">
        <v>13</v>
      </c>
      <c r="D50" t="s">
        <v>14</v>
      </c>
      <c r="E50" s="4">
        <v>1121</v>
      </c>
      <c r="F50" s="4">
        <v>1036.4000000000001</v>
      </c>
      <c r="G50" s="4">
        <v>1.26</v>
      </c>
      <c r="H50" t="s">
        <v>21</v>
      </c>
      <c r="I50" s="4">
        <v>1571.7</v>
      </c>
      <c r="J50" s="4">
        <v>85163.5</v>
      </c>
      <c r="K50">
        <v>2</v>
      </c>
      <c r="L50">
        <v>12</v>
      </c>
      <c r="M50" s="21">
        <f>(ProductionData[[#This Row],[Actual_Production_t]]/ProductionData[[#This Row],[Target_Production_t]])</f>
        <v>0.92453166815343446</v>
      </c>
      <c r="N50" s="5">
        <f>ProductionData[[#This Row],[Actual_Production_t]]/(ProductionData[[#This Row],[Target_Production_t]]*((8-ProductionData[[#This Row],[Downtime_hr]])/8))</f>
        <v>1.0973669651672813</v>
      </c>
      <c r="O50" s="4">
        <f>ProductionData[[#This Row],[Raw_Material_t]]/ProductionData[[#This Row],[Actual_Production_t]]</f>
        <v>1.5164994210729448</v>
      </c>
      <c r="P50" s="22">
        <f>ProductionData[[#This Row],[Energy_kWh]]/ProductionData[[#This Row],[Actual_Production_t]]</f>
        <v>82.172423774604397</v>
      </c>
      <c r="Q50" s="23">
        <f>ProductionData[[#This Row],[Defects_t]]/ProductionData[[#This Row],[Actual_Production_t]]</f>
        <v>1.9297568506368196E-3</v>
      </c>
      <c r="R50" t="str">
        <f>IF(ProductionData[[#This Row],[Achievement%]]&gt;=100%,"On Target",IF(ProductionData[[#This Row],[Achievement%]]&lt;90%,"Significantly Below Target","Below Target"))</f>
        <v>Below Target</v>
      </c>
    </row>
    <row r="51" spans="1:18" x14ac:dyDescent="0.25">
      <c r="A51">
        <v>47</v>
      </c>
      <c r="B51" s="3">
        <v>46038</v>
      </c>
      <c r="C51" t="s">
        <v>16</v>
      </c>
      <c r="D51" t="s">
        <v>14</v>
      </c>
      <c r="E51" s="4">
        <v>1157</v>
      </c>
      <c r="F51" s="4">
        <v>1107.2</v>
      </c>
      <c r="G51" s="4">
        <v>0.37</v>
      </c>
      <c r="H51" t="s">
        <v>23</v>
      </c>
      <c r="I51" s="4">
        <v>1662.4</v>
      </c>
      <c r="J51" s="4">
        <v>88243.1</v>
      </c>
      <c r="K51">
        <v>4</v>
      </c>
      <c r="L51">
        <v>11</v>
      </c>
      <c r="M51" s="21">
        <f>(ProductionData[[#This Row],[Actual_Production_t]]/ProductionData[[#This Row],[Target_Production_t]])</f>
        <v>0.9569576490924806</v>
      </c>
      <c r="N51" s="5">
        <f>ProductionData[[#This Row],[Actual_Production_t]]/(ProductionData[[#This Row],[Target_Production_t]]*((8-ProductionData[[#This Row],[Downtime_hr]])/8))</f>
        <v>1.0033631969514869</v>
      </c>
      <c r="O51" s="4">
        <f>ProductionData[[#This Row],[Raw_Material_t]]/ProductionData[[#This Row],[Actual_Production_t]]</f>
        <v>1.5014450867052023</v>
      </c>
      <c r="P51" s="22">
        <f>ProductionData[[#This Row],[Energy_kWh]]/ProductionData[[#This Row],[Actual_Production_t]]</f>
        <v>79.69933164739885</v>
      </c>
      <c r="Q51" s="23">
        <f>ProductionData[[#This Row],[Defects_t]]/ProductionData[[#This Row],[Actual_Production_t]]</f>
        <v>3.6127167630057803E-3</v>
      </c>
      <c r="R51" t="str">
        <f>IF(ProductionData[[#This Row],[Achievement%]]&gt;=100%,"On Target",IF(ProductionData[[#This Row],[Achievement%]]&lt;90%,"Significantly Below Target","Below Target"))</f>
        <v>Below Target</v>
      </c>
    </row>
    <row r="52" spans="1:18" x14ac:dyDescent="0.25">
      <c r="A52">
        <v>48</v>
      </c>
      <c r="B52" s="3">
        <v>46038</v>
      </c>
      <c r="C52" t="s">
        <v>18</v>
      </c>
      <c r="D52" t="s">
        <v>14</v>
      </c>
      <c r="E52" s="4">
        <v>1168</v>
      </c>
      <c r="F52" s="4">
        <v>1011.2</v>
      </c>
      <c r="G52" s="4">
        <v>0.26</v>
      </c>
      <c r="H52" t="s">
        <v>23</v>
      </c>
      <c r="I52" s="4">
        <v>1502.6</v>
      </c>
      <c r="J52" s="4">
        <v>83236.800000000003</v>
      </c>
      <c r="K52">
        <v>3</v>
      </c>
      <c r="L52">
        <v>11</v>
      </c>
      <c r="M52" s="21">
        <f>(ProductionData[[#This Row],[Actual_Production_t]]/ProductionData[[#This Row],[Target_Production_t]])</f>
        <v>0.86575342465753424</v>
      </c>
      <c r="N52" s="5">
        <f>ProductionData[[#This Row],[Actual_Production_t]]/(ProductionData[[#This Row],[Target_Production_t]]*((8-ProductionData[[#This Row],[Downtime_hr]])/8))</f>
        <v>0.89483558104137917</v>
      </c>
      <c r="O52" s="4">
        <f>ProductionData[[#This Row],[Raw_Material_t]]/ProductionData[[#This Row],[Actual_Production_t]]</f>
        <v>1.4859572784810124</v>
      </c>
      <c r="P52" s="22">
        <f>ProductionData[[#This Row],[Energy_kWh]]/ProductionData[[#This Row],[Actual_Production_t]]</f>
        <v>82.314873417721515</v>
      </c>
      <c r="Q52" s="23">
        <f>ProductionData[[#This Row],[Defects_t]]/ProductionData[[#This Row],[Actual_Production_t]]</f>
        <v>2.9667721518987339E-3</v>
      </c>
      <c r="R52" t="str">
        <f>IF(ProductionData[[#This Row],[Achievement%]]&gt;=100%,"On Target",IF(ProductionData[[#This Row],[Achievement%]]&lt;90%,"Significantly Below Target","Below Target"))</f>
        <v>Significantly Below Target</v>
      </c>
    </row>
    <row r="53" spans="1:18" x14ac:dyDescent="0.25">
      <c r="A53">
        <v>49</v>
      </c>
      <c r="B53" s="3">
        <v>46039</v>
      </c>
      <c r="C53" t="s">
        <v>13</v>
      </c>
      <c r="D53" t="s">
        <v>14</v>
      </c>
      <c r="E53" s="4">
        <v>1148</v>
      </c>
      <c r="F53" s="4">
        <v>1039.3</v>
      </c>
      <c r="G53" s="4">
        <v>2.16</v>
      </c>
      <c r="H53" t="s">
        <v>22</v>
      </c>
      <c r="I53" s="4">
        <v>1587.7</v>
      </c>
      <c r="J53" s="4">
        <v>89011.8</v>
      </c>
      <c r="K53">
        <v>3</v>
      </c>
      <c r="L53">
        <v>12</v>
      </c>
      <c r="M53" s="21">
        <f>(ProductionData[[#This Row],[Actual_Production_t]]/ProductionData[[#This Row],[Target_Production_t]])</f>
        <v>0.90531358885017421</v>
      </c>
      <c r="N53" s="5">
        <f>ProductionData[[#This Row],[Actual_Production_t]]/(ProductionData[[#This Row],[Target_Production_t]]*((8-ProductionData[[#This Row],[Downtime_hr]])/8))</f>
        <v>1.2401556011646222</v>
      </c>
      <c r="O53" s="4">
        <f>ProductionData[[#This Row],[Raw_Material_t]]/ProductionData[[#This Row],[Actual_Production_t]]</f>
        <v>1.5276628499951892</v>
      </c>
      <c r="P53" s="22">
        <f>ProductionData[[#This Row],[Energy_kWh]]/ProductionData[[#This Row],[Actual_Production_t]]</f>
        <v>85.645915520061592</v>
      </c>
      <c r="Q53" s="23">
        <f>ProductionData[[#This Row],[Defects_t]]/ProductionData[[#This Row],[Actual_Production_t]]</f>
        <v>2.8865582603675552E-3</v>
      </c>
      <c r="R53" t="str">
        <f>IF(ProductionData[[#This Row],[Achievement%]]&gt;=100%,"On Target",IF(ProductionData[[#This Row],[Achievement%]]&lt;90%,"Significantly Below Target","Below Target"))</f>
        <v>Below Target</v>
      </c>
    </row>
    <row r="54" spans="1:18" x14ac:dyDescent="0.25">
      <c r="A54">
        <v>50</v>
      </c>
      <c r="B54" s="3">
        <v>46039</v>
      </c>
      <c r="C54" t="s">
        <v>16</v>
      </c>
      <c r="D54" t="s">
        <v>17</v>
      </c>
      <c r="E54" s="4">
        <v>1017</v>
      </c>
      <c r="F54" s="4">
        <v>871.6</v>
      </c>
      <c r="G54" s="4">
        <v>4.72</v>
      </c>
      <c r="H54" t="s">
        <v>24</v>
      </c>
      <c r="I54" s="4">
        <v>1346.5</v>
      </c>
      <c r="J54" s="4">
        <v>70458.5</v>
      </c>
      <c r="K54">
        <v>3</v>
      </c>
      <c r="L54">
        <v>7</v>
      </c>
      <c r="M54" s="21">
        <f>(ProductionData[[#This Row],[Actual_Production_t]]/ProductionData[[#This Row],[Target_Production_t]])</f>
        <v>0.85703048180924291</v>
      </c>
      <c r="N54" s="5">
        <f>ProductionData[[#This Row],[Actual_Production_t]]/(ProductionData[[#This Row],[Target_Production_t]]*((8-ProductionData[[#This Row],[Downtime_hr]])/8))</f>
        <v>2.0903182483152265</v>
      </c>
      <c r="O54" s="4">
        <f>ProductionData[[#This Row],[Raw_Material_t]]/ProductionData[[#This Row],[Actual_Production_t]]</f>
        <v>1.5448600275355668</v>
      </c>
      <c r="P54" s="22">
        <f>ProductionData[[#This Row],[Energy_kWh]]/ProductionData[[#This Row],[Actual_Production_t]]</f>
        <v>80.838113813676003</v>
      </c>
      <c r="Q54" s="23">
        <f>ProductionData[[#This Row],[Defects_t]]/ProductionData[[#This Row],[Actual_Production_t]]</f>
        <v>3.4419458467186783E-3</v>
      </c>
      <c r="R54" t="str">
        <f>IF(ProductionData[[#This Row],[Achievement%]]&gt;=100%,"On Target",IF(ProductionData[[#This Row],[Achievement%]]&lt;90%,"Significantly Below Target","Below Target"))</f>
        <v>Significantly Below Target</v>
      </c>
    </row>
    <row r="55" spans="1:18" x14ac:dyDescent="0.25">
      <c r="A55">
        <v>51</v>
      </c>
      <c r="B55" s="3">
        <v>46039</v>
      </c>
      <c r="C55" t="s">
        <v>18</v>
      </c>
      <c r="D55" t="s">
        <v>14</v>
      </c>
      <c r="E55" s="4">
        <v>1131</v>
      </c>
      <c r="F55" s="4">
        <v>930</v>
      </c>
      <c r="G55" s="4">
        <v>1.1499999999999999</v>
      </c>
      <c r="H55" t="s">
        <v>21</v>
      </c>
      <c r="I55" s="4">
        <v>1439.6</v>
      </c>
      <c r="J55" s="4">
        <v>76802</v>
      </c>
      <c r="K55">
        <v>0</v>
      </c>
      <c r="L55">
        <v>12</v>
      </c>
      <c r="M55" s="21">
        <f>(ProductionData[[#This Row],[Actual_Production_t]]/ProductionData[[#This Row],[Target_Production_t]])</f>
        <v>0.82228116710875332</v>
      </c>
      <c r="N55" s="5">
        <f>ProductionData[[#This Row],[Actual_Production_t]]/(ProductionData[[#This Row],[Target_Production_t]]*((8-ProductionData[[#This Row],[Downtime_hr]])/8))</f>
        <v>0.96032837034598939</v>
      </c>
      <c r="O55" s="4">
        <f>ProductionData[[#This Row],[Raw_Material_t]]/ProductionData[[#This Row],[Actual_Production_t]]</f>
        <v>1.5479569892473117</v>
      </c>
      <c r="P55" s="22">
        <f>ProductionData[[#This Row],[Energy_kWh]]/ProductionData[[#This Row],[Actual_Production_t]]</f>
        <v>82.582795698924727</v>
      </c>
      <c r="Q55" s="23">
        <f>ProductionData[[#This Row],[Defects_t]]/ProductionData[[#This Row],[Actual_Production_t]]</f>
        <v>0</v>
      </c>
      <c r="R55" t="str">
        <f>IF(ProductionData[[#This Row],[Achievement%]]&gt;=100%,"On Target",IF(ProductionData[[#This Row],[Achievement%]]&lt;90%,"Significantly Below Target","Below Target"))</f>
        <v>Significantly Below Target</v>
      </c>
    </row>
    <row r="56" spans="1:18" x14ac:dyDescent="0.25">
      <c r="A56">
        <v>52</v>
      </c>
      <c r="B56" s="3">
        <v>46040</v>
      </c>
      <c r="C56" t="s">
        <v>13</v>
      </c>
      <c r="D56" t="s">
        <v>14</v>
      </c>
      <c r="E56" s="4">
        <v>1160</v>
      </c>
      <c r="F56" s="4">
        <v>1061</v>
      </c>
      <c r="G56" s="4">
        <v>3.16</v>
      </c>
      <c r="H56" t="s">
        <v>21</v>
      </c>
      <c r="I56" s="4">
        <v>1658.9</v>
      </c>
      <c r="J56" s="4">
        <v>86641.8</v>
      </c>
      <c r="K56">
        <v>3</v>
      </c>
      <c r="L56">
        <v>10</v>
      </c>
      <c r="M56" s="21">
        <f>(ProductionData[[#This Row],[Actual_Production_t]]/ProductionData[[#This Row],[Target_Production_t]])</f>
        <v>0.91465517241379313</v>
      </c>
      <c r="N56" s="5">
        <f>ProductionData[[#This Row],[Actual_Production_t]]/(ProductionData[[#This Row],[Target_Production_t]]*((8-ProductionData[[#This Row],[Downtime_hr]])/8))</f>
        <v>1.511826731262468</v>
      </c>
      <c r="O56" s="4">
        <f>ProductionData[[#This Row],[Raw_Material_t]]/ProductionData[[#This Row],[Actual_Production_t]]</f>
        <v>1.5635249764373234</v>
      </c>
      <c r="P56" s="22">
        <f>ProductionData[[#This Row],[Energy_kWh]]/ProductionData[[#This Row],[Actual_Production_t]]</f>
        <v>81.660508953817157</v>
      </c>
      <c r="Q56" s="23">
        <f>ProductionData[[#This Row],[Defects_t]]/ProductionData[[#This Row],[Actual_Production_t]]</f>
        <v>2.8275212064090482E-3</v>
      </c>
      <c r="R56" t="str">
        <f>IF(ProductionData[[#This Row],[Achievement%]]&gt;=100%,"On Target",IF(ProductionData[[#This Row],[Achievement%]]&lt;90%,"Significantly Below Target","Below Target"))</f>
        <v>Below Target</v>
      </c>
    </row>
    <row r="57" spans="1:18" x14ac:dyDescent="0.25">
      <c r="A57">
        <v>53</v>
      </c>
      <c r="B57" s="3">
        <v>46040</v>
      </c>
      <c r="C57" t="s">
        <v>16</v>
      </c>
      <c r="D57" t="s">
        <v>14</v>
      </c>
      <c r="E57" s="4">
        <v>1156</v>
      </c>
      <c r="F57" s="4">
        <v>961.6</v>
      </c>
      <c r="G57" s="4">
        <v>4.28</v>
      </c>
      <c r="H57" t="s">
        <v>15</v>
      </c>
      <c r="I57" s="4">
        <v>1455</v>
      </c>
      <c r="J57" s="4">
        <v>80685.3</v>
      </c>
      <c r="K57">
        <v>3</v>
      </c>
      <c r="L57">
        <v>8</v>
      </c>
      <c r="M57" s="21">
        <f>(ProductionData[[#This Row],[Actual_Production_t]]/ProductionData[[#This Row],[Target_Production_t]])</f>
        <v>0.83183391003460205</v>
      </c>
      <c r="N57" s="5">
        <f>ProductionData[[#This Row],[Actual_Production_t]]/(ProductionData[[#This Row],[Target_Production_t]]*((8-ProductionData[[#This Row],[Downtime_hr]])/8))</f>
        <v>1.7888901291066712</v>
      </c>
      <c r="O57" s="4">
        <f>ProductionData[[#This Row],[Raw_Material_t]]/ProductionData[[#This Row],[Actual_Production_t]]</f>
        <v>1.5131031613976704</v>
      </c>
      <c r="P57" s="22">
        <f>ProductionData[[#This Row],[Energy_kWh]]/ProductionData[[#This Row],[Actual_Production_t]]</f>
        <v>83.907341930116473</v>
      </c>
      <c r="Q57" s="23">
        <f>ProductionData[[#This Row],[Defects_t]]/ProductionData[[#This Row],[Actual_Production_t]]</f>
        <v>3.119800332778702E-3</v>
      </c>
      <c r="R57" t="str">
        <f>IF(ProductionData[[#This Row],[Achievement%]]&gt;=100%,"On Target",IF(ProductionData[[#This Row],[Achievement%]]&lt;90%,"Significantly Below Target","Below Target"))</f>
        <v>Significantly Below Target</v>
      </c>
    </row>
    <row r="58" spans="1:18" x14ac:dyDescent="0.25">
      <c r="A58">
        <v>54</v>
      </c>
      <c r="B58" s="3">
        <v>46040</v>
      </c>
      <c r="C58" t="s">
        <v>18</v>
      </c>
      <c r="D58" t="s">
        <v>19</v>
      </c>
      <c r="E58" s="4">
        <v>952</v>
      </c>
      <c r="F58" s="4">
        <v>820.3</v>
      </c>
      <c r="G58" s="4">
        <v>1.51</v>
      </c>
      <c r="H58" t="s">
        <v>15</v>
      </c>
      <c r="I58" s="4">
        <v>1244.8</v>
      </c>
      <c r="J58" s="4">
        <v>63907.6</v>
      </c>
      <c r="K58">
        <v>2</v>
      </c>
      <c r="L58">
        <v>11</v>
      </c>
      <c r="M58" s="21">
        <f>(ProductionData[[#This Row],[Actual_Production_t]]/ProductionData[[#This Row],[Target_Production_t]])</f>
        <v>0.86165966386554615</v>
      </c>
      <c r="N58" s="5">
        <f>ProductionData[[#This Row],[Actual_Production_t]]/(ProductionData[[#This Row],[Target_Production_t]]*((8-ProductionData[[#This Row],[Downtime_hr]])/8))</f>
        <v>1.0621382605430461</v>
      </c>
      <c r="O58" s="4">
        <f>ProductionData[[#This Row],[Raw_Material_t]]/ProductionData[[#This Row],[Actual_Production_t]]</f>
        <v>1.5174935999024748</v>
      </c>
      <c r="P58" s="22">
        <f>ProductionData[[#This Row],[Energy_kWh]]/ProductionData[[#This Row],[Actual_Production_t]]</f>
        <v>77.907594782396686</v>
      </c>
      <c r="Q58" s="23">
        <f>ProductionData[[#This Row],[Defects_t]]/ProductionData[[#This Row],[Actual_Production_t]]</f>
        <v>2.4381323905888091E-3</v>
      </c>
      <c r="R58" t="str">
        <f>IF(ProductionData[[#This Row],[Achievement%]]&gt;=100%,"On Target",IF(ProductionData[[#This Row],[Achievement%]]&lt;90%,"Significantly Below Target","Below Target"))</f>
        <v>Significantly Below Target</v>
      </c>
    </row>
    <row r="59" spans="1:18" x14ac:dyDescent="0.25">
      <c r="A59">
        <v>55</v>
      </c>
      <c r="B59" s="3">
        <v>46041</v>
      </c>
      <c r="C59" t="s">
        <v>13</v>
      </c>
      <c r="D59" t="s">
        <v>19</v>
      </c>
      <c r="E59" s="4">
        <v>989</v>
      </c>
      <c r="F59" s="4">
        <v>984.1</v>
      </c>
      <c r="G59" s="4">
        <v>0.09</v>
      </c>
      <c r="H59" t="s">
        <v>23</v>
      </c>
      <c r="I59" s="4">
        <v>1498.8</v>
      </c>
      <c r="J59" s="4">
        <v>80080.5</v>
      </c>
      <c r="K59">
        <v>4</v>
      </c>
      <c r="L59">
        <v>12</v>
      </c>
      <c r="M59" s="21">
        <f>(ProductionData[[#This Row],[Actual_Production_t]]/ProductionData[[#This Row],[Target_Production_t]])</f>
        <v>0.99504550050556118</v>
      </c>
      <c r="N59" s="5">
        <f>ProductionData[[#This Row],[Actual_Production_t]]/(ProductionData[[#This Row],[Target_Production_t]]*((8-ProductionData[[#This Row],[Downtime_hr]])/8))</f>
        <v>1.0063671307262314</v>
      </c>
      <c r="O59" s="4">
        <f>ProductionData[[#This Row],[Raw_Material_t]]/ProductionData[[#This Row],[Actual_Production_t]]</f>
        <v>1.5230159536632455</v>
      </c>
      <c r="P59" s="22">
        <f>ProductionData[[#This Row],[Energy_kWh]]/ProductionData[[#This Row],[Actual_Production_t]]</f>
        <v>81.374352199979668</v>
      </c>
      <c r="Q59" s="23">
        <f>ProductionData[[#This Row],[Defects_t]]/ProductionData[[#This Row],[Actual_Production_t]]</f>
        <v>4.0646275784981204E-3</v>
      </c>
      <c r="R59" t="str">
        <f>IF(ProductionData[[#This Row],[Achievement%]]&gt;=100%,"On Target",IF(ProductionData[[#This Row],[Achievement%]]&lt;90%,"Significantly Below Target","Below Target"))</f>
        <v>Below Target</v>
      </c>
    </row>
    <row r="60" spans="1:18" x14ac:dyDescent="0.25">
      <c r="A60">
        <v>56</v>
      </c>
      <c r="B60" s="3">
        <v>46041</v>
      </c>
      <c r="C60" t="s">
        <v>16</v>
      </c>
      <c r="D60" t="s">
        <v>19</v>
      </c>
      <c r="E60" s="4">
        <v>976</v>
      </c>
      <c r="F60" s="4">
        <v>867.3</v>
      </c>
      <c r="G60" s="4">
        <v>3.12</v>
      </c>
      <c r="H60" t="s">
        <v>21</v>
      </c>
      <c r="I60" s="4">
        <v>1344.8</v>
      </c>
      <c r="J60" s="4">
        <v>69990.3</v>
      </c>
      <c r="K60">
        <v>3</v>
      </c>
      <c r="L60">
        <v>9</v>
      </c>
      <c r="M60" s="21">
        <f>(ProductionData[[#This Row],[Actual_Production_t]]/ProductionData[[#This Row],[Target_Production_t]])</f>
        <v>0.88862704918032787</v>
      </c>
      <c r="N60" s="5">
        <f>ProductionData[[#This Row],[Actual_Production_t]]/(ProductionData[[#This Row],[Target_Production_t]]*((8-ProductionData[[#This Row],[Downtime_hr]])/8))</f>
        <v>1.45676565439398</v>
      </c>
      <c r="O60" s="4">
        <f>ProductionData[[#This Row],[Raw_Material_t]]/ProductionData[[#This Row],[Actual_Production_t]]</f>
        <v>1.550559206733541</v>
      </c>
      <c r="P60" s="22">
        <f>ProductionData[[#This Row],[Energy_kWh]]/ProductionData[[#This Row],[Actual_Production_t]]</f>
        <v>80.699066067104809</v>
      </c>
      <c r="Q60" s="23">
        <f>ProductionData[[#This Row],[Defects_t]]/ProductionData[[#This Row],[Actual_Production_t]]</f>
        <v>3.4590107229332413E-3</v>
      </c>
      <c r="R60" t="str">
        <f>IF(ProductionData[[#This Row],[Achievement%]]&gt;=100%,"On Target",IF(ProductionData[[#This Row],[Achievement%]]&lt;90%,"Significantly Below Target","Below Target"))</f>
        <v>Significantly Below Target</v>
      </c>
    </row>
    <row r="61" spans="1:18" x14ac:dyDescent="0.25">
      <c r="A61">
        <v>57</v>
      </c>
      <c r="B61" s="3">
        <v>46041</v>
      </c>
      <c r="C61" t="s">
        <v>18</v>
      </c>
      <c r="D61" t="s">
        <v>17</v>
      </c>
      <c r="E61" s="4">
        <v>1032</v>
      </c>
      <c r="F61" s="4">
        <v>670.8</v>
      </c>
      <c r="G61" s="4">
        <v>5.6</v>
      </c>
      <c r="H61" t="s">
        <v>24</v>
      </c>
      <c r="I61" s="4">
        <v>1035.7</v>
      </c>
      <c r="J61" s="4">
        <v>48728</v>
      </c>
      <c r="K61">
        <v>0</v>
      </c>
      <c r="L61">
        <v>9</v>
      </c>
      <c r="M61" s="21">
        <f>(ProductionData[[#This Row],[Actual_Production_t]]/ProductionData[[#This Row],[Target_Production_t]])</f>
        <v>0.64999999999999991</v>
      </c>
      <c r="N61" s="5">
        <f>ProductionData[[#This Row],[Actual_Production_t]]/(ProductionData[[#This Row],[Target_Production_t]]*((8-ProductionData[[#This Row],[Downtime_hr]])/8))</f>
        <v>2.1666666666666665</v>
      </c>
      <c r="O61" s="4">
        <f>ProductionData[[#This Row],[Raw_Material_t]]/ProductionData[[#This Row],[Actual_Production_t]]</f>
        <v>1.5439773404889685</v>
      </c>
      <c r="P61" s="22">
        <f>ProductionData[[#This Row],[Energy_kWh]]/ProductionData[[#This Row],[Actual_Production_t]]</f>
        <v>72.641621943947527</v>
      </c>
      <c r="Q61" s="23">
        <f>ProductionData[[#This Row],[Defects_t]]/ProductionData[[#This Row],[Actual_Production_t]]</f>
        <v>0</v>
      </c>
      <c r="R61" t="str">
        <f>IF(ProductionData[[#This Row],[Achievement%]]&gt;=100%,"On Target",IF(ProductionData[[#This Row],[Achievement%]]&lt;90%,"Significantly Below Target","Below Target"))</f>
        <v>Significantly Below Target</v>
      </c>
    </row>
    <row r="62" spans="1:18" x14ac:dyDescent="0.25">
      <c r="A62">
        <v>58</v>
      </c>
      <c r="B62" s="3">
        <v>46042</v>
      </c>
      <c r="C62" t="s">
        <v>13</v>
      </c>
      <c r="D62" t="s">
        <v>17</v>
      </c>
      <c r="E62" s="4">
        <v>1079</v>
      </c>
      <c r="F62" s="4">
        <v>1018.2</v>
      </c>
      <c r="G62" s="4">
        <v>2.27</v>
      </c>
      <c r="H62" t="s">
        <v>22</v>
      </c>
      <c r="I62" s="4">
        <v>1565.7</v>
      </c>
      <c r="J62" s="4">
        <v>88568.4</v>
      </c>
      <c r="K62">
        <v>4</v>
      </c>
      <c r="L62">
        <v>11</v>
      </c>
      <c r="M62" s="21">
        <f>(ProductionData[[#This Row],[Actual_Production_t]]/ProductionData[[#This Row],[Target_Production_t]])</f>
        <v>0.94365152919369788</v>
      </c>
      <c r="N62" s="5">
        <f>ProductionData[[#This Row],[Actual_Production_t]]/(ProductionData[[#This Row],[Target_Production_t]]*((8-ProductionData[[#This Row],[Downtime_hr]])/8))</f>
        <v>1.3174890459946917</v>
      </c>
      <c r="O62" s="4">
        <f>ProductionData[[#This Row],[Raw_Material_t]]/ProductionData[[#This Row],[Actual_Production_t]]</f>
        <v>1.5377136122569239</v>
      </c>
      <c r="P62" s="22">
        <f>ProductionData[[#This Row],[Energy_kWh]]/ProductionData[[#This Row],[Actual_Production_t]]</f>
        <v>86.985268120212126</v>
      </c>
      <c r="Q62" s="23">
        <f>ProductionData[[#This Row],[Defects_t]]/ProductionData[[#This Row],[Actual_Production_t]]</f>
        <v>3.9285012767629147E-3</v>
      </c>
      <c r="R62" t="str">
        <f>IF(ProductionData[[#This Row],[Achievement%]]&gt;=100%,"On Target",IF(ProductionData[[#This Row],[Achievement%]]&lt;90%,"Significantly Below Target","Below Target"))</f>
        <v>Below Target</v>
      </c>
    </row>
    <row r="63" spans="1:18" x14ac:dyDescent="0.25">
      <c r="A63">
        <v>59</v>
      </c>
      <c r="B63" s="3">
        <v>46042</v>
      </c>
      <c r="C63" t="s">
        <v>16</v>
      </c>
      <c r="D63" t="s">
        <v>17</v>
      </c>
      <c r="E63" s="4">
        <v>1042</v>
      </c>
      <c r="F63" s="4">
        <v>985.1</v>
      </c>
      <c r="G63" s="4">
        <v>0.44</v>
      </c>
      <c r="H63" t="s">
        <v>23</v>
      </c>
      <c r="I63" s="4">
        <v>1533.1</v>
      </c>
      <c r="J63" s="4">
        <v>78767.5</v>
      </c>
      <c r="K63">
        <v>2</v>
      </c>
      <c r="L63">
        <v>11</v>
      </c>
      <c r="M63" s="21">
        <f>(ProductionData[[#This Row],[Actual_Production_t]]/ProductionData[[#This Row],[Target_Production_t]])</f>
        <v>0.94539347408829177</v>
      </c>
      <c r="N63" s="5">
        <f>ProductionData[[#This Row],[Actual_Production_t]]/(ProductionData[[#This Row],[Target_Production_t]]*((8-ProductionData[[#This Row],[Downtime_hr]])/8))</f>
        <v>1.000416374696605</v>
      </c>
      <c r="O63" s="4">
        <f>ProductionData[[#This Row],[Raw_Material_t]]/ProductionData[[#This Row],[Actual_Production_t]]</f>
        <v>1.5562887016546543</v>
      </c>
      <c r="P63" s="22">
        <f>ProductionData[[#This Row],[Energy_kWh]]/ProductionData[[#This Row],[Actual_Production_t]]</f>
        <v>79.958887422596689</v>
      </c>
      <c r="Q63" s="23">
        <f>ProductionData[[#This Row],[Defects_t]]/ProductionData[[#This Row],[Actual_Production_t]]</f>
        <v>2.0302507359658919E-3</v>
      </c>
      <c r="R63" t="str">
        <f>IF(ProductionData[[#This Row],[Achievement%]]&gt;=100%,"On Target",IF(ProductionData[[#This Row],[Achievement%]]&lt;90%,"Significantly Below Target","Below Target"))</f>
        <v>Below Target</v>
      </c>
    </row>
    <row r="64" spans="1:18" x14ac:dyDescent="0.25">
      <c r="A64">
        <v>60</v>
      </c>
      <c r="B64" s="3">
        <v>46042</v>
      </c>
      <c r="C64" t="s">
        <v>18</v>
      </c>
      <c r="D64" t="s">
        <v>17</v>
      </c>
      <c r="E64" s="4">
        <v>1038</v>
      </c>
      <c r="F64" s="4">
        <v>898.5</v>
      </c>
      <c r="G64" s="4">
        <v>0.32</v>
      </c>
      <c r="H64" t="s">
        <v>23</v>
      </c>
      <c r="I64" s="4">
        <v>1378.7</v>
      </c>
      <c r="J64" s="4">
        <v>80418.7</v>
      </c>
      <c r="K64">
        <v>2</v>
      </c>
      <c r="L64">
        <v>8</v>
      </c>
      <c r="M64" s="21">
        <f>(ProductionData[[#This Row],[Actual_Production_t]]/ProductionData[[#This Row],[Target_Production_t]])</f>
        <v>0.86560693641618502</v>
      </c>
      <c r="N64" s="5">
        <f>ProductionData[[#This Row],[Actual_Production_t]]/(ProductionData[[#This Row],[Target_Production_t]]*((8-ProductionData[[#This Row],[Downtime_hr]])/8))</f>
        <v>0.90167389210019266</v>
      </c>
      <c r="O64" s="4">
        <f>ProductionData[[#This Row],[Raw_Material_t]]/ProductionData[[#This Row],[Actual_Production_t]]</f>
        <v>1.5344462993878687</v>
      </c>
      <c r="P64" s="22">
        <f>ProductionData[[#This Row],[Energy_kWh]]/ProductionData[[#This Row],[Actual_Production_t]]</f>
        <v>89.503283249860871</v>
      </c>
      <c r="Q64" s="23">
        <f>ProductionData[[#This Row],[Defects_t]]/ProductionData[[#This Row],[Actual_Production_t]]</f>
        <v>2.2259321090706734E-3</v>
      </c>
      <c r="R64" t="str">
        <f>IF(ProductionData[[#This Row],[Achievement%]]&gt;=100%,"On Target",IF(ProductionData[[#This Row],[Achievement%]]&lt;90%,"Significantly Below Target","Below Target"))</f>
        <v>Significantly Below Target</v>
      </c>
    </row>
    <row r="65" spans="1:18" x14ac:dyDescent="0.25">
      <c r="A65">
        <v>61</v>
      </c>
      <c r="B65" s="3">
        <v>46043</v>
      </c>
      <c r="C65" t="s">
        <v>13</v>
      </c>
      <c r="D65" t="s">
        <v>14</v>
      </c>
      <c r="E65" s="4">
        <v>1115</v>
      </c>
      <c r="F65" s="4">
        <v>1042.9000000000001</v>
      </c>
      <c r="G65" s="4">
        <v>0.08</v>
      </c>
      <c r="H65" t="s">
        <v>23</v>
      </c>
      <c r="I65" s="4">
        <v>1591.9</v>
      </c>
      <c r="J65" s="4">
        <v>96549.8</v>
      </c>
      <c r="K65">
        <v>1</v>
      </c>
      <c r="L65">
        <v>10</v>
      </c>
      <c r="M65" s="21">
        <f>(ProductionData[[#This Row],[Actual_Production_t]]/ProductionData[[#This Row],[Target_Production_t]])</f>
        <v>0.93533632286995527</v>
      </c>
      <c r="N65" s="5">
        <f>ProductionData[[#This Row],[Actual_Production_t]]/(ProductionData[[#This Row],[Target_Production_t]]*((8-ProductionData[[#This Row],[Downtime_hr]])/8))</f>
        <v>0.94478416451510638</v>
      </c>
      <c r="O65" s="4">
        <f>ProductionData[[#This Row],[Raw_Material_t]]/ProductionData[[#This Row],[Actual_Production_t]]</f>
        <v>1.526416722600441</v>
      </c>
      <c r="P65" s="22">
        <f>ProductionData[[#This Row],[Energy_kWh]]/ProductionData[[#This Row],[Actual_Production_t]]</f>
        <v>92.578195416626713</v>
      </c>
      <c r="Q65" s="23">
        <f>ProductionData[[#This Row],[Defects_t]]/ProductionData[[#This Row],[Actual_Production_t]]</f>
        <v>9.588647041902387E-4</v>
      </c>
      <c r="R65" t="str">
        <f>IF(ProductionData[[#This Row],[Achievement%]]&gt;=100%,"On Target",IF(ProductionData[[#This Row],[Achievement%]]&lt;90%,"Significantly Below Target","Below Target"))</f>
        <v>Below Target</v>
      </c>
    </row>
    <row r="66" spans="1:18" x14ac:dyDescent="0.25">
      <c r="A66">
        <v>62</v>
      </c>
      <c r="B66" s="3">
        <v>46043</v>
      </c>
      <c r="C66" t="s">
        <v>16</v>
      </c>
      <c r="D66" t="s">
        <v>17</v>
      </c>
      <c r="E66" s="4">
        <v>1077</v>
      </c>
      <c r="F66" s="4">
        <v>894</v>
      </c>
      <c r="G66" s="4">
        <v>4.25</v>
      </c>
      <c r="H66" t="s">
        <v>24</v>
      </c>
      <c r="I66" s="4">
        <v>1339.2</v>
      </c>
      <c r="J66" s="4">
        <v>71534.2</v>
      </c>
      <c r="K66">
        <v>2</v>
      </c>
      <c r="L66">
        <v>12</v>
      </c>
      <c r="M66" s="21">
        <f>(ProductionData[[#This Row],[Actual_Production_t]]/ProductionData[[#This Row],[Target_Production_t]])</f>
        <v>0.83008356545961004</v>
      </c>
      <c r="N66" s="5">
        <f>ProductionData[[#This Row],[Actual_Production_t]]/(ProductionData[[#This Row],[Target_Production_t]]*((8-ProductionData[[#This Row],[Downtime_hr]])/8))</f>
        <v>1.7708449396471682</v>
      </c>
      <c r="O66" s="4">
        <f>ProductionData[[#This Row],[Raw_Material_t]]/ProductionData[[#This Row],[Actual_Production_t]]</f>
        <v>1.4979865771812082</v>
      </c>
      <c r="P66" s="22">
        <f>ProductionData[[#This Row],[Energy_kWh]]/ProductionData[[#This Row],[Actual_Production_t]]</f>
        <v>80.015883668903797</v>
      </c>
      <c r="Q66" s="23">
        <f>ProductionData[[#This Row],[Defects_t]]/ProductionData[[#This Row],[Actual_Production_t]]</f>
        <v>2.2371364653243847E-3</v>
      </c>
      <c r="R66" t="str">
        <f>IF(ProductionData[[#This Row],[Achievement%]]&gt;=100%,"On Target",IF(ProductionData[[#This Row],[Achievement%]]&lt;90%,"Significantly Below Target","Below Target"))</f>
        <v>Significantly Below Target</v>
      </c>
    </row>
    <row r="67" spans="1:18" x14ac:dyDescent="0.25">
      <c r="A67">
        <v>63</v>
      </c>
      <c r="B67" s="3">
        <v>46043</v>
      </c>
      <c r="C67" t="s">
        <v>18</v>
      </c>
      <c r="D67" t="s">
        <v>17</v>
      </c>
      <c r="E67" s="4">
        <v>1049</v>
      </c>
      <c r="F67" s="4">
        <v>1002.5</v>
      </c>
      <c r="G67" s="4">
        <v>0.1</v>
      </c>
      <c r="H67" t="s">
        <v>23</v>
      </c>
      <c r="I67" s="4">
        <v>1540.4</v>
      </c>
      <c r="J67" s="4">
        <v>87491</v>
      </c>
      <c r="K67">
        <v>1</v>
      </c>
      <c r="L67">
        <v>8</v>
      </c>
      <c r="M67" s="21">
        <f>(ProductionData[[#This Row],[Actual_Production_t]]/ProductionData[[#This Row],[Target_Production_t]])</f>
        <v>0.95567206863679699</v>
      </c>
      <c r="N67" s="5">
        <f>ProductionData[[#This Row],[Actual_Production_t]]/(ProductionData[[#This Row],[Target_Production_t]]*((8-ProductionData[[#This Row],[Downtime_hr]])/8))</f>
        <v>0.96776918342966778</v>
      </c>
      <c r="O67" s="4">
        <f>ProductionData[[#This Row],[Raw_Material_t]]/ProductionData[[#This Row],[Actual_Production_t]]</f>
        <v>1.5365586034912719</v>
      </c>
      <c r="P67" s="22">
        <f>ProductionData[[#This Row],[Energy_kWh]]/ProductionData[[#This Row],[Actual_Production_t]]</f>
        <v>87.272817955112217</v>
      </c>
      <c r="Q67" s="23">
        <f>ProductionData[[#This Row],[Defects_t]]/ProductionData[[#This Row],[Actual_Production_t]]</f>
        <v>9.9750623441396502E-4</v>
      </c>
      <c r="R67" t="str">
        <f>IF(ProductionData[[#This Row],[Achievement%]]&gt;=100%,"On Target",IF(ProductionData[[#This Row],[Achievement%]]&lt;90%,"Significantly Below Target","Below Target"))</f>
        <v>Below Target</v>
      </c>
    </row>
    <row r="68" spans="1:18" x14ac:dyDescent="0.25">
      <c r="A68">
        <v>64</v>
      </c>
      <c r="B68" s="3">
        <v>46044</v>
      </c>
      <c r="C68" t="s">
        <v>13</v>
      </c>
      <c r="D68" t="s">
        <v>19</v>
      </c>
      <c r="E68" s="4">
        <v>941</v>
      </c>
      <c r="F68" s="4">
        <v>856.4</v>
      </c>
      <c r="G68" s="4">
        <v>0.28999999999999998</v>
      </c>
      <c r="H68" t="s">
        <v>23</v>
      </c>
      <c r="I68" s="4">
        <v>1315.8</v>
      </c>
      <c r="J68" s="4">
        <v>64982.1</v>
      </c>
      <c r="K68">
        <v>1</v>
      </c>
      <c r="L68">
        <v>7</v>
      </c>
      <c r="M68" s="21">
        <f>(ProductionData[[#This Row],[Actual_Production_t]]/ProductionData[[#This Row],[Target_Production_t]])</f>
        <v>0.9100956429330499</v>
      </c>
      <c r="N68" s="5">
        <f>ProductionData[[#This Row],[Actual_Production_t]]/(ProductionData[[#This Row],[Target_Production_t]]*((8-ProductionData[[#This Row],[Downtime_hr]])/8))</f>
        <v>0.94432751536503234</v>
      </c>
      <c r="O68" s="4">
        <f>ProductionData[[#This Row],[Raw_Material_t]]/ProductionData[[#This Row],[Actual_Production_t]]</f>
        <v>1.5364315740308268</v>
      </c>
      <c r="P68" s="22">
        <f>ProductionData[[#This Row],[Energy_kWh]]/ProductionData[[#This Row],[Actual_Production_t]]</f>
        <v>75.87821111630079</v>
      </c>
      <c r="Q68" s="23">
        <f>ProductionData[[#This Row],[Defects_t]]/ProductionData[[#This Row],[Actual_Production_t]]</f>
        <v>1.1676786548341896E-3</v>
      </c>
      <c r="R68" t="str">
        <f>IF(ProductionData[[#This Row],[Achievement%]]&gt;=100%,"On Target",IF(ProductionData[[#This Row],[Achievement%]]&lt;90%,"Significantly Below Target","Below Target"))</f>
        <v>Below Target</v>
      </c>
    </row>
    <row r="69" spans="1:18" x14ac:dyDescent="0.25">
      <c r="A69">
        <v>65</v>
      </c>
      <c r="B69" s="3">
        <v>46044</v>
      </c>
      <c r="C69" t="s">
        <v>16</v>
      </c>
      <c r="D69" t="s">
        <v>14</v>
      </c>
      <c r="E69" s="4">
        <v>1172</v>
      </c>
      <c r="F69" s="4">
        <v>911.6</v>
      </c>
      <c r="G69" s="4">
        <v>4.33</v>
      </c>
      <c r="H69" t="s">
        <v>15</v>
      </c>
      <c r="I69" s="4">
        <v>1384.5</v>
      </c>
      <c r="J69" s="4">
        <v>76318.399999999994</v>
      </c>
      <c r="K69">
        <v>3</v>
      </c>
      <c r="L69">
        <v>7</v>
      </c>
      <c r="M69" s="21">
        <f>(ProductionData[[#This Row],[Actual_Production_t]]/ProductionData[[#This Row],[Target_Production_t]])</f>
        <v>0.77781569965870312</v>
      </c>
      <c r="N69" s="5">
        <f>ProductionData[[#This Row],[Actual_Production_t]]/(ProductionData[[#This Row],[Target_Production_t]]*((8-ProductionData[[#This Row],[Downtime_hr]])/8))</f>
        <v>1.6955110619263283</v>
      </c>
      <c r="O69" s="4">
        <f>ProductionData[[#This Row],[Raw_Material_t]]/ProductionData[[#This Row],[Actual_Production_t]]</f>
        <v>1.5187582272926723</v>
      </c>
      <c r="P69" s="22">
        <f>ProductionData[[#This Row],[Energy_kWh]]/ProductionData[[#This Row],[Actual_Production_t]]</f>
        <v>83.719175076788062</v>
      </c>
      <c r="Q69" s="23">
        <f>ProductionData[[#This Row],[Defects_t]]/ProductionData[[#This Row],[Actual_Production_t]]</f>
        <v>3.2909170688898638E-3</v>
      </c>
      <c r="R69" t="str">
        <f>IF(ProductionData[[#This Row],[Achievement%]]&gt;=100%,"On Target",IF(ProductionData[[#This Row],[Achievement%]]&lt;90%,"Significantly Below Target","Below Target"))</f>
        <v>Significantly Below Target</v>
      </c>
    </row>
    <row r="70" spans="1:18" x14ac:dyDescent="0.25">
      <c r="A70">
        <v>66</v>
      </c>
      <c r="B70" s="3">
        <v>46044</v>
      </c>
      <c r="C70" t="s">
        <v>18</v>
      </c>
      <c r="D70" t="s">
        <v>14</v>
      </c>
      <c r="E70" s="4">
        <v>1160</v>
      </c>
      <c r="F70" s="4">
        <v>937.6</v>
      </c>
      <c r="G70" s="4">
        <v>2.5499999999999998</v>
      </c>
      <c r="H70" t="s">
        <v>15</v>
      </c>
      <c r="I70" s="4">
        <v>1424.1</v>
      </c>
      <c r="J70" s="4">
        <v>74847.899999999994</v>
      </c>
      <c r="K70">
        <v>1</v>
      </c>
      <c r="L70">
        <v>12</v>
      </c>
      <c r="M70" s="21">
        <f>(ProductionData[[#This Row],[Actual_Production_t]]/ProductionData[[#This Row],[Target_Production_t]])</f>
        <v>0.80827586206896551</v>
      </c>
      <c r="N70" s="5">
        <f>ProductionData[[#This Row],[Actual_Production_t]]/(ProductionData[[#This Row],[Target_Production_t]]*((8-ProductionData[[#This Row],[Downtime_hr]])/8))</f>
        <v>1.1864599810186649</v>
      </c>
      <c r="O70" s="4">
        <f>ProductionData[[#This Row],[Raw_Material_t]]/ProductionData[[#This Row],[Actual_Production_t]]</f>
        <v>1.5188779863481228</v>
      </c>
      <c r="P70" s="22">
        <f>ProductionData[[#This Row],[Energy_kWh]]/ProductionData[[#This Row],[Actual_Production_t]]</f>
        <v>79.829244880546071</v>
      </c>
      <c r="Q70" s="23">
        <f>ProductionData[[#This Row],[Defects_t]]/ProductionData[[#This Row],[Actual_Production_t]]</f>
        <v>1.0665529010238908E-3</v>
      </c>
      <c r="R70" t="str">
        <f>IF(ProductionData[[#This Row],[Achievement%]]&gt;=100%,"On Target",IF(ProductionData[[#This Row],[Achievement%]]&lt;90%,"Significantly Below Target","Below Target"))</f>
        <v>Significantly Below Target</v>
      </c>
    </row>
    <row r="71" spans="1:18" x14ac:dyDescent="0.25">
      <c r="A71">
        <v>67</v>
      </c>
      <c r="B71" s="3">
        <v>46045</v>
      </c>
      <c r="C71" t="s">
        <v>13</v>
      </c>
      <c r="D71" t="s">
        <v>17</v>
      </c>
      <c r="E71" s="4">
        <v>1075</v>
      </c>
      <c r="F71" s="4">
        <v>1161</v>
      </c>
      <c r="G71" s="4">
        <v>0</v>
      </c>
      <c r="H71" t="s">
        <v>21</v>
      </c>
      <c r="I71" s="4">
        <v>1750.2</v>
      </c>
      <c r="J71" s="4">
        <v>96308.6</v>
      </c>
      <c r="K71">
        <v>1</v>
      </c>
      <c r="L71">
        <v>9</v>
      </c>
      <c r="M71" s="21">
        <f>(ProductionData[[#This Row],[Actual_Production_t]]/ProductionData[[#This Row],[Target_Production_t]])</f>
        <v>1.08</v>
      </c>
      <c r="N71" s="5">
        <f>ProductionData[[#This Row],[Actual_Production_t]]/(ProductionData[[#This Row],[Target_Production_t]]*((8-ProductionData[[#This Row],[Downtime_hr]])/8))</f>
        <v>1.08</v>
      </c>
      <c r="O71" s="4">
        <f>ProductionData[[#This Row],[Raw_Material_t]]/ProductionData[[#This Row],[Actual_Production_t]]</f>
        <v>1.5074935400516796</v>
      </c>
      <c r="P71" s="22">
        <f>ProductionData[[#This Row],[Energy_kWh]]/ProductionData[[#This Row],[Actual_Production_t]]</f>
        <v>82.953143841515939</v>
      </c>
      <c r="Q71" s="23">
        <f>ProductionData[[#This Row],[Defects_t]]/ProductionData[[#This Row],[Actual_Production_t]]</f>
        <v>8.6132644272179156E-4</v>
      </c>
      <c r="R71" t="str">
        <f>IF(ProductionData[[#This Row],[Achievement%]]&gt;=100%,"On Target",IF(ProductionData[[#This Row],[Achievement%]]&lt;90%,"Significantly Below Target","Below Target"))</f>
        <v>On Target</v>
      </c>
    </row>
    <row r="72" spans="1:18" x14ac:dyDescent="0.25">
      <c r="A72">
        <v>68</v>
      </c>
      <c r="B72" s="3">
        <v>46045</v>
      </c>
      <c r="C72" t="s">
        <v>16</v>
      </c>
      <c r="D72" t="s">
        <v>14</v>
      </c>
      <c r="E72" s="4">
        <v>1183</v>
      </c>
      <c r="F72" s="4">
        <v>1175.0999999999999</v>
      </c>
      <c r="G72" s="4">
        <v>0.49</v>
      </c>
      <c r="H72" t="s">
        <v>23</v>
      </c>
      <c r="I72" s="4">
        <v>1836.4</v>
      </c>
      <c r="J72" s="4">
        <v>86137.5</v>
      </c>
      <c r="K72">
        <v>2</v>
      </c>
      <c r="L72">
        <v>12</v>
      </c>
      <c r="M72" s="21">
        <f>(ProductionData[[#This Row],[Actual_Production_t]]/ProductionData[[#This Row],[Target_Production_t]])</f>
        <v>0.99332206255283173</v>
      </c>
      <c r="N72" s="5">
        <f>ProductionData[[#This Row],[Actual_Production_t]]/(ProductionData[[#This Row],[Target_Production_t]]*((8-ProductionData[[#This Row],[Downtime_hr]])/8))</f>
        <v>1.0581326898032828</v>
      </c>
      <c r="O72" s="4">
        <f>ProductionData[[#This Row],[Raw_Material_t]]/ProductionData[[#This Row],[Actual_Production_t]]</f>
        <v>1.5627606161177774</v>
      </c>
      <c r="P72" s="22">
        <f>ProductionData[[#This Row],[Energy_kWh]]/ProductionData[[#This Row],[Actual_Production_t]]</f>
        <v>73.302272147051326</v>
      </c>
      <c r="Q72" s="23">
        <f>ProductionData[[#This Row],[Defects_t]]/ProductionData[[#This Row],[Actual_Production_t]]</f>
        <v>1.7019828099736193E-3</v>
      </c>
      <c r="R72" t="str">
        <f>IF(ProductionData[[#This Row],[Achievement%]]&gt;=100%,"On Target",IF(ProductionData[[#This Row],[Achievement%]]&lt;90%,"Significantly Below Target","Below Target"))</f>
        <v>Below Target</v>
      </c>
    </row>
    <row r="73" spans="1:18" x14ac:dyDescent="0.25">
      <c r="A73">
        <v>69</v>
      </c>
      <c r="B73" s="3">
        <v>46045</v>
      </c>
      <c r="C73" t="s">
        <v>18</v>
      </c>
      <c r="D73" t="s">
        <v>14</v>
      </c>
      <c r="E73" s="4">
        <v>1176</v>
      </c>
      <c r="F73" s="4">
        <v>1092.5</v>
      </c>
      <c r="G73" s="4">
        <v>0.4</v>
      </c>
      <c r="H73" t="s">
        <v>23</v>
      </c>
      <c r="I73" s="4">
        <v>1661.1</v>
      </c>
      <c r="J73" s="4">
        <v>89851.8</v>
      </c>
      <c r="K73">
        <v>5</v>
      </c>
      <c r="L73">
        <v>8</v>
      </c>
      <c r="M73" s="21">
        <f>(ProductionData[[#This Row],[Actual_Production_t]]/ProductionData[[#This Row],[Target_Production_t]])</f>
        <v>0.92899659863945583</v>
      </c>
      <c r="N73" s="5">
        <f>ProductionData[[#This Row],[Actual_Production_t]]/(ProductionData[[#This Row],[Target_Production_t]]*((8-ProductionData[[#This Row],[Downtime_hr]])/8))</f>
        <v>0.97789115646258495</v>
      </c>
      <c r="O73" s="4">
        <f>ProductionData[[#This Row],[Raw_Material_t]]/ProductionData[[#This Row],[Actual_Production_t]]</f>
        <v>1.52045766590389</v>
      </c>
      <c r="P73" s="22">
        <f>ProductionData[[#This Row],[Energy_kWh]]/ProductionData[[#This Row],[Actual_Production_t]]</f>
        <v>82.244210526315797</v>
      </c>
      <c r="Q73" s="23">
        <f>ProductionData[[#This Row],[Defects_t]]/ProductionData[[#This Row],[Actual_Production_t]]</f>
        <v>4.5766590389016018E-3</v>
      </c>
      <c r="R73" t="str">
        <f>IF(ProductionData[[#This Row],[Achievement%]]&gt;=100%,"On Target",IF(ProductionData[[#This Row],[Achievement%]]&lt;90%,"Significantly Below Target","Below Target"))</f>
        <v>Below Target</v>
      </c>
    </row>
    <row r="74" spans="1:18" x14ac:dyDescent="0.25">
      <c r="A74">
        <v>70</v>
      </c>
      <c r="B74" s="3">
        <v>46046</v>
      </c>
      <c r="C74" t="s">
        <v>13</v>
      </c>
      <c r="D74" t="s">
        <v>14</v>
      </c>
      <c r="E74" s="4">
        <v>1116</v>
      </c>
      <c r="F74" s="4">
        <v>856.8</v>
      </c>
      <c r="G74" s="4">
        <v>6.32</v>
      </c>
      <c r="H74" t="s">
        <v>15</v>
      </c>
      <c r="I74" s="4">
        <v>1343.3</v>
      </c>
      <c r="J74" s="4">
        <v>73539.5</v>
      </c>
      <c r="K74">
        <v>4</v>
      </c>
      <c r="L74">
        <v>10</v>
      </c>
      <c r="M74" s="21">
        <f>(ProductionData[[#This Row],[Actual_Production_t]]/ProductionData[[#This Row],[Target_Production_t]])</f>
        <v>0.76774193548387093</v>
      </c>
      <c r="N74" s="5">
        <f>ProductionData[[#This Row],[Actual_Production_t]]/(ProductionData[[#This Row],[Target_Production_t]]*((8-ProductionData[[#This Row],[Downtime_hr]])/8))</f>
        <v>3.655913978494624</v>
      </c>
      <c r="O74" s="4">
        <f>ProductionData[[#This Row],[Raw_Material_t]]/ProductionData[[#This Row],[Actual_Production_t]]</f>
        <v>1.5678104575163399</v>
      </c>
      <c r="P74" s="22">
        <f>ProductionData[[#This Row],[Energy_kWh]]/ProductionData[[#This Row],[Actual_Production_t]]</f>
        <v>85.830415499533146</v>
      </c>
      <c r="Q74" s="23">
        <f>ProductionData[[#This Row],[Defects_t]]/ProductionData[[#This Row],[Actual_Production_t]]</f>
        <v>4.6685340802987861E-3</v>
      </c>
      <c r="R74" t="str">
        <f>IF(ProductionData[[#This Row],[Achievement%]]&gt;=100%,"On Target",IF(ProductionData[[#This Row],[Achievement%]]&lt;90%,"Significantly Below Target","Below Target"))</f>
        <v>Significantly Below Target</v>
      </c>
    </row>
    <row r="75" spans="1:18" x14ac:dyDescent="0.25">
      <c r="A75">
        <v>71</v>
      </c>
      <c r="B75" s="3">
        <v>46046</v>
      </c>
      <c r="C75" t="s">
        <v>16</v>
      </c>
      <c r="D75" t="s">
        <v>19</v>
      </c>
      <c r="E75" s="4">
        <v>976</v>
      </c>
      <c r="F75" s="4">
        <v>710.2</v>
      </c>
      <c r="G75" s="4">
        <v>4.32</v>
      </c>
      <c r="H75" t="s">
        <v>24</v>
      </c>
      <c r="I75" s="4">
        <v>1084.8</v>
      </c>
      <c r="J75" s="4">
        <v>57962.9</v>
      </c>
      <c r="K75">
        <v>1</v>
      </c>
      <c r="L75">
        <v>8</v>
      </c>
      <c r="M75" s="21">
        <f>(ProductionData[[#This Row],[Actual_Production_t]]/ProductionData[[#This Row],[Target_Production_t]])</f>
        <v>0.72766393442622956</v>
      </c>
      <c r="N75" s="5">
        <f>ProductionData[[#This Row],[Actual_Production_t]]/(ProductionData[[#This Row],[Target_Production_t]]*((8-ProductionData[[#This Row],[Downtime_hr]])/8))</f>
        <v>1.5818781183178905</v>
      </c>
      <c r="O75" s="4">
        <f>ProductionData[[#This Row],[Raw_Material_t]]/ProductionData[[#This Row],[Actual_Production_t]]</f>
        <v>1.527457054350887</v>
      </c>
      <c r="P75" s="22">
        <f>ProductionData[[#This Row],[Energy_kWh]]/ProductionData[[#This Row],[Actual_Production_t]]</f>
        <v>81.614897212052938</v>
      </c>
      <c r="Q75" s="23">
        <f>ProductionData[[#This Row],[Defects_t]]/ProductionData[[#This Row],[Actual_Production_t]]</f>
        <v>1.40805406927626E-3</v>
      </c>
      <c r="R75" t="str">
        <f>IF(ProductionData[[#This Row],[Achievement%]]&gt;=100%,"On Target",IF(ProductionData[[#This Row],[Achievement%]]&lt;90%,"Significantly Below Target","Below Target"))</f>
        <v>Significantly Below Target</v>
      </c>
    </row>
    <row r="76" spans="1:18" x14ac:dyDescent="0.25">
      <c r="A76">
        <v>72</v>
      </c>
      <c r="B76" s="3">
        <v>46046</v>
      </c>
      <c r="C76" t="s">
        <v>18</v>
      </c>
      <c r="D76" t="s">
        <v>17</v>
      </c>
      <c r="E76" s="4">
        <v>1068</v>
      </c>
      <c r="F76" s="4">
        <v>880.5</v>
      </c>
      <c r="G76" s="4">
        <v>2.39</v>
      </c>
      <c r="H76" t="s">
        <v>24</v>
      </c>
      <c r="I76" s="4">
        <v>1404.9</v>
      </c>
      <c r="J76" s="4">
        <v>74572.600000000006</v>
      </c>
      <c r="K76">
        <v>1</v>
      </c>
      <c r="L76">
        <v>9</v>
      </c>
      <c r="M76" s="21">
        <f>(ProductionData[[#This Row],[Actual_Production_t]]/ProductionData[[#This Row],[Target_Production_t]])</f>
        <v>0.824438202247191</v>
      </c>
      <c r="N76" s="5">
        <f>ProductionData[[#This Row],[Actual_Production_t]]/(ProductionData[[#This Row],[Target_Production_t]]*((8-ProductionData[[#This Row],[Downtime_hr]])/8))</f>
        <v>1.1756694506198804</v>
      </c>
      <c r="O76" s="4">
        <f>ProductionData[[#This Row],[Raw_Material_t]]/ProductionData[[#This Row],[Actual_Production_t]]</f>
        <v>1.5955706984667803</v>
      </c>
      <c r="P76" s="22">
        <f>ProductionData[[#This Row],[Energy_kWh]]/ProductionData[[#This Row],[Actual_Production_t]]</f>
        <v>84.693469619534369</v>
      </c>
      <c r="Q76" s="23">
        <f>ProductionData[[#This Row],[Defects_t]]/ProductionData[[#This Row],[Actual_Production_t]]</f>
        <v>1.1357183418512209E-3</v>
      </c>
      <c r="R76" t="str">
        <f>IF(ProductionData[[#This Row],[Achievement%]]&gt;=100%,"On Target",IF(ProductionData[[#This Row],[Achievement%]]&lt;90%,"Significantly Below Target","Below Target"))</f>
        <v>Significantly Below Target</v>
      </c>
    </row>
    <row r="77" spans="1:18" x14ac:dyDescent="0.25">
      <c r="A77">
        <v>73</v>
      </c>
      <c r="B77" s="3">
        <v>46047</v>
      </c>
      <c r="C77" t="s">
        <v>13</v>
      </c>
      <c r="D77" t="s">
        <v>14</v>
      </c>
      <c r="E77" s="4">
        <v>1135</v>
      </c>
      <c r="F77" s="4">
        <v>1084.5</v>
      </c>
      <c r="G77" s="4">
        <v>1.6</v>
      </c>
      <c r="H77" t="s">
        <v>22</v>
      </c>
      <c r="I77" s="4">
        <v>1586.5</v>
      </c>
      <c r="J77" s="4">
        <v>91320.4</v>
      </c>
      <c r="K77">
        <v>4</v>
      </c>
      <c r="L77">
        <v>11</v>
      </c>
      <c r="M77" s="21">
        <f>(ProductionData[[#This Row],[Actual_Production_t]]/ProductionData[[#This Row],[Target_Production_t]])</f>
        <v>0.95550660792951547</v>
      </c>
      <c r="N77" s="5">
        <f>ProductionData[[#This Row],[Actual_Production_t]]/(ProductionData[[#This Row],[Target_Production_t]]*((8-ProductionData[[#This Row],[Downtime_hr]])/8))</f>
        <v>1.1943832599118942</v>
      </c>
      <c r="O77" s="4">
        <f>ProductionData[[#This Row],[Raw_Material_t]]/ProductionData[[#This Row],[Actual_Production_t]]</f>
        <v>1.4628861226371599</v>
      </c>
      <c r="P77" s="22">
        <f>ProductionData[[#This Row],[Energy_kWh]]/ProductionData[[#This Row],[Actual_Production_t]]</f>
        <v>84.205071461502996</v>
      </c>
      <c r="Q77" s="23">
        <f>ProductionData[[#This Row],[Defects_t]]/ProductionData[[#This Row],[Actual_Production_t]]</f>
        <v>3.6883356385431073E-3</v>
      </c>
      <c r="R77" t="str">
        <f>IF(ProductionData[[#This Row],[Achievement%]]&gt;=100%,"On Target",IF(ProductionData[[#This Row],[Achievement%]]&lt;90%,"Significantly Below Target","Below Target"))</f>
        <v>Below Target</v>
      </c>
    </row>
    <row r="78" spans="1:18" x14ac:dyDescent="0.25">
      <c r="A78">
        <v>74</v>
      </c>
      <c r="B78" s="3">
        <v>46047</v>
      </c>
      <c r="C78" t="s">
        <v>16</v>
      </c>
      <c r="D78" t="s">
        <v>14</v>
      </c>
      <c r="E78" s="4">
        <v>1140</v>
      </c>
      <c r="F78" s="4">
        <v>955</v>
      </c>
      <c r="G78" s="4">
        <v>4.33</v>
      </c>
      <c r="H78" t="s">
        <v>20</v>
      </c>
      <c r="I78" s="4">
        <v>1390</v>
      </c>
      <c r="J78" s="4">
        <v>73418.8</v>
      </c>
      <c r="K78">
        <v>1</v>
      </c>
      <c r="L78">
        <v>10</v>
      </c>
      <c r="M78" s="21">
        <f>(ProductionData[[#This Row],[Actual_Production_t]]/ProductionData[[#This Row],[Target_Production_t]])</f>
        <v>0.83771929824561409</v>
      </c>
      <c r="N78" s="5">
        <f>ProductionData[[#This Row],[Actual_Production_t]]/(ProductionData[[#This Row],[Target_Production_t]]*((8-ProductionData[[#This Row],[Downtime_hr]])/8))</f>
        <v>1.826091113341938</v>
      </c>
      <c r="O78" s="4">
        <f>ProductionData[[#This Row],[Raw_Material_t]]/ProductionData[[#This Row],[Actual_Production_t]]</f>
        <v>1.455497382198953</v>
      </c>
      <c r="P78" s="22">
        <f>ProductionData[[#This Row],[Energy_kWh]]/ProductionData[[#This Row],[Actual_Production_t]]</f>
        <v>76.878324607329844</v>
      </c>
      <c r="Q78" s="23">
        <f>ProductionData[[#This Row],[Defects_t]]/ProductionData[[#This Row],[Actual_Production_t]]</f>
        <v>1.0471204188481676E-3</v>
      </c>
      <c r="R78" t="str">
        <f>IF(ProductionData[[#This Row],[Achievement%]]&gt;=100%,"On Target",IF(ProductionData[[#This Row],[Achievement%]]&lt;90%,"Significantly Below Target","Below Target"))</f>
        <v>Significantly Below Target</v>
      </c>
    </row>
    <row r="79" spans="1:18" x14ac:dyDescent="0.25">
      <c r="A79">
        <v>75</v>
      </c>
      <c r="B79" s="3">
        <v>46047</v>
      </c>
      <c r="C79" t="s">
        <v>18</v>
      </c>
      <c r="D79" t="s">
        <v>19</v>
      </c>
      <c r="E79" s="4">
        <v>1004</v>
      </c>
      <c r="F79" s="4">
        <v>748.5</v>
      </c>
      <c r="G79" s="4">
        <v>3.64</v>
      </c>
      <c r="H79" t="s">
        <v>22</v>
      </c>
      <c r="I79" s="4">
        <v>1113.5</v>
      </c>
      <c r="J79" s="4">
        <v>57328.800000000003</v>
      </c>
      <c r="K79">
        <v>3</v>
      </c>
      <c r="L79">
        <v>12</v>
      </c>
      <c r="M79" s="21">
        <f>(ProductionData[[#This Row],[Actual_Production_t]]/ProductionData[[#This Row],[Target_Production_t]])</f>
        <v>0.74551792828685259</v>
      </c>
      <c r="N79" s="5">
        <f>ProductionData[[#This Row],[Actual_Production_t]]/(ProductionData[[#This Row],[Target_Production_t]]*((8-ProductionData[[#This Row],[Downtime_hr]])/8))</f>
        <v>1.3679228041960598</v>
      </c>
      <c r="O79" s="4">
        <f>ProductionData[[#This Row],[Raw_Material_t]]/ProductionData[[#This Row],[Actual_Production_t]]</f>
        <v>1.4876419505678022</v>
      </c>
      <c r="P79" s="22">
        <f>ProductionData[[#This Row],[Energy_kWh]]/ProductionData[[#This Row],[Actual_Production_t]]</f>
        <v>76.591583166332668</v>
      </c>
      <c r="Q79" s="23">
        <f>ProductionData[[#This Row],[Defects_t]]/ProductionData[[#This Row],[Actual_Production_t]]</f>
        <v>4.0080160320641279E-3</v>
      </c>
      <c r="R79" t="str">
        <f>IF(ProductionData[[#This Row],[Achievement%]]&gt;=100%,"On Target",IF(ProductionData[[#This Row],[Achievement%]]&lt;90%,"Significantly Below Target","Below Target"))</f>
        <v>Significantly Below Target</v>
      </c>
    </row>
    <row r="80" spans="1:18" x14ac:dyDescent="0.25">
      <c r="A80">
        <v>76</v>
      </c>
      <c r="B80" s="3">
        <v>46048</v>
      </c>
      <c r="C80" t="s">
        <v>13</v>
      </c>
      <c r="D80" t="s">
        <v>14</v>
      </c>
      <c r="E80" s="4">
        <v>1165</v>
      </c>
      <c r="F80" s="4">
        <v>916.9</v>
      </c>
      <c r="G80" s="4">
        <v>4.2300000000000004</v>
      </c>
      <c r="H80" t="s">
        <v>15</v>
      </c>
      <c r="I80" s="4">
        <v>1339.5</v>
      </c>
      <c r="J80" s="4">
        <v>78807.600000000006</v>
      </c>
      <c r="K80">
        <v>2</v>
      </c>
      <c r="L80">
        <v>7</v>
      </c>
      <c r="M80" s="21">
        <f>(ProductionData[[#This Row],[Actual_Production_t]]/ProductionData[[#This Row],[Target_Production_t]])</f>
        <v>0.78703862660944202</v>
      </c>
      <c r="N80" s="5">
        <f>ProductionData[[#This Row],[Actual_Production_t]]/(ProductionData[[#This Row],[Target_Production_t]]*((8-ProductionData[[#This Row],[Downtime_hr]])/8))</f>
        <v>1.6701084914789224</v>
      </c>
      <c r="O80" s="4">
        <f>ProductionData[[#This Row],[Raw_Material_t]]/ProductionData[[#This Row],[Actual_Production_t]]</f>
        <v>1.4609008615988657</v>
      </c>
      <c r="P80" s="22">
        <f>ProductionData[[#This Row],[Energy_kWh]]/ProductionData[[#This Row],[Actual_Production_t]]</f>
        <v>85.950049078416413</v>
      </c>
      <c r="Q80" s="23">
        <f>ProductionData[[#This Row],[Defects_t]]/ProductionData[[#This Row],[Actual_Production_t]]</f>
        <v>2.1812629512487731E-3</v>
      </c>
      <c r="R80" t="str">
        <f>IF(ProductionData[[#This Row],[Achievement%]]&gt;=100%,"On Target",IF(ProductionData[[#This Row],[Achievement%]]&lt;90%,"Significantly Below Target","Below Target"))</f>
        <v>Significantly Below Target</v>
      </c>
    </row>
    <row r="81" spans="1:18" x14ac:dyDescent="0.25">
      <c r="A81">
        <v>77</v>
      </c>
      <c r="B81" s="3">
        <v>46048</v>
      </c>
      <c r="C81" t="s">
        <v>16</v>
      </c>
      <c r="D81" t="s">
        <v>14</v>
      </c>
      <c r="E81" s="4">
        <v>1170</v>
      </c>
      <c r="F81" s="4">
        <v>933.9</v>
      </c>
      <c r="G81" s="4">
        <v>6.01</v>
      </c>
      <c r="H81" t="s">
        <v>22</v>
      </c>
      <c r="I81" s="4">
        <v>1440.2</v>
      </c>
      <c r="J81" s="4">
        <v>80215.3</v>
      </c>
      <c r="K81">
        <v>2</v>
      </c>
      <c r="L81">
        <v>10</v>
      </c>
      <c r="M81" s="21">
        <f>(ProductionData[[#This Row],[Actual_Production_t]]/ProductionData[[#This Row],[Target_Production_t]])</f>
        <v>0.79820512820512823</v>
      </c>
      <c r="N81" s="5">
        <f>ProductionData[[#This Row],[Actual_Production_t]]/(ProductionData[[#This Row],[Target_Production_t]]*((8-ProductionData[[#This Row],[Downtime_hr]])/8))</f>
        <v>3.2088648370055401</v>
      </c>
      <c r="O81" s="4">
        <f>ProductionData[[#This Row],[Raw_Material_t]]/ProductionData[[#This Row],[Actual_Production_t]]</f>
        <v>1.5421351322411394</v>
      </c>
      <c r="P81" s="22">
        <f>ProductionData[[#This Row],[Energy_kWh]]/ProductionData[[#This Row],[Actual_Production_t]]</f>
        <v>85.892815076560666</v>
      </c>
      <c r="Q81" s="23">
        <f>ProductionData[[#This Row],[Defects_t]]/ProductionData[[#This Row],[Actual_Production_t]]</f>
        <v>2.141556911874933E-3</v>
      </c>
      <c r="R81" t="str">
        <f>IF(ProductionData[[#This Row],[Achievement%]]&gt;=100%,"On Target",IF(ProductionData[[#This Row],[Achievement%]]&lt;90%,"Significantly Below Target","Below Target"))</f>
        <v>Significantly Below Target</v>
      </c>
    </row>
    <row r="82" spans="1:18" x14ac:dyDescent="0.25">
      <c r="A82">
        <v>78</v>
      </c>
      <c r="B82" s="3">
        <v>46048</v>
      </c>
      <c r="C82" t="s">
        <v>18</v>
      </c>
      <c r="D82" t="s">
        <v>19</v>
      </c>
      <c r="E82" s="4">
        <v>988</v>
      </c>
      <c r="F82" s="4">
        <v>891.3</v>
      </c>
      <c r="G82" s="4">
        <v>0</v>
      </c>
      <c r="H82" t="s">
        <v>21</v>
      </c>
      <c r="I82" s="4">
        <v>1366.6</v>
      </c>
      <c r="J82" s="4">
        <v>75259.8</v>
      </c>
      <c r="K82">
        <v>5</v>
      </c>
      <c r="L82">
        <v>9</v>
      </c>
      <c r="M82" s="21">
        <f>(ProductionData[[#This Row],[Actual_Production_t]]/ProductionData[[#This Row],[Target_Production_t]])</f>
        <v>0.90212550607287445</v>
      </c>
      <c r="N82" s="5">
        <f>ProductionData[[#This Row],[Actual_Production_t]]/(ProductionData[[#This Row],[Target_Production_t]]*((8-ProductionData[[#This Row],[Downtime_hr]])/8))</f>
        <v>0.90212550607287445</v>
      </c>
      <c r="O82" s="4">
        <f>ProductionData[[#This Row],[Raw_Material_t]]/ProductionData[[#This Row],[Actual_Production_t]]</f>
        <v>1.533266015931785</v>
      </c>
      <c r="P82" s="22">
        <f>ProductionData[[#This Row],[Energy_kWh]]/ProductionData[[#This Row],[Actual_Production_t]]</f>
        <v>84.438236284079437</v>
      </c>
      <c r="Q82" s="23">
        <f>ProductionData[[#This Row],[Defects_t]]/ProductionData[[#This Row],[Actual_Production_t]]</f>
        <v>5.6097834623583531E-3</v>
      </c>
      <c r="R82" t="str">
        <f>IF(ProductionData[[#This Row],[Achievement%]]&gt;=100%,"On Target",IF(ProductionData[[#This Row],[Achievement%]]&lt;90%,"Significantly Below Target","Below Target"))</f>
        <v>Below Target</v>
      </c>
    </row>
    <row r="83" spans="1:18" x14ac:dyDescent="0.25">
      <c r="A83">
        <v>79</v>
      </c>
      <c r="B83" s="3">
        <v>46049</v>
      </c>
      <c r="C83" t="s">
        <v>13</v>
      </c>
      <c r="D83" t="s">
        <v>19</v>
      </c>
      <c r="E83" s="4">
        <v>965</v>
      </c>
      <c r="F83" s="4">
        <v>770</v>
      </c>
      <c r="G83" s="4">
        <v>5.34</v>
      </c>
      <c r="H83" t="s">
        <v>15</v>
      </c>
      <c r="I83" s="4">
        <v>1182.4000000000001</v>
      </c>
      <c r="J83" s="4">
        <v>62482</v>
      </c>
      <c r="K83">
        <v>6</v>
      </c>
      <c r="L83">
        <v>7</v>
      </c>
      <c r="M83" s="21">
        <f>(ProductionData[[#This Row],[Actual_Production_t]]/ProductionData[[#This Row],[Target_Production_t]])</f>
        <v>0.79792746113989632</v>
      </c>
      <c r="N83" s="5">
        <f>ProductionData[[#This Row],[Actual_Production_t]]/(ProductionData[[#This Row],[Target_Production_t]]*((8-ProductionData[[#This Row],[Downtime_hr]])/8))</f>
        <v>2.399781838014726</v>
      </c>
      <c r="O83" s="4">
        <f>ProductionData[[#This Row],[Raw_Material_t]]/ProductionData[[#This Row],[Actual_Production_t]]</f>
        <v>1.5355844155844156</v>
      </c>
      <c r="P83" s="22">
        <f>ProductionData[[#This Row],[Energy_kWh]]/ProductionData[[#This Row],[Actual_Production_t]]</f>
        <v>81.145454545454541</v>
      </c>
      <c r="Q83" s="23">
        <f>ProductionData[[#This Row],[Defects_t]]/ProductionData[[#This Row],[Actual_Production_t]]</f>
        <v>7.7922077922077922E-3</v>
      </c>
      <c r="R83" t="str">
        <f>IF(ProductionData[[#This Row],[Achievement%]]&gt;=100%,"On Target",IF(ProductionData[[#This Row],[Achievement%]]&lt;90%,"Significantly Below Target","Below Target"))</f>
        <v>Significantly Below Target</v>
      </c>
    </row>
    <row r="84" spans="1:18" x14ac:dyDescent="0.25">
      <c r="A84">
        <v>80</v>
      </c>
      <c r="B84" s="3">
        <v>46049</v>
      </c>
      <c r="C84" t="s">
        <v>16</v>
      </c>
      <c r="D84" t="s">
        <v>17</v>
      </c>
      <c r="E84" s="4">
        <v>1033</v>
      </c>
      <c r="F84" s="4">
        <v>776.4</v>
      </c>
      <c r="G84" s="4">
        <v>5.33</v>
      </c>
      <c r="H84" t="s">
        <v>15</v>
      </c>
      <c r="I84" s="4">
        <v>1214.2</v>
      </c>
      <c r="J84" s="4">
        <v>60883</v>
      </c>
      <c r="K84">
        <v>0</v>
      </c>
      <c r="L84">
        <v>7</v>
      </c>
      <c r="M84" s="21">
        <f>(ProductionData[[#This Row],[Actual_Production_t]]/ProductionData[[#This Row],[Target_Production_t]])</f>
        <v>0.75159728944820903</v>
      </c>
      <c r="N84" s="5">
        <f>ProductionData[[#This Row],[Actual_Production_t]]/(ProductionData[[#This Row],[Target_Production_t]]*((8-ProductionData[[#This Row],[Downtime_hr]])/8))</f>
        <v>2.2519768972230985</v>
      </c>
      <c r="O84" s="4">
        <f>ProductionData[[#This Row],[Raw_Material_t]]/ProductionData[[#This Row],[Actual_Production_t]]</f>
        <v>1.5638845955692944</v>
      </c>
      <c r="P84" s="22">
        <f>ProductionData[[#This Row],[Energy_kWh]]/ProductionData[[#This Row],[Actual_Production_t]]</f>
        <v>78.417053065430196</v>
      </c>
      <c r="Q84" s="23">
        <f>ProductionData[[#This Row],[Defects_t]]/ProductionData[[#This Row],[Actual_Production_t]]</f>
        <v>0</v>
      </c>
      <c r="R84" t="str">
        <f>IF(ProductionData[[#This Row],[Achievement%]]&gt;=100%,"On Target",IF(ProductionData[[#This Row],[Achievement%]]&lt;90%,"Significantly Below Target","Below Target"))</f>
        <v>Significantly Below Target</v>
      </c>
    </row>
    <row r="85" spans="1:18" x14ac:dyDescent="0.25">
      <c r="A85">
        <v>81</v>
      </c>
      <c r="B85" s="3">
        <v>46049</v>
      </c>
      <c r="C85" t="s">
        <v>18</v>
      </c>
      <c r="D85" t="s">
        <v>17</v>
      </c>
      <c r="E85" s="4">
        <v>1034</v>
      </c>
      <c r="F85" s="4">
        <v>907</v>
      </c>
      <c r="G85" s="4">
        <v>2.4500000000000002</v>
      </c>
      <c r="H85" t="s">
        <v>24</v>
      </c>
      <c r="I85" s="4">
        <v>1371.7</v>
      </c>
      <c r="J85" s="4">
        <v>77988.5</v>
      </c>
      <c r="K85">
        <v>2</v>
      </c>
      <c r="L85">
        <v>11</v>
      </c>
      <c r="M85" s="21">
        <f>(ProductionData[[#This Row],[Actual_Production_t]]/ProductionData[[#This Row],[Target_Production_t]])</f>
        <v>0.87717601547388779</v>
      </c>
      <c r="N85" s="5">
        <f>ProductionData[[#This Row],[Actual_Production_t]]/(ProductionData[[#This Row],[Target_Production_t]]*((8-ProductionData[[#This Row],[Downtime_hr]])/8))</f>
        <v>1.264397860142541</v>
      </c>
      <c r="O85" s="4">
        <f>ProductionData[[#This Row],[Raw_Material_t]]/ProductionData[[#This Row],[Actual_Production_t]]</f>
        <v>1.512348401323043</v>
      </c>
      <c r="P85" s="22">
        <f>ProductionData[[#This Row],[Energy_kWh]]/ProductionData[[#This Row],[Actual_Production_t]]</f>
        <v>85.98511576626241</v>
      </c>
      <c r="Q85" s="23">
        <f>ProductionData[[#This Row],[Defects_t]]/ProductionData[[#This Row],[Actual_Production_t]]</f>
        <v>2.205071664829107E-3</v>
      </c>
      <c r="R85" t="str">
        <f>IF(ProductionData[[#This Row],[Achievement%]]&gt;=100%,"On Target",IF(ProductionData[[#This Row],[Achievement%]]&lt;90%,"Significantly Below Target","Below Target"))</f>
        <v>Significantly Below Target</v>
      </c>
    </row>
    <row r="86" spans="1:18" x14ac:dyDescent="0.25">
      <c r="A86">
        <v>82</v>
      </c>
      <c r="B86" s="3">
        <v>46050</v>
      </c>
      <c r="C86" t="s">
        <v>13</v>
      </c>
      <c r="D86" t="s">
        <v>17</v>
      </c>
      <c r="E86" s="4">
        <v>1041</v>
      </c>
      <c r="F86" s="4">
        <v>874.8</v>
      </c>
      <c r="G86" s="4">
        <v>3.69</v>
      </c>
      <c r="H86" t="s">
        <v>22</v>
      </c>
      <c r="I86" s="4">
        <v>1321.6</v>
      </c>
      <c r="J86" s="4">
        <v>69411.7</v>
      </c>
      <c r="K86">
        <v>2</v>
      </c>
      <c r="L86">
        <v>11</v>
      </c>
      <c r="M86" s="21">
        <f>(ProductionData[[#This Row],[Actual_Production_t]]/ProductionData[[#This Row],[Target_Production_t]])</f>
        <v>0.84034582132564839</v>
      </c>
      <c r="N86" s="5">
        <f>ProductionData[[#This Row],[Actual_Production_t]]/(ProductionData[[#This Row],[Target_Production_t]]*((8-ProductionData[[#This Row],[Downtime_hr]])/8))</f>
        <v>1.559806628910716</v>
      </c>
      <c r="O86" s="4">
        <f>ProductionData[[#This Row],[Raw_Material_t]]/ProductionData[[#This Row],[Actual_Production_t]]</f>
        <v>1.510745313214449</v>
      </c>
      <c r="P86" s="22">
        <f>ProductionData[[#This Row],[Energy_kWh]]/ProductionData[[#This Row],[Actual_Production_t]]</f>
        <v>79.345793324188392</v>
      </c>
      <c r="Q86" s="23">
        <f>ProductionData[[#This Row],[Defects_t]]/ProductionData[[#This Row],[Actual_Production_t]]</f>
        <v>2.2862368541380889E-3</v>
      </c>
      <c r="R86" t="str">
        <f>IF(ProductionData[[#This Row],[Achievement%]]&gt;=100%,"On Target",IF(ProductionData[[#This Row],[Achievement%]]&lt;90%,"Significantly Below Target","Below Target"))</f>
        <v>Significantly Below Target</v>
      </c>
    </row>
    <row r="87" spans="1:18" x14ac:dyDescent="0.25">
      <c r="A87">
        <v>83</v>
      </c>
      <c r="B87" s="3">
        <v>46050</v>
      </c>
      <c r="C87" t="s">
        <v>16</v>
      </c>
      <c r="D87" t="s">
        <v>14</v>
      </c>
      <c r="E87" s="4">
        <v>1139</v>
      </c>
      <c r="F87" s="4">
        <v>1007.7</v>
      </c>
      <c r="G87" s="4">
        <v>2.97</v>
      </c>
      <c r="H87" t="s">
        <v>20</v>
      </c>
      <c r="I87" s="4">
        <v>1523.1</v>
      </c>
      <c r="J87" s="4">
        <v>79073.8</v>
      </c>
      <c r="K87">
        <v>3</v>
      </c>
      <c r="L87">
        <v>10</v>
      </c>
      <c r="M87" s="21">
        <f>(ProductionData[[#This Row],[Actual_Production_t]]/ProductionData[[#This Row],[Target_Production_t]])</f>
        <v>0.88472344161545224</v>
      </c>
      <c r="N87" s="5">
        <f>ProductionData[[#This Row],[Actual_Production_t]]/(ProductionData[[#This Row],[Target_Production_t]]*((8-ProductionData[[#This Row],[Downtime_hr]])/8))</f>
        <v>1.4071148176786519</v>
      </c>
      <c r="O87" s="4">
        <f>ProductionData[[#This Row],[Raw_Material_t]]/ProductionData[[#This Row],[Actual_Production_t]]</f>
        <v>1.5114617445668352</v>
      </c>
      <c r="P87" s="22">
        <f>ProductionData[[#This Row],[Energy_kWh]]/ProductionData[[#This Row],[Actual_Production_t]]</f>
        <v>78.469584201647308</v>
      </c>
      <c r="Q87" s="23">
        <f>ProductionData[[#This Row],[Defects_t]]/ProductionData[[#This Row],[Actual_Production_t]]</f>
        <v>2.9770765108663292E-3</v>
      </c>
      <c r="R87" t="str">
        <f>IF(ProductionData[[#This Row],[Achievement%]]&gt;=100%,"On Target",IF(ProductionData[[#This Row],[Achievement%]]&lt;90%,"Significantly Below Target","Below Target"))</f>
        <v>Significantly Below Target</v>
      </c>
    </row>
    <row r="88" spans="1:18" x14ac:dyDescent="0.25">
      <c r="A88">
        <v>84</v>
      </c>
      <c r="B88" s="3">
        <v>46050</v>
      </c>
      <c r="C88" t="s">
        <v>18</v>
      </c>
      <c r="D88" t="s">
        <v>14</v>
      </c>
      <c r="E88" s="4">
        <v>1165</v>
      </c>
      <c r="F88" s="4">
        <v>1076.0999999999999</v>
      </c>
      <c r="G88" s="4">
        <v>0.49</v>
      </c>
      <c r="H88" t="s">
        <v>23</v>
      </c>
      <c r="I88" s="4">
        <v>1632.1</v>
      </c>
      <c r="J88" s="4">
        <v>88477.8</v>
      </c>
      <c r="K88">
        <v>4</v>
      </c>
      <c r="L88">
        <v>9</v>
      </c>
      <c r="M88" s="21">
        <f>(ProductionData[[#This Row],[Actual_Production_t]]/ProductionData[[#This Row],[Target_Production_t]])</f>
        <v>0.9236909871244634</v>
      </c>
      <c r="N88" s="5">
        <f>ProductionData[[#This Row],[Actual_Production_t]]/(ProductionData[[#This Row],[Target_Production_t]]*((8-ProductionData[[#This Row],[Downtime_hr]])/8))</f>
        <v>0.98395844167719149</v>
      </c>
      <c r="O88" s="4">
        <f>ProductionData[[#This Row],[Raw_Material_t]]/ProductionData[[#This Row],[Actual_Production_t]]</f>
        <v>1.5166806058916458</v>
      </c>
      <c r="P88" s="22">
        <f>ProductionData[[#This Row],[Energy_kWh]]/ProductionData[[#This Row],[Actual_Production_t]]</f>
        <v>82.220797323668819</v>
      </c>
      <c r="Q88" s="23">
        <f>ProductionData[[#This Row],[Defects_t]]/ProductionData[[#This Row],[Actual_Production_t]]</f>
        <v>3.717126661090977E-3</v>
      </c>
      <c r="R88" t="str">
        <f>IF(ProductionData[[#This Row],[Achievement%]]&gt;=100%,"On Target",IF(ProductionData[[#This Row],[Achievement%]]&lt;90%,"Significantly Below Target","Below Target"))</f>
        <v>Below Target</v>
      </c>
    </row>
    <row r="89" spans="1:18" x14ac:dyDescent="0.25">
      <c r="A89">
        <v>85</v>
      </c>
      <c r="B89" s="3">
        <v>46051</v>
      </c>
      <c r="C89" t="s">
        <v>13</v>
      </c>
      <c r="D89" t="s">
        <v>14</v>
      </c>
      <c r="E89" s="4">
        <v>1150</v>
      </c>
      <c r="F89" s="4">
        <v>994.3</v>
      </c>
      <c r="G89" s="4">
        <v>3.14</v>
      </c>
      <c r="H89" t="s">
        <v>24</v>
      </c>
      <c r="I89" s="4">
        <v>1560.7</v>
      </c>
      <c r="J89" s="4">
        <v>79259.399999999994</v>
      </c>
      <c r="K89">
        <v>3</v>
      </c>
      <c r="L89">
        <v>11</v>
      </c>
      <c r="M89" s="21">
        <f>(ProductionData[[#This Row],[Actual_Production_t]]/ProductionData[[#This Row],[Target_Production_t]])</f>
        <v>0.86460869565217391</v>
      </c>
      <c r="N89" s="5">
        <f>ProductionData[[#This Row],[Actual_Production_t]]/(ProductionData[[#This Row],[Target_Production_t]]*((8-ProductionData[[#This Row],[Downtime_hr]])/8))</f>
        <v>1.4232241903739491</v>
      </c>
      <c r="O89" s="4">
        <f>ProductionData[[#This Row],[Raw_Material_t]]/ProductionData[[#This Row],[Actual_Production_t]]</f>
        <v>1.5696469878306347</v>
      </c>
      <c r="P89" s="22">
        <f>ProductionData[[#This Row],[Energy_kWh]]/ProductionData[[#This Row],[Actual_Production_t]]</f>
        <v>79.713768480337919</v>
      </c>
      <c r="Q89" s="23">
        <f>ProductionData[[#This Row],[Defects_t]]/ProductionData[[#This Row],[Actual_Production_t]]</f>
        <v>3.0171980287639548E-3</v>
      </c>
      <c r="R89" t="str">
        <f>IF(ProductionData[[#This Row],[Achievement%]]&gt;=100%,"On Target",IF(ProductionData[[#This Row],[Achievement%]]&lt;90%,"Significantly Below Target","Below Target"))</f>
        <v>Significantly Below Target</v>
      </c>
    </row>
    <row r="90" spans="1:18" x14ac:dyDescent="0.25">
      <c r="A90">
        <v>86</v>
      </c>
      <c r="B90" s="3">
        <v>46051</v>
      </c>
      <c r="C90" t="s">
        <v>16</v>
      </c>
      <c r="D90" t="s">
        <v>17</v>
      </c>
      <c r="E90" s="4">
        <v>1082</v>
      </c>
      <c r="F90" s="4">
        <v>845</v>
      </c>
      <c r="G90" s="4">
        <v>4.12</v>
      </c>
      <c r="H90" t="s">
        <v>22</v>
      </c>
      <c r="I90" s="4">
        <v>1282.3</v>
      </c>
      <c r="J90" s="4">
        <v>68655.3</v>
      </c>
      <c r="K90">
        <v>3</v>
      </c>
      <c r="L90">
        <v>12</v>
      </c>
      <c r="M90" s="21">
        <f>(ProductionData[[#This Row],[Actual_Production_t]]/ProductionData[[#This Row],[Target_Production_t]])</f>
        <v>0.78096118299445472</v>
      </c>
      <c r="N90" s="5">
        <f>ProductionData[[#This Row],[Actual_Production_t]]/(ProductionData[[#This Row],[Target_Production_t]]*((8-ProductionData[[#This Row],[Downtime_hr]])/8))</f>
        <v>1.6102292432875356</v>
      </c>
      <c r="O90" s="4">
        <f>ProductionData[[#This Row],[Raw_Material_t]]/ProductionData[[#This Row],[Actual_Production_t]]</f>
        <v>1.5175147928994082</v>
      </c>
      <c r="P90" s="22">
        <f>ProductionData[[#This Row],[Energy_kWh]]/ProductionData[[#This Row],[Actual_Production_t]]</f>
        <v>81.248875739644973</v>
      </c>
      <c r="Q90" s="23">
        <f>ProductionData[[#This Row],[Defects_t]]/ProductionData[[#This Row],[Actual_Production_t]]</f>
        <v>3.5502958579881655E-3</v>
      </c>
      <c r="R90" t="str">
        <f>IF(ProductionData[[#This Row],[Achievement%]]&gt;=100%,"On Target",IF(ProductionData[[#This Row],[Achievement%]]&lt;90%,"Significantly Below Target","Below Target"))</f>
        <v>Significantly Below Target</v>
      </c>
    </row>
    <row r="91" spans="1:18" x14ac:dyDescent="0.25">
      <c r="A91">
        <v>87</v>
      </c>
      <c r="B91" s="3">
        <v>46051</v>
      </c>
      <c r="C91" t="s">
        <v>18</v>
      </c>
      <c r="D91" t="s">
        <v>14</v>
      </c>
      <c r="E91" s="4">
        <v>1114</v>
      </c>
      <c r="F91" s="4">
        <v>986.8</v>
      </c>
      <c r="G91" s="4">
        <v>0.05</v>
      </c>
      <c r="H91" t="s">
        <v>23</v>
      </c>
      <c r="I91" s="4">
        <v>1531.3</v>
      </c>
      <c r="J91" s="4">
        <v>81061.399999999994</v>
      </c>
      <c r="K91">
        <v>7</v>
      </c>
      <c r="L91">
        <v>9</v>
      </c>
      <c r="M91" s="21">
        <f>(ProductionData[[#This Row],[Actual_Production_t]]/ProductionData[[#This Row],[Target_Production_t]])</f>
        <v>0.8858168761220826</v>
      </c>
      <c r="N91" s="5">
        <f>ProductionData[[#This Row],[Actual_Production_t]]/(ProductionData[[#This Row],[Target_Production_t]]*((8-ProductionData[[#This Row],[Downtime_hr]])/8))</f>
        <v>0.891388051443605</v>
      </c>
      <c r="O91" s="4">
        <f>ProductionData[[#This Row],[Raw_Material_t]]/ProductionData[[#This Row],[Actual_Production_t]]</f>
        <v>1.5517835427644913</v>
      </c>
      <c r="P91" s="22">
        <f>ProductionData[[#This Row],[Energy_kWh]]/ProductionData[[#This Row],[Actual_Production_t]]</f>
        <v>82.145723550871509</v>
      </c>
      <c r="Q91" s="23">
        <f>ProductionData[[#This Row],[Defects_t]]/ProductionData[[#This Row],[Actual_Production_t]]</f>
        <v>7.0936359951357924E-3</v>
      </c>
      <c r="R91" t="str">
        <f>IF(ProductionData[[#This Row],[Achievement%]]&gt;=100%,"On Target",IF(ProductionData[[#This Row],[Achievement%]]&lt;90%,"Significantly Below Target","Below Target"))</f>
        <v>Significantly Below Target</v>
      </c>
    </row>
    <row r="92" spans="1:18" x14ac:dyDescent="0.25">
      <c r="A92">
        <v>88</v>
      </c>
      <c r="B92" s="3">
        <v>46052</v>
      </c>
      <c r="C92" t="s">
        <v>13</v>
      </c>
      <c r="D92" t="s">
        <v>19</v>
      </c>
      <c r="E92" s="4">
        <v>980</v>
      </c>
      <c r="F92" s="4">
        <v>971.9</v>
      </c>
      <c r="G92" s="4">
        <v>0.05</v>
      </c>
      <c r="H92" t="s">
        <v>23</v>
      </c>
      <c r="I92" s="4">
        <v>1445.8</v>
      </c>
      <c r="J92" s="4">
        <v>82008.800000000003</v>
      </c>
      <c r="K92">
        <v>4</v>
      </c>
      <c r="L92">
        <v>9</v>
      </c>
      <c r="M92" s="21">
        <f>(ProductionData[[#This Row],[Actual_Production_t]]/ProductionData[[#This Row],[Target_Production_t]])</f>
        <v>0.99173469387755098</v>
      </c>
      <c r="N92" s="5">
        <f>ProductionData[[#This Row],[Actual_Production_t]]/(ProductionData[[#This Row],[Target_Production_t]]*((8-ProductionData[[#This Row],[Downtime_hr]])/8))</f>
        <v>0.99797201899627774</v>
      </c>
      <c r="O92" s="4">
        <f>ProductionData[[#This Row],[Raw_Material_t]]/ProductionData[[#This Row],[Actual_Production_t]]</f>
        <v>1.4876016051034058</v>
      </c>
      <c r="P92" s="22">
        <f>ProductionData[[#This Row],[Energy_kWh]]/ProductionData[[#This Row],[Actual_Production_t]]</f>
        <v>84.379874472682374</v>
      </c>
      <c r="Q92" s="23">
        <f>ProductionData[[#This Row],[Defects_t]]/ProductionData[[#This Row],[Actual_Production_t]]</f>
        <v>4.1156497582055772E-3</v>
      </c>
      <c r="R92" t="str">
        <f>IF(ProductionData[[#This Row],[Achievement%]]&gt;=100%,"On Target",IF(ProductionData[[#This Row],[Achievement%]]&lt;90%,"Significantly Below Target","Below Target"))</f>
        <v>Below Target</v>
      </c>
    </row>
    <row r="93" spans="1:18" x14ac:dyDescent="0.25">
      <c r="A93">
        <v>89</v>
      </c>
      <c r="B93" s="3">
        <v>46052</v>
      </c>
      <c r="C93" t="s">
        <v>16</v>
      </c>
      <c r="D93" t="s">
        <v>14</v>
      </c>
      <c r="E93" s="4">
        <v>1148</v>
      </c>
      <c r="F93" s="4">
        <v>1097.3</v>
      </c>
      <c r="G93" s="4">
        <v>0.25</v>
      </c>
      <c r="H93" t="s">
        <v>23</v>
      </c>
      <c r="I93" s="4">
        <v>1675.3</v>
      </c>
      <c r="J93" s="4">
        <v>90185.8</v>
      </c>
      <c r="K93">
        <v>5</v>
      </c>
      <c r="L93">
        <v>12</v>
      </c>
      <c r="M93" s="21">
        <f>(ProductionData[[#This Row],[Actual_Production_t]]/ProductionData[[#This Row],[Target_Production_t]])</f>
        <v>0.95583623693379782</v>
      </c>
      <c r="N93" s="5">
        <f>ProductionData[[#This Row],[Actual_Production_t]]/(ProductionData[[#This Row],[Target_Production_t]]*((8-ProductionData[[#This Row],[Downtime_hr]])/8))</f>
        <v>0.98666966393166233</v>
      </c>
      <c r="O93" s="4">
        <f>ProductionData[[#This Row],[Raw_Material_t]]/ProductionData[[#This Row],[Actual_Production_t]]</f>
        <v>1.5267474710653421</v>
      </c>
      <c r="P93" s="22">
        <f>ProductionData[[#This Row],[Energy_kWh]]/ProductionData[[#This Row],[Actual_Production_t]]</f>
        <v>82.188827121115466</v>
      </c>
      <c r="Q93" s="23">
        <f>ProductionData[[#This Row],[Defects_t]]/ProductionData[[#This Row],[Actual_Production_t]]</f>
        <v>4.5566390230565934E-3</v>
      </c>
      <c r="R93" t="str">
        <f>IF(ProductionData[[#This Row],[Achievement%]]&gt;=100%,"On Target",IF(ProductionData[[#This Row],[Achievement%]]&lt;90%,"Significantly Below Target","Below Target"))</f>
        <v>Below Target</v>
      </c>
    </row>
    <row r="94" spans="1:18" x14ac:dyDescent="0.25">
      <c r="A94">
        <v>90</v>
      </c>
      <c r="B94" s="3">
        <v>46052</v>
      </c>
      <c r="C94" t="s">
        <v>18</v>
      </c>
      <c r="D94" t="s">
        <v>14</v>
      </c>
      <c r="E94" s="4">
        <v>1172</v>
      </c>
      <c r="F94" s="4">
        <v>1032.5999999999999</v>
      </c>
      <c r="G94" s="4">
        <v>0.39</v>
      </c>
      <c r="H94" t="s">
        <v>23</v>
      </c>
      <c r="I94" s="4">
        <v>1588.3</v>
      </c>
      <c r="J94" s="4">
        <v>82095.399999999994</v>
      </c>
      <c r="K94">
        <v>4</v>
      </c>
      <c r="L94">
        <v>12</v>
      </c>
      <c r="M94" s="21">
        <f>(ProductionData[[#This Row],[Actual_Production_t]]/ProductionData[[#This Row],[Target_Production_t]])</f>
        <v>0.88105802047781567</v>
      </c>
      <c r="N94" s="5">
        <f>ProductionData[[#This Row],[Actual_Production_t]]/(ProductionData[[#This Row],[Target_Production_t]]*((8-ProductionData[[#This Row],[Downtime_hr]])/8))</f>
        <v>0.92621079682293361</v>
      </c>
      <c r="O94" s="4">
        <f>ProductionData[[#This Row],[Raw_Material_t]]/ProductionData[[#This Row],[Actual_Production_t]]</f>
        <v>1.5381561107883015</v>
      </c>
      <c r="P94" s="22">
        <f>ProductionData[[#This Row],[Energy_kWh]]/ProductionData[[#This Row],[Actual_Production_t]]</f>
        <v>79.503583188068959</v>
      </c>
      <c r="Q94" s="23">
        <f>ProductionData[[#This Row],[Defects_t]]/ProductionData[[#This Row],[Actual_Production_t]]</f>
        <v>3.8737168312996321E-3</v>
      </c>
      <c r="R94" t="str">
        <f>IF(ProductionData[[#This Row],[Achievement%]]&gt;=100%,"On Target",IF(ProductionData[[#This Row],[Achievement%]]&lt;90%,"Significantly Below Target","Below Target"))</f>
        <v>Significantly Below Target</v>
      </c>
    </row>
    <row r="95" spans="1:18" x14ac:dyDescent="0.25">
      <c r="A95">
        <v>91</v>
      </c>
      <c r="B95" s="3">
        <v>46053</v>
      </c>
      <c r="C95" t="s">
        <v>13</v>
      </c>
      <c r="D95" t="s">
        <v>17</v>
      </c>
      <c r="E95" s="4">
        <v>1059</v>
      </c>
      <c r="F95" s="4">
        <v>902.3</v>
      </c>
      <c r="G95" s="4">
        <v>3.34</v>
      </c>
      <c r="H95" t="s">
        <v>20</v>
      </c>
      <c r="I95" s="4">
        <v>1407.4</v>
      </c>
      <c r="J95" s="4">
        <v>72340.3</v>
      </c>
      <c r="K95">
        <v>1</v>
      </c>
      <c r="L95">
        <v>8</v>
      </c>
      <c r="M95" s="21">
        <f>(ProductionData[[#This Row],[Actual_Production_t]]/ProductionData[[#This Row],[Target_Production_t]])</f>
        <v>0.85203021718602456</v>
      </c>
      <c r="N95" s="5">
        <f>ProductionData[[#This Row],[Actual_Production_t]]/(ProductionData[[#This Row],[Target_Production_t]]*((8-ProductionData[[#This Row],[Downtime_hr]])/8))</f>
        <v>1.4627128192034753</v>
      </c>
      <c r="O95" s="4">
        <f>ProductionData[[#This Row],[Raw_Material_t]]/ProductionData[[#This Row],[Actual_Production_t]]</f>
        <v>1.5597916435775243</v>
      </c>
      <c r="P95" s="22">
        <f>ProductionData[[#This Row],[Energy_kWh]]/ProductionData[[#This Row],[Actual_Production_t]]</f>
        <v>80.173223983154173</v>
      </c>
      <c r="Q95" s="23">
        <f>ProductionData[[#This Row],[Defects_t]]/ProductionData[[#This Row],[Actual_Production_t]]</f>
        <v>1.108278842956888E-3</v>
      </c>
      <c r="R95" t="str">
        <f>IF(ProductionData[[#This Row],[Achievement%]]&gt;=100%,"On Target",IF(ProductionData[[#This Row],[Achievement%]]&lt;90%,"Significantly Below Target","Below Target"))</f>
        <v>Significantly Below Target</v>
      </c>
    </row>
    <row r="96" spans="1:18" x14ac:dyDescent="0.25">
      <c r="A96">
        <v>92</v>
      </c>
      <c r="B96" s="3">
        <v>46053</v>
      </c>
      <c r="C96" t="s">
        <v>16</v>
      </c>
      <c r="D96" t="s">
        <v>14</v>
      </c>
      <c r="E96" s="4">
        <v>1138</v>
      </c>
      <c r="F96" s="4">
        <v>1154.7</v>
      </c>
      <c r="G96" s="4">
        <v>0.15</v>
      </c>
      <c r="H96" t="s">
        <v>23</v>
      </c>
      <c r="I96" s="4">
        <v>1774</v>
      </c>
      <c r="J96" s="4">
        <v>97358.1</v>
      </c>
      <c r="K96">
        <v>1</v>
      </c>
      <c r="L96">
        <v>9</v>
      </c>
      <c r="M96" s="21">
        <f>(ProductionData[[#This Row],[Actual_Production_t]]/ProductionData[[#This Row],[Target_Production_t]])</f>
        <v>1.0146748681898068</v>
      </c>
      <c r="N96" s="5">
        <f>ProductionData[[#This Row],[Actual_Production_t]]/(ProductionData[[#This Row],[Target_Production_t]]*((8-ProductionData[[#This Row],[Downtime_hr]])/8))</f>
        <v>1.0340635599386565</v>
      </c>
      <c r="O96" s="4">
        <f>ProductionData[[#This Row],[Raw_Material_t]]/ProductionData[[#This Row],[Actual_Production_t]]</f>
        <v>1.5363297826275222</v>
      </c>
      <c r="P96" s="22">
        <f>ProductionData[[#This Row],[Energy_kWh]]/ProductionData[[#This Row],[Actual_Production_t]]</f>
        <v>84.314627175889839</v>
      </c>
      <c r="Q96" s="23">
        <f>ProductionData[[#This Row],[Defects_t]]/ProductionData[[#This Row],[Actual_Production_t]]</f>
        <v>8.6602580756906552E-4</v>
      </c>
      <c r="R96" t="str">
        <f>IF(ProductionData[[#This Row],[Achievement%]]&gt;=100%,"On Target",IF(ProductionData[[#This Row],[Achievement%]]&lt;90%,"Significantly Below Target","Below Target"))</f>
        <v>On Target</v>
      </c>
    </row>
    <row r="97" spans="1:18" x14ac:dyDescent="0.25">
      <c r="A97">
        <v>93</v>
      </c>
      <c r="B97" s="3">
        <v>46053</v>
      </c>
      <c r="C97" t="s">
        <v>18</v>
      </c>
      <c r="D97" t="s">
        <v>19</v>
      </c>
      <c r="E97" s="4">
        <v>995</v>
      </c>
      <c r="F97" s="4">
        <v>777.3</v>
      </c>
      <c r="G97" s="4">
        <v>3.31</v>
      </c>
      <c r="H97" t="s">
        <v>24</v>
      </c>
      <c r="I97" s="4">
        <v>1148.0999999999999</v>
      </c>
      <c r="J97" s="4">
        <v>68899.899999999994</v>
      </c>
      <c r="K97">
        <v>4</v>
      </c>
      <c r="L97">
        <v>11</v>
      </c>
      <c r="M97" s="21">
        <f>(ProductionData[[#This Row],[Actual_Production_t]]/ProductionData[[#This Row],[Target_Production_t]])</f>
        <v>0.78120603015075374</v>
      </c>
      <c r="N97" s="5">
        <f>ProductionData[[#This Row],[Actual_Production_t]]/(ProductionData[[#This Row],[Target_Production_t]]*((8-ProductionData[[#This Row],[Downtime_hr]])/8))</f>
        <v>1.332547599404271</v>
      </c>
      <c r="O97" s="4">
        <f>ProductionData[[#This Row],[Raw_Material_t]]/ProductionData[[#This Row],[Actual_Production_t]]</f>
        <v>1.4770358934774219</v>
      </c>
      <c r="P97" s="22">
        <f>ProductionData[[#This Row],[Energy_kWh]]/ProductionData[[#This Row],[Actual_Production_t]]</f>
        <v>88.640036022127873</v>
      </c>
      <c r="Q97" s="23">
        <f>ProductionData[[#This Row],[Defects_t]]/ProductionData[[#This Row],[Actual_Production_t]]</f>
        <v>5.1460182683648534E-3</v>
      </c>
      <c r="R97" t="str">
        <f>IF(ProductionData[[#This Row],[Achievement%]]&gt;=100%,"On Target",IF(ProductionData[[#This Row],[Achievement%]]&lt;90%,"Significantly Below Target","Below Target"))</f>
        <v>Significantly Below Target</v>
      </c>
    </row>
    <row r="98" spans="1:18" x14ac:dyDescent="0.25">
      <c r="A98">
        <v>94</v>
      </c>
      <c r="B98" s="3">
        <v>46054</v>
      </c>
      <c r="C98" t="s">
        <v>13</v>
      </c>
      <c r="D98" t="s">
        <v>14</v>
      </c>
      <c r="E98" s="4">
        <v>1134</v>
      </c>
      <c r="F98" s="4">
        <v>1077.8</v>
      </c>
      <c r="G98" s="4">
        <v>3.05</v>
      </c>
      <c r="H98" t="s">
        <v>21</v>
      </c>
      <c r="I98" s="4">
        <v>1592.4</v>
      </c>
      <c r="J98" s="4">
        <v>89043.5</v>
      </c>
      <c r="K98">
        <v>1</v>
      </c>
      <c r="L98">
        <v>9</v>
      </c>
      <c r="M98" s="21">
        <f>(ProductionData[[#This Row],[Actual_Production_t]]/ProductionData[[#This Row],[Target_Production_t]])</f>
        <v>0.95044091710758372</v>
      </c>
      <c r="N98" s="5">
        <f>ProductionData[[#This Row],[Actual_Production_t]]/(ProductionData[[#This Row],[Target_Production_t]]*((8-ProductionData[[#This Row],[Downtime_hr]])/8))</f>
        <v>1.5360661286587212</v>
      </c>
      <c r="O98" s="4">
        <f>ProductionData[[#This Row],[Raw_Material_t]]/ProductionData[[#This Row],[Actual_Production_t]]</f>
        <v>1.4774540731118948</v>
      </c>
      <c r="P98" s="22">
        <f>ProductionData[[#This Row],[Energy_kWh]]/ProductionData[[#This Row],[Actual_Production_t]]</f>
        <v>82.615976990165152</v>
      </c>
      <c r="Q98" s="23">
        <f>ProductionData[[#This Row],[Defects_t]]/ProductionData[[#This Row],[Actual_Production_t]]</f>
        <v>9.2781592132120988E-4</v>
      </c>
      <c r="R98" t="str">
        <f>IF(ProductionData[[#This Row],[Achievement%]]&gt;=100%,"On Target",IF(ProductionData[[#This Row],[Achievement%]]&lt;90%,"Significantly Below Target","Below Target"))</f>
        <v>Below Target</v>
      </c>
    </row>
    <row r="99" spans="1:18" x14ac:dyDescent="0.25">
      <c r="A99">
        <v>95</v>
      </c>
      <c r="B99" s="3">
        <v>46054</v>
      </c>
      <c r="C99" t="s">
        <v>16</v>
      </c>
      <c r="D99" t="s">
        <v>19</v>
      </c>
      <c r="E99" s="4">
        <v>1010</v>
      </c>
      <c r="F99" s="4">
        <v>730.5</v>
      </c>
      <c r="G99" s="4">
        <v>6.56</v>
      </c>
      <c r="H99" t="s">
        <v>15</v>
      </c>
      <c r="I99" s="4">
        <v>1142.3</v>
      </c>
      <c r="J99" s="4">
        <v>61336</v>
      </c>
      <c r="K99">
        <v>1</v>
      </c>
      <c r="L99">
        <v>7</v>
      </c>
      <c r="M99" s="21">
        <f>(ProductionData[[#This Row],[Actual_Production_t]]/ProductionData[[#This Row],[Target_Production_t]])</f>
        <v>0.72326732673267324</v>
      </c>
      <c r="N99" s="5">
        <f>ProductionData[[#This Row],[Actual_Production_t]]/(ProductionData[[#This Row],[Target_Production_t]]*((8-ProductionData[[#This Row],[Downtime_hr]])/8))</f>
        <v>4.0181518151815174</v>
      </c>
      <c r="O99" s="4">
        <f>ProductionData[[#This Row],[Raw_Material_t]]/ProductionData[[#This Row],[Actual_Production_t]]</f>
        <v>1.5637234770704995</v>
      </c>
      <c r="P99" s="22">
        <f>ProductionData[[#This Row],[Energy_kWh]]/ProductionData[[#This Row],[Actual_Production_t]]</f>
        <v>83.964407939767284</v>
      </c>
      <c r="Q99" s="23">
        <f>ProductionData[[#This Row],[Defects_t]]/ProductionData[[#This Row],[Actual_Production_t]]</f>
        <v>1.3689253935660506E-3</v>
      </c>
      <c r="R99" t="str">
        <f>IF(ProductionData[[#This Row],[Achievement%]]&gt;=100%,"On Target",IF(ProductionData[[#This Row],[Achievement%]]&lt;90%,"Significantly Below Target","Below Target"))</f>
        <v>Significantly Below Target</v>
      </c>
    </row>
    <row r="100" spans="1:18" x14ac:dyDescent="0.25">
      <c r="A100">
        <v>96</v>
      </c>
      <c r="B100" s="3">
        <v>46054</v>
      </c>
      <c r="C100" t="s">
        <v>18</v>
      </c>
      <c r="D100" t="s">
        <v>17</v>
      </c>
      <c r="E100" s="4">
        <v>1018</v>
      </c>
      <c r="F100" s="4">
        <v>694</v>
      </c>
      <c r="G100" s="4">
        <v>4.7</v>
      </c>
      <c r="H100" t="s">
        <v>15</v>
      </c>
      <c r="I100" s="4">
        <v>1075.2</v>
      </c>
      <c r="J100" s="4">
        <v>55092.6</v>
      </c>
      <c r="K100">
        <v>2</v>
      </c>
      <c r="L100">
        <v>8</v>
      </c>
      <c r="M100" s="21">
        <f>(ProductionData[[#This Row],[Actual_Production_t]]/ProductionData[[#This Row],[Target_Production_t]])</f>
        <v>0.68172888015717092</v>
      </c>
      <c r="N100" s="5">
        <f>ProductionData[[#This Row],[Actual_Production_t]]/(ProductionData[[#This Row],[Target_Production_t]]*((8-ProductionData[[#This Row],[Downtime_hr]])/8))</f>
        <v>1.6526760731082932</v>
      </c>
      <c r="O100" s="4">
        <f>ProductionData[[#This Row],[Raw_Material_t]]/ProductionData[[#This Row],[Actual_Production_t]]</f>
        <v>1.5492795389048992</v>
      </c>
      <c r="P100" s="22">
        <f>ProductionData[[#This Row],[Energy_kWh]]/ProductionData[[#This Row],[Actual_Production_t]]</f>
        <v>79.384149855907779</v>
      </c>
      <c r="Q100" s="23">
        <f>ProductionData[[#This Row],[Defects_t]]/ProductionData[[#This Row],[Actual_Production_t]]</f>
        <v>2.881844380403458E-3</v>
      </c>
      <c r="R100" t="str">
        <f>IF(ProductionData[[#This Row],[Achievement%]]&gt;=100%,"On Target",IF(ProductionData[[#This Row],[Achievement%]]&lt;90%,"Significantly Below Target","Below Target"))</f>
        <v>Significantly Below Target</v>
      </c>
    </row>
    <row r="101" spans="1:18" x14ac:dyDescent="0.25">
      <c r="A101">
        <v>97</v>
      </c>
      <c r="B101" s="3">
        <v>46055</v>
      </c>
      <c r="C101" t="s">
        <v>13</v>
      </c>
      <c r="D101" t="s">
        <v>17</v>
      </c>
      <c r="E101" s="4">
        <v>1047</v>
      </c>
      <c r="F101" s="4">
        <v>1010.5</v>
      </c>
      <c r="G101" s="4">
        <v>0.39</v>
      </c>
      <c r="H101" t="s">
        <v>23</v>
      </c>
      <c r="I101" s="4">
        <v>1535.1</v>
      </c>
      <c r="J101" s="4">
        <v>80554.100000000006</v>
      </c>
      <c r="K101">
        <v>1</v>
      </c>
      <c r="L101">
        <v>7</v>
      </c>
      <c r="M101" s="21">
        <f>(ProductionData[[#This Row],[Actual_Production_t]]/ProductionData[[#This Row],[Target_Production_t]])</f>
        <v>0.96513849092645654</v>
      </c>
      <c r="N101" s="5">
        <f>ProductionData[[#This Row],[Actual_Production_t]]/(ProductionData[[#This Row],[Target_Production_t]]*((8-ProductionData[[#This Row],[Downtime_hr]])/8))</f>
        <v>1.0146002532735416</v>
      </c>
      <c r="O101" s="4">
        <f>ProductionData[[#This Row],[Raw_Material_t]]/ProductionData[[#This Row],[Actual_Production_t]]</f>
        <v>1.5191489361702126</v>
      </c>
      <c r="P101" s="22">
        <f>ProductionData[[#This Row],[Energy_kWh]]/ProductionData[[#This Row],[Actual_Production_t]]</f>
        <v>79.717070757050976</v>
      </c>
      <c r="Q101" s="23">
        <f>ProductionData[[#This Row],[Defects_t]]/ProductionData[[#This Row],[Actual_Production_t]]</f>
        <v>9.8960910440376061E-4</v>
      </c>
      <c r="R101" t="str">
        <f>IF(ProductionData[[#This Row],[Achievement%]]&gt;=100%,"On Target",IF(ProductionData[[#This Row],[Achievement%]]&lt;90%,"Significantly Below Target","Below Target"))</f>
        <v>Below Target</v>
      </c>
    </row>
    <row r="102" spans="1:18" x14ac:dyDescent="0.25">
      <c r="A102">
        <v>98</v>
      </c>
      <c r="B102" s="3">
        <v>46055</v>
      </c>
      <c r="C102" t="s">
        <v>16</v>
      </c>
      <c r="D102" t="s">
        <v>17</v>
      </c>
      <c r="E102" s="4">
        <v>1088</v>
      </c>
      <c r="F102" s="4">
        <v>1052.9000000000001</v>
      </c>
      <c r="G102" s="4">
        <v>0.28000000000000003</v>
      </c>
      <c r="H102" t="s">
        <v>23</v>
      </c>
      <c r="I102" s="4">
        <v>1568.2</v>
      </c>
      <c r="J102" s="4">
        <v>86500.3</v>
      </c>
      <c r="K102">
        <v>1</v>
      </c>
      <c r="L102">
        <v>10</v>
      </c>
      <c r="M102" s="21">
        <f>(ProductionData[[#This Row],[Actual_Production_t]]/ProductionData[[#This Row],[Target_Production_t]])</f>
        <v>0.96773897058823533</v>
      </c>
      <c r="N102" s="5">
        <f>ProductionData[[#This Row],[Actual_Production_t]]/(ProductionData[[#This Row],[Target_Production_t]]*((8-ProductionData[[#This Row],[Downtime_hr]])/8))</f>
        <v>1.0028383114903994</v>
      </c>
      <c r="O102" s="4">
        <f>ProductionData[[#This Row],[Raw_Material_t]]/ProductionData[[#This Row],[Actual_Production_t]]</f>
        <v>1.4894102003988983</v>
      </c>
      <c r="P102" s="22">
        <f>ProductionData[[#This Row],[Energy_kWh]]/ProductionData[[#This Row],[Actual_Production_t]]</f>
        <v>82.154335644410665</v>
      </c>
      <c r="Q102" s="23">
        <f>ProductionData[[#This Row],[Defects_t]]/ProductionData[[#This Row],[Actual_Production_t]]</f>
        <v>9.497578117580016E-4</v>
      </c>
      <c r="R102" t="str">
        <f>IF(ProductionData[[#This Row],[Achievement%]]&gt;=100%,"On Target",IF(ProductionData[[#This Row],[Achievement%]]&lt;90%,"Significantly Below Target","Below Target"))</f>
        <v>Below Target</v>
      </c>
    </row>
    <row r="103" spans="1:18" x14ac:dyDescent="0.25">
      <c r="A103">
        <v>99</v>
      </c>
      <c r="B103" s="3">
        <v>46055</v>
      </c>
      <c r="C103" t="s">
        <v>18</v>
      </c>
      <c r="D103" t="s">
        <v>14</v>
      </c>
      <c r="E103" s="4">
        <v>1175</v>
      </c>
      <c r="F103" s="4">
        <v>860.9</v>
      </c>
      <c r="G103" s="4">
        <v>5.19</v>
      </c>
      <c r="H103" t="s">
        <v>15</v>
      </c>
      <c r="I103" s="4">
        <v>1314.9</v>
      </c>
      <c r="J103" s="4">
        <v>73623.100000000006</v>
      </c>
      <c r="K103">
        <v>5</v>
      </c>
      <c r="L103">
        <v>10</v>
      </c>
      <c r="M103" s="21">
        <f>(ProductionData[[#This Row],[Actual_Production_t]]/ProductionData[[#This Row],[Target_Production_t]])</f>
        <v>0.73268085106382974</v>
      </c>
      <c r="N103" s="5">
        <f>ProductionData[[#This Row],[Actual_Production_t]]/(ProductionData[[#This Row],[Target_Production_t]]*((8-ProductionData[[#This Row],[Downtime_hr]])/8))</f>
        <v>2.0859241311425762</v>
      </c>
      <c r="O103" s="4">
        <f>ProductionData[[#This Row],[Raw_Material_t]]/ProductionData[[#This Row],[Actual_Production_t]]</f>
        <v>1.5273550935067954</v>
      </c>
      <c r="P103" s="22">
        <f>ProductionData[[#This Row],[Energy_kWh]]/ProductionData[[#This Row],[Actual_Production_t]]</f>
        <v>85.518759437797669</v>
      </c>
      <c r="Q103" s="23">
        <f>ProductionData[[#This Row],[Defects_t]]/ProductionData[[#This Row],[Actual_Production_t]]</f>
        <v>5.8078754791497274E-3</v>
      </c>
      <c r="R103" t="str">
        <f>IF(ProductionData[[#This Row],[Achievement%]]&gt;=100%,"On Target",IF(ProductionData[[#This Row],[Achievement%]]&lt;90%,"Significantly Below Target","Below Target"))</f>
        <v>Significantly Below Target</v>
      </c>
    </row>
    <row r="104" spans="1:18" x14ac:dyDescent="0.25">
      <c r="A104">
        <v>100</v>
      </c>
      <c r="B104" s="3">
        <v>46056</v>
      </c>
      <c r="C104" t="s">
        <v>13</v>
      </c>
      <c r="D104" t="s">
        <v>14</v>
      </c>
      <c r="E104" s="4">
        <v>1116</v>
      </c>
      <c r="F104" s="4">
        <v>990.5</v>
      </c>
      <c r="G104" s="4">
        <v>4.74</v>
      </c>
      <c r="H104" t="s">
        <v>20</v>
      </c>
      <c r="I104" s="4">
        <v>1485.5</v>
      </c>
      <c r="J104" s="4">
        <v>81129.100000000006</v>
      </c>
      <c r="K104">
        <v>3</v>
      </c>
      <c r="L104">
        <v>10</v>
      </c>
      <c r="M104" s="21">
        <f>(ProductionData[[#This Row],[Actual_Production_t]]/ProductionData[[#This Row],[Target_Production_t]])</f>
        <v>0.88754480286738346</v>
      </c>
      <c r="N104" s="5">
        <f>ProductionData[[#This Row],[Actual_Production_t]]/(ProductionData[[#This Row],[Target_Production_t]]*((8-ProductionData[[#This Row],[Downtime_hr]])/8))</f>
        <v>2.1780240561162785</v>
      </c>
      <c r="O104" s="4">
        <f>ProductionData[[#This Row],[Raw_Material_t]]/ProductionData[[#This Row],[Actual_Production_t]]</f>
        <v>1.4997476022211005</v>
      </c>
      <c r="P104" s="22">
        <f>ProductionData[[#This Row],[Energy_kWh]]/ProductionData[[#This Row],[Actual_Production_t]]</f>
        <v>81.907218576476538</v>
      </c>
      <c r="Q104" s="23">
        <f>ProductionData[[#This Row],[Defects_t]]/ProductionData[[#This Row],[Actual_Production_t]]</f>
        <v>3.0287733467945482E-3</v>
      </c>
      <c r="R104" t="str">
        <f>IF(ProductionData[[#This Row],[Achievement%]]&gt;=100%,"On Target",IF(ProductionData[[#This Row],[Achievement%]]&lt;90%,"Significantly Below Target","Below Target"))</f>
        <v>Significantly Below Target</v>
      </c>
    </row>
    <row r="105" spans="1:18" x14ac:dyDescent="0.25">
      <c r="A105">
        <v>101</v>
      </c>
      <c r="B105" s="3">
        <v>46056</v>
      </c>
      <c r="C105" t="s">
        <v>16</v>
      </c>
      <c r="D105" t="s">
        <v>14</v>
      </c>
      <c r="E105" s="4">
        <v>1154</v>
      </c>
      <c r="F105" s="4">
        <v>1173.5</v>
      </c>
      <c r="G105" s="4">
        <v>0</v>
      </c>
      <c r="H105" t="s">
        <v>21</v>
      </c>
      <c r="I105" s="4">
        <v>1807.2</v>
      </c>
      <c r="J105" s="4">
        <v>97988.9</v>
      </c>
      <c r="K105">
        <v>1</v>
      </c>
      <c r="L105">
        <v>10</v>
      </c>
      <c r="M105" s="21">
        <f>(ProductionData[[#This Row],[Actual_Production_t]]/ProductionData[[#This Row],[Target_Production_t]])</f>
        <v>1.016897746967071</v>
      </c>
      <c r="N105" s="5">
        <f>ProductionData[[#This Row],[Actual_Production_t]]/(ProductionData[[#This Row],[Target_Production_t]]*((8-ProductionData[[#This Row],[Downtime_hr]])/8))</f>
        <v>1.016897746967071</v>
      </c>
      <c r="O105" s="4">
        <f>ProductionData[[#This Row],[Raw_Material_t]]/ProductionData[[#This Row],[Actual_Production_t]]</f>
        <v>1.54000852151683</v>
      </c>
      <c r="P105" s="22">
        <f>ProductionData[[#This Row],[Energy_kWh]]/ProductionData[[#This Row],[Actual_Production_t]]</f>
        <v>83.501406050276941</v>
      </c>
      <c r="Q105" s="23">
        <f>ProductionData[[#This Row],[Defects_t]]/ProductionData[[#This Row],[Actual_Production_t]]</f>
        <v>8.5215168299957388E-4</v>
      </c>
      <c r="R105" t="str">
        <f>IF(ProductionData[[#This Row],[Achievement%]]&gt;=100%,"On Target",IF(ProductionData[[#This Row],[Achievement%]]&lt;90%,"Significantly Below Target","Below Target"))</f>
        <v>On Target</v>
      </c>
    </row>
    <row r="106" spans="1:18" x14ac:dyDescent="0.25">
      <c r="A106">
        <v>102</v>
      </c>
      <c r="B106" s="3">
        <v>46056</v>
      </c>
      <c r="C106" t="s">
        <v>18</v>
      </c>
      <c r="D106" t="s">
        <v>17</v>
      </c>
      <c r="E106" s="4">
        <v>1027</v>
      </c>
      <c r="F106" s="4">
        <v>977.6</v>
      </c>
      <c r="G106" s="4">
        <v>0</v>
      </c>
      <c r="H106" t="s">
        <v>21</v>
      </c>
      <c r="I106" s="4">
        <v>1457.2</v>
      </c>
      <c r="J106" s="4">
        <v>80114.2</v>
      </c>
      <c r="K106">
        <v>2</v>
      </c>
      <c r="L106">
        <v>7</v>
      </c>
      <c r="M106" s="21">
        <f>(ProductionData[[#This Row],[Actual_Production_t]]/ProductionData[[#This Row],[Target_Production_t]])</f>
        <v>0.95189873417721527</v>
      </c>
      <c r="N106" s="5">
        <f>ProductionData[[#This Row],[Actual_Production_t]]/(ProductionData[[#This Row],[Target_Production_t]]*((8-ProductionData[[#This Row],[Downtime_hr]])/8))</f>
        <v>0.95189873417721527</v>
      </c>
      <c r="O106" s="4">
        <f>ProductionData[[#This Row],[Raw_Material_t]]/ProductionData[[#This Row],[Actual_Production_t]]</f>
        <v>1.4905891980360066</v>
      </c>
      <c r="P106" s="22">
        <f>ProductionData[[#This Row],[Energy_kWh]]/ProductionData[[#This Row],[Actual_Production_t]]</f>
        <v>81.949877250409159</v>
      </c>
      <c r="Q106" s="23">
        <f>ProductionData[[#This Row],[Defects_t]]/ProductionData[[#This Row],[Actual_Production_t]]</f>
        <v>2.0458265139116204E-3</v>
      </c>
      <c r="R106" t="str">
        <f>IF(ProductionData[[#This Row],[Achievement%]]&gt;=100%,"On Target",IF(ProductionData[[#This Row],[Achievement%]]&lt;90%,"Significantly Below Target","Below Target"))</f>
        <v>Below Target</v>
      </c>
    </row>
    <row r="107" spans="1:18" x14ac:dyDescent="0.25">
      <c r="A107">
        <v>103</v>
      </c>
      <c r="B107" s="3">
        <v>46057</v>
      </c>
      <c r="C107" t="s">
        <v>13</v>
      </c>
      <c r="D107" t="s">
        <v>19</v>
      </c>
      <c r="E107" s="4">
        <v>988</v>
      </c>
      <c r="F107" s="4">
        <v>1021.2</v>
      </c>
      <c r="G107" s="4">
        <v>0.21</v>
      </c>
      <c r="H107" t="s">
        <v>23</v>
      </c>
      <c r="I107" s="4">
        <v>1508.4</v>
      </c>
      <c r="J107" s="4">
        <v>77757.2</v>
      </c>
      <c r="K107">
        <v>1</v>
      </c>
      <c r="L107">
        <v>7</v>
      </c>
      <c r="M107" s="21">
        <f>(ProductionData[[#This Row],[Actual_Production_t]]/ProductionData[[#This Row],[Target_Production_t]])</f>
        <v>1.0336032388663967</v>
      </c>
      <c r="N107" s="5">
        <f>ProductionData[[#This Row],[Actual_Production_t]]/(ProductionData[[#This Row],[Target_Production_t]]*((8-ProductionData[[#This Row],[Downtime_hr]])/8))</f>
        <v>1.061466740812731</v>
      </c>
      <c r="O107" s="4">
        <f>ProductionData[[#This Row],[Raw_Material_t]]/ProductionData[[#This Row],[Actual_Production_t]]</f>
        <v>1.4770857814336076</v>
      </c>
      <c r="P107" s="22">
        <f>ProductionData[[#This Row],[Energy_kWh]]/ProductionData[[#This Row],[Actual_Production_t]]</f>
        <v>76.142969056012532</v>
      </c>
      <c r="Q107" s="23">
        <f>ProductionData[[#This Row],[Defects_t]]/ProductionData[[#This Row],[Actual_Production_t]]</f>
        <v>9.7924010967489214E-4</v>
      </c>
      <c r="R107" t="str">
        <f>IF(ProductionData[[#This Row],[Achievement%]]&gt;=100%,"On Target",IF(ProductionData[[#This Row],[Achievement%]]&lt;90%,"Significantly Below Target","Below Target"))</f>
        <v>On Target</v>
      </c>
    </row>
    <row r="108" spans="1:18" x14ac:dyDescent="0.25">
      <c r="A108">
        <v>104</v>
      </c>
      <c r="B108" s="3">
        <v>46057</v>
      </c>
      <c r="C108" t="s">
        <v>16</v>
      </c>
      <c r="D108" t="s">
        <v>17</v>
      </c>
      <c r="E108" s="4">
        <v>1045</v>
      </c>
      <c r="F108" s="4">
        <v>835.8</v>
      </c>
      <c r="G108" s="4">
        <v>4.09</v>
      </c>
      <c r="H108" t="s">
        <v>20</v>
      </c>
      <c r="I108" s="4">
        <v>1288</v>
      </c>
      <c r="J108" s="4">
        <v>72328.800000000003</v>
      </c>
      <c r="K108">
        <v>3</v>
      </c>
      <c r="L108">
        <v>8</v>
      </c>
      <c r="M108" s="21">
        <f>(ProductionData[[#This Row],[Actual_Production_t]]/ProductionData[[#This Row],[Target_Production_t]])</f>
        <v>0.7998086124401913</v>
      </c>
      <c r="N108" s="5">
        <f>ProductionData[[#This Row],[Actual_Production_t]]/(ProductionData[[#This Row],[Target_Production_t]]*((8-ProductionData[[#This Row],[Downtime_hr]])/8))</f>
        <v>1.6364370587011587</v>
      </c>
      <c r="O108" s="4">
        <f>ProductionData[[#This Row],[Raw_Material_t]]/ProductionData[[#This Row],[Actual_Production_t]]</f>
        <v>1.5410385259631492</v>
      </c>
      <c r="P108" s="22">
        <f>ProductionData[[#This Row],[Energy_kWh]]/ProductionData[[#This Row],[Actual_Production_t]]</f>
        <v>86.538406317300797</v>
      </c>
      <c r="Q108" s="23">
        <f>ProductionData[[#This Row],[Defects_t]]/ProductionData[[#This Row],[Actual_Production_t]]</f>
        <v>3.5893754486719313E-3</v>
      </c>
      <c r="R108" t="str">
        <f>IF(ProductionData[[#This Row],[Achievement%]]&gt;=100%,"On Target",IF(ProductionData[[#This Row],[Achievement%]]&lt;90%,"Significantly Below Target","Below Target"))</f>
        <v>Significantly Below Target</v>
      </c>
    </row>
    <row r="109" spans="1:18" x14ac:dyDescent="0.25">
      <c r="A109">
        <v>105</v>
      </c>
      <c r="B109" s="3">
        <v>46057</v>
      </c>
      <c r="C109" t="s">
        <v>18</v>
      </c>
      <c r="D109" t="s">
        <v>17</v>
      </c>
      <c r="E109" s="4">
        <v>1024</v>
      </c>
      <c r="F109" s="4">
        <v>771.3</v>
      </c>
      <c r="G109" s="4">
        <v>3.47</v>
      </c>
      <c r="H109" t="s">
        <v>24</v>
      </c>
      <c r="I109" s="4">
        <v>1217.0999999999999</v>
      </c>
      <c r="J109" s="4">
        <v>67178.399999999994</v>
      </c>
      <c r="K109">
        <v>2</v>
      </c>
      <c r="L109">
        <v>12</v>
      </c>
      <c r="M109" s="21">
        <f>(ProductionData[[#This Row],[Actual_Production_t]]/ProductionData[[#This Row],[Target_Production_t]])</f>
        <v>0.75322265624999996</v>
      </c>
      <c r="N109" s="5">
        <f>ProductionData[[#This Row],[Actual_Production_t]]/(ProductionData[[#This Row],[Target_Production_t]]*((8-ProductionData[[#This Row],[Downtime_hr]])/8))</f>
        <v>1.3301945364238412</v>
      </c>
      <c r="O109" s="4">
        <f>ProductionData[[#This Row],[Raw_Material_t]]/ProductionData[[#This Row],[Actual_Production_t]]</f>
        <v>1.5779852197588486</v>
      </c>
      <c r="P109" s="22">
        <f>ProductionData[[#This Row],[Energy_kWh]]/ProductionData[[#This Row],[Actual_Production_t]]</f>
        <v>87.0976273823415</v>
      </c>
      <c r="Q109" s="23">
        <f>ProductionData[[#This Row],[Defects_t]]/ProductionData[[#This Row],[Actual_Production_t]]</f>
        <v>2.5930247633864905E-3</v>
      </c>
      <c r="R109" t="str">
        <f>IF(ProductionData[[#This Row],[Achievement%]]&gt;=100%,"On Target",IF(ProductionData[[#This Row],[Achievement%]]&lt;90%,"Significantly Below Target","Below Target"))</f>
        <v>Significantly Below Target</v>
      </c>
    </row>
    <row r="110" spans="1:18" x14ac:dyDescent="0.25">
      <c r="A110">
        <v>106</v>
      </c>
      <c r="B110" s="3">
        <v>46058</v>
      </c>
      <c r="C110" t="s">
        <v>13</v>
      </c>
      <c r="D110" t="s">
        <v>17</v>
      </c>
      <c r="E110" s="4">
        <v>1071</v>
      </c>
      <c r="F110" s="4">
        <v>877.3</v>
      </c>
      <c r="G110" s="4">
        <v>4.03</v>
      </c>
      <c r="H110" t="s">
        <v>20</v>
      </c>
      <c r="I110" s="4">
        <v>1312.5</v>
      </c>
      <c r="J110" s="4">
        <v>72906.2</v>
      </c>
      <c r="K110">
        <v>3</v>
      </c>
      <c r="L110">
        <v>11</v>
      </c>
      <c r="M110" s="21">
        <f>(ProductionData[[#This Row],[Actual_Production_t]]/ProductionData[[#This Row],[Target_Production_t]])</f>
        <v>0.819140989729225</v>
      </c>
      <c r="N110" s="5">
        <f>ProductionData[[#This Row],[Actual_Production_t]]/(ProductionData[[#This Row],[Target_Production_t]]*((8-ProductionData[[#This Row],[Downtime_hr]])/8))</f>
        <v>1.6506619440387404</v>
      </c>
      <c r="O110" s="4">
        <f>ProductionData[[#This Row],[Raw_Material_t]]/ProductionData[[#This Row],[Actual_Production_t]]</f>
        <v>1.4960674797674685</v>
      </c>
      <c r="P110" s="22">
        <f>ProductionData[[#This Row],[Energy_kWh]]/ProductionData[[#This Row],[Actual_Production_t]]</f>
        <v>83.102929442608001</v>
      </c>
      <c r="Q110" s="23">
        <f>ProductionData[[#This Row],[Defects_t]]/ProductionData[[#This Row],[Actual_Production_t]]</f>
        <v>3.4195828108970708E-3</v>
      </c>
      <c r="R110" t="str">
        <f>IF(ProductionData[[#This Row],[Achievement%]]&gt;=100%,"On Target",IF(ProductionData[[#This Row],[Achievement%]]&lt;90%,"Significantly Below Target","Below Target"))</f>
        <v>Significantly Below Target</v>
      </c>
    </row>
    <row r="111" spans="1:18" x14ac:dyDescent="0.25">
      <c r="A111">
        <v>107</v>
      </c>
      <c r="B111" s="3">
        <v>46058</v>
      </c>
      <c r="C111" t="s">
        <v>16</v>
      </c>
      <c r="D111" t="s">
        <v>14</v>
      </c>
      <c r="E111" s="4">
        <v>1149</v>
      </c>
      <c r="F111" s="4">
        <v>1057.3</v>
      </c>
      <c r="G111" s="4">
        <v>2.79</v>
      </c>
      <c r="H111" t="s">
        <v>22</v>
      </c>
      <c r="I111" s="4">
        <v>1601.5</v>
      </c>
      <c r="J111" s="4">
        <v>90905.5</v>
      </c>
      <c r="K111">
        <v>3</v>
      </c>
      <c r="L111">
        <v>11</v>
      </c>
      <c r="M111" s="21">
        <f>(ProductionData[[#This Row],[Actual_Production_t]]/ProductionData[[#This Row],[Target_Production_t]])</f>
        <v>0.92019147084421227</v>
      </c>
      <c r="N111" s="5">
        <f>ProductionData[[#This Row],[Actual_Production_t]]/(ProductionData[[#This Row],[Target_Production_t]]*((8-ProductionData[[#This Row],[Downtime_hr]])/8))</f>
        <v>1.4129619513922647</v>
      </c>
      <c r="O111" s="4">
        <f>ProductionData[[#This Row],[Raw_Material_t]]/ProductionData[[#This Row],[Actual_Production_t]]</f>
        <v>1.5147072732431666</v>
      </c>
      <c r="P111" s="22">
        <f>ProductionData[[#This Row],[Energy_kWh]]/ProductionData[[#This Row],[Actual_Production_t]]</f>
        <v>85.978908540622342</v>
      </c>
      <c r="Q111" s="23">
        <f>ProductionData[[#This Row],[Defects_t]]/ProductionData[[#This Row],[Actual_Production_t]]</f>
        <v>2.8374160597748983E-3</v>
      </c>
      <c r="R111" t="str">
        <f>IF(ProductionData[[#This Row],[Achievement%]]&gt;=100%,"On Target",IF(ProductionData[[#This Row],[Achievement%]]&lt;90%,"Significantly Below Target","Below Target"))</f>
        <v>Below Target</v>
      </c>
    </row>
    <row r="112" spans="1:18" x14ac:dyDescent="0.25">
      <c r="A112">
        <v>108</v>
      </c>
      <c r="B112" s="3">
        <v>46058</v>
      </c>
      <c r="C112" t="s">
        <v>18</v>
      </c>
      <c r="D112" t="s">
        <v>14</v>
      </c>
      <c r="E112" s="4">
        <v>1152</v>
      </c>
      <c r="F112" s="4">
        <v>845.4</v>
      </c>
      <c r="G112" s="4">
        <v>3.25</v>
      </c>
      <c r="H112" t="s">
        <v>20</v>
      </c>
      <c r="I112" s="4">
        <v>1329.3</v>
      </c>
      <c r="J112" s="4">
        <v>69926.8</v>
      </c>
      <c r="K112">
        <v>5</v>
      </c>
      <c r="L112">
        <v>12</v>
      </c>
      <c r="M112" s="21">
        <f>(ProductionData[[#This Row],[Actual_Production_t]]/ProductionData[[#This Row],[Target_Production_t]])</f>
        <v>0.7338541666666667</v>
      </c>
      <c r="N112" s="5">
        <f>ProductionData[[#This Row],[Actual_Production_t]]/(ProductionData[[#This Row],[Target_Production_t]]*((8-ProductionData[[#This Row],[Downtime_hr]])/8))</f>
        <v>1.2359649122807017</v>
      </c>
      <c r="O112" s="4">
        <f>ProductionData[[#This Row],[Raw_Material_t]]/ProductionData[[#This Row],[Actual_Production_t]]</f>
        <v>1.5723917672107879</v>
      </c>
      <c r="P112" s="22">
        <f>ProductionData[[#This Row],[Energy_kWh]]/ProductionData[[#This Row],[Actual_Production_t]]</f>
        <v>82.714454696001894</v>
      </c>
      <c r="Q112" s="23">
        <f>ProductionData[[#This Row],[Defects_t]]/ProductionData[[#This Row],[Actual_Production_t]]</f>
        <v>5.9143600662408327E-3</v>
      </c>
      <c r="R112" t="str">
        <f>IF(ProductionData[[#This Row],[Achievement%]]&gt;=100%,"On Target",IF(ProductionData[[#This Row],[Achievement%]]&lt;90%,"Significantly Below Target","Below Target"))</f>
        <v>Significantly Below Target</v>
      </c>
    </row>
    <row r="113" spans="1:18" x14ac:dyDescent="0.25">
      <c r="A113">
        <v>109</v>
      </c>
      <c r="B113" s="3">
        <v>46059</v>
      </c>
      <c r="C113" t="s">
        <v>13</v>
      </c>
      <c r="D113" t="s">
        <v>14</v>
      </c>
      <c r="E113" s="4">
        <v>1146</v>
      </c>
      <c r="F113" s="4">
        <v>1119.7</v>
      </c>
      <c r="G113" s="4">
        <v>0.16</v>
      </c>
      <c r="H113" t="s">
        <v>23</v>
      </c>
      <c r="I113" s="4">
        <v>1678.9</v>
      </c>
      <c r="J113" s="4">
        <v>91857.7</v>
      </c>
      <c r="K113">
        <v>3</v>
      </c>
      <c r="L113">
        <v>8</v>
      </c>
      <c r="M113" s="21">
        <f>(ProductionData[[#This Row],[Actual_Production_t]]/ProductionData[[#This Row],[Target_Production_t]])</f>
        <v>0.97705061082024436</v>
      </c>
      <c r="N113" s="5">
        <f>ProductionData[[#This Row],[Actual_Production_t]]/(ProductionData[[#This Row],[Target_Production_t]]*((8-ProductionData[[#This Row],[Downtime_hr]])/8))</f>
        <v>0.99699041920433107</v>
      </c>
      <c r="O113" s="4">
        <f>ProductionData[[#This Row],[Raw_Material_t]]/ProductionData[[#This Row],[Actual_Production_t]]</f>
        <v>1.4994194873626865</v>
      </c>
      <c r="P113" s="22">
        <f>ProductionData[[#This Row],[Energy_kWh]]/ProductionData[[#This Row],[Actual_Production_t]]</f>
        <v>82.037777976243632</v>
      </c>
      <c r="Q113" s="23">
        <f>ProductionData[[#This Row],[Defects_t]]/ProductionData[[#This Row],[Actual_Production_t]]</f>
        <v>2.6792890952933822E-3</v>
      </c>
      <c r="R113" t="str">
        <f>IF(ProductionData[[#This Row],[Achievement%]]&gt;=100%,"On Target",IF(ProductionData[[#This Row],[Achievement%]]&lt;90%,"Significantly Below Target","Below Target"))</f>
        <v>Below Target</v>
      </c>
    </row>
    <row r="114" spans="1:18" x14ac:dyDescent="0.25">
      <c r="A114">
        <v>110</v>
      </c>
      <c r="B114" s="3">
        <v>46059</v>
      </c>
      <c r="C114" t="s">
        <v>16</v>
      </c>
      <c r="D114" t="s">
        <v>14</v>
      </c>
      <c r="E114" s="4">
        <v>1138</v>
      </c>
      <c r="F114" s="4">
        <v>1066.8</v>
      </c>
      <c r="G114" s="4">
        <v>1.97</v>
      </c>
      <c r="H114" t="s">
        <v>21</v>
      </c>
      <c r="I114" s="4">
        <v>1699.5</v>
      </c>
      <c r="J114" s="4">
        <v>86882.9</v>
      </c>
      <c r="K114">
        <v>1</v>
      </c>
      <c r="L114">
        <v>11</v>
      </c>
      <c r="M114" s="21">
        <f>(ProductionData[[#This Row],[Actual_Production_t]]/ProductionData[[#This Row],[Target_Production_t]])</f>
        <v>0.93743409490333918</v>
      </c>
      <c r="N114" s="5">
        <f>ProductionData[[#This Row],[Actual_Production_t]]/(ProductionData[[#This Row],[Target_Production_t]]*((8-ProductionData[[#This Row],[Downtime_hr]])/8))</f>
        <v>1.2436936582465528</v>
      </c>
      <c r="O114" s="4">
        <f>ProductionData[[#This Row],[Raw_Material_t]]/ProductionData[[#This Row],[Actual_Production_t]]</f>
        <v>1.5930821147356582</v>
      </c>
      <c r="P114" s="22">
        <f>ProductionData[[#This Row],[Energy_kWh]]/ProductionData[[#This Row],[Actual_Production_t]]</f>
        <v>81.442538432695912</v>
      </c>
      <c r="Q114" s="23">
        <f>ProductionData[[#This Row],[Defects_t]]/ProductionData[[#This Row],[Actual_Production_t]]</f>
        <v>9.3738282714660669E-4</v>
      </c>
      <c r="R114" t="str">
        <f>IF(ProductionData[[#This Row],[Achievement%]]&gt;=100%,"On Target",IF(ProductionData[[#This Row],[Achievement%]]&lt;90%,"Significantly Below Target","Below Target"))</f>
        <v>Below Target</v>
      </c>
    </row>
    <row r="115" spans="1:18" x14ac:dyDescent="0.25">
      <c r="A115">
        <v>111</v>
      </c>
      <c r="B115" s="3">
        <v>46059</v>
      </c>
      <c r="C115" t="s">
        <v>18</v>
      </c>
      <c r="D115" t="s">
        <v>14</v>
      </c>
      <c r="E115" s="4">
        <v>1159</v>
      </c>
      <c r="F115" s="4">
        <v>1009.9</v>
      </c>
      <c r="G115" s="4">
        <v>0.05</v>
      </c>
      <c r="H115" t="s">
        <v>23</v>
      </c>
      <c r="I115" s="4">
        <v>1513</v>
      </c>
      <c r="J115" s="4">
        <v>90543.3</v>
      </c>
      <c r="K115">
        <v>6</v>
      </c>
      <c r="L115">
        <v>7</v>
      </c>
      <c r="M115" s="21">
        <f>(ProductionData[[#This Row],[Actual_Production_t]]/ProductionData[[#This Row],[Target_Production_t]])</f>
        <v>0.87135461604831754</v>
      </c>
      <c r="N115" s="5">
        <f>ProductionData[[#This Row],[Actual_Production_t]]/(ProductionData[[#This Row],[Target_Production_t]]*((8-ProductionData[[#This Row],[Downtime_hr]])/8))</f>
        <v>0.87683483375931315</v>
      </c>
      <c r="O115" s="4">
        <f>ProductionData[[#This Row],[Raw_Material_t]]/ProductionData[[#This Row],[Actual_Production_t]]</f>
        <v>1.4981681354589564</v>
      </c>
      <c r="P115" s="22">
        <f>ProductionData[[#This Row],[Energy_kWh]]/ProductionData[[#This Row],[Actual_Production_t]]</f>
        <v>89.655708485988711</v>
      </c>
      <c r="Q115" s="23">
        <f>ProductionData[[#This Row],[Defects_t]]/ProductionData[[#This Row],[Actual_Production_t]]</f>
        <v>5.9411822952767602E-3</v>
      </c>
      <c r="R115" t="str">
        <f>IF(ProductionData[[#This Row],[Achievement%]]&gt;=100%,"On Target",IF(ProductionData[[#This Row],[Achievement%]]&lt;90%,"Significantly Below Target","Below Target"))</f>
        <v>Significantly Below Target</v>
      </c>
    </row>
    <row r="116" spans="1:18" x14ac:dyDescent="0.25">
      <c r="A116">
        <v>112</v>
      </c>
      <c r="B116" s="3">
        <v>46060</v>
      </c>
      <c r="C116" t="s">
        <v>13</v>
      </c>
      <c r="D116" t="s">
        <v>19</v>
      </c>
      <c r="E116" s="4">
        <v>986</v>
      </c>
      <c r="F116" s="4">
        <v>993.6</v>
      </c>
      <c r="G116" s="4">
        <v>0.34</v>
      </c>
      <c r="H116" t="s">
        <v>23</v>
      </c>
      <c r="I116" s="4">
        <v>1472.8</v>
      </c>
      <c r="J116" s="4">
        <v>84131.9</v>
      </c>
      <c r="K116">
        <v>3</v>
      </c>
      <c r="L116">
        <v>10</v>
      </c>
      <c r="M116" s="21">
        <f>(ProductionData[[#This Row],[Actual_Production_t]]/ProductionData[[#This Row],[Target_Production_t]])</f>
        <v>1.0077079107505071</v>
      </c>
      <c r="N116" s="5">
        <f>ProductionData[[#This Row],[Actual_Production_t]]/(ProductionData[[#This Row],[Target_Production_t]]*((8-ProductionData[[#This Row],[Downtime_hr]])/8))</f>
        <v>1.0524364603138456</v>
      </c>
      <c r="O116" s="4">
        <f>ProductionData[[#This Row],[Raw_Material_t]]/ProductionData[[#This Row],[Actual_Production_t]]</f>
        <v>1.4822866344605474</v>
      </c>
      <c r="P116" s="22">
        <f>ProductionData[[#This Row],[Energy_kWh]]/ProductionData[[#This Row],[Actual_Production_t]]</f>
        <v>84.673812399355867</v>
      </c>
      <c r="Q116" s="23">
        <f>ProductionData[[#This Row],[Defects_t]]/ProductionData[[#This Row],[Actual_Production_t]]</f>
        <v>3.0193236714975845E-3</v>
      </c>
      <c r="R116" t="str">
        <f>IF(ProductionData[[#This Row],[Achievement%]]&gt;=100%,"On Target",IF(ProductionData[[#This Row],[Achievement%]]&lt;90%,"Significantly Below Target","Below Target"))</f>
        <v>On Target</v>
      </c>
    </row>
    <row r="117" spans="1:18" x14ac:dyDescent="0.25">
      <c r="A117">
        <v>113</v>
      </c>
      <c r="B117" s="3">
        <v>46060</v>
      </c>
      <c r="C117" t="s">
        <v>16</v>
      </c>
      <c r="D117" t="s">
        <v>14</v>
      </c>
      <c r="E117" s="4">
        <v>1173</v>
      </c>
      <c r="F117" s="4">
        <v>1125.5999999999999</v>
      </c>
      <c r="G117" s="4">
        <v>0.28000000000000003</v>
      </c>
      <c r="H117" t="s">
        <v>23</v>
      </c>
      <c r="I117" s="4">
        <v>1733.1</v>
      </c>
      <c r="J117" s="4">
        <v>93900</v>
      </c>
      <c r="K117">
        <v>6</v>
      </c>
      <c r="L117">
        <v>9</v>
      </c>
      <c r="M117" s="21">
        <f>(ProductionData[[#This Row],[Actual_Production_t]]/ProductionData[[#This Row],[Target_Production_t]])</f>
        <v>0.95959079283887461</v>
      </c>
      <c r="N117" s="5">
        <f>ProductionData[[#This Row],[Actual_Production_t]]/(ProductionData[[#This Row],[Target_Production_t]]*((8-ProductionData[[#This Row],[Downtime_hr]])/8))</f>
        <v>0.99439460397810842</v>
      </c>
      <c r="O117" s="4">
        <f>ProductionData[[#This Row],[Raw_Material_t]]/ProductionData[[#This Row],[Actual_Production_t]]</f>
        <v>1.5397121535181237</v>
      </c>
      <c r="P117" s="22">
        <f>ProductionData[[#This Row],[Energy_kWh]]/ProductionData[[#This Row],[Actual_Production_t]]</f>
        <v>83.42217484008529</v>
      </c>
      <c r="Q117" s="23">
        <f>ProductionData[[#This Row],[Defects_t]]/ProductionData[[#This Row],[Actual_Production_t]]</f>
        <v>5.3304904051172716E-3</v>
      </c>
      <c r="R117" t="str">
        <f>IF(ProductionData[[#This Row],[Achievement%]]&gt;=100%,"On Target",IF(ProductionData[[#This Row],[Achievement%]]&lt;90%,"Significantly Below Target","Below Target"))</f>
        <v>Below Target</v>
      </c>
    </row>
    <row r="118" spans="1:18" x14ac:dyDescent="0.25">
      <c r="A118">
        <v>114</v>
      </c>
      <c r="B118" s="3">
        <v>46060</v>
      </c>
      <c r="C118" t="s">
        <v>18</v>
      </c>
      <c r="D118" t="s">
        <v>14</v>
      </c>
      <c r="E118" s="4">
        <v>1163</v>
      </c>
      <c r="F118" s="4">
        <v>923.4</v>
      </c>
      <c r="G118" s="4">
        <v>4.13</v>
      </c>
      <c r="H118" t="s">
        <v>20</v>
      </c>
      <c r="I118" s="4">
        <v>1338.3</v>
      </c>
      <c r="J118" s="4">
        <v>79677.2</v>
      </c>
      <c r="K118">
        <v>4</v>
      </c>
      <c r="L118">
        <v>9</v>
      </c>
      <c r="M118" s="21">
        <f>(ProductionData[[#This Row],[Actual_Production_t]]/ProductionData[[#This Row],[Target_Production_t]])</f>
        <v>0.79398108340498708</v>
      </c>
      <c r="N118" s="5">
        <f>ProductionData[[#This Row],[Actual_Production_t]]/(ProductionData[[#This Row],[Target_Production_t]]*((8-ProductionData[[#This Row],[Downtime_hr]])/8))</f>
        <v>1.6413045651782676</v>
      </c>
      <c r="O118" s="4">
        <f>ProductionData[[#This Row],[Raw_Material_t]]/ProductionData[[#This Row],[Actual_Production_t]]</f>
        <v>1.4493177387914229</v>
      </c>
      <c r="P118" s="22">
        <f>ProductionData[[#This Row],[Energy_kWh]]/ProductionData[[#This Row],[Actual_Production_t]]</f>
        <v>86.286766298462197</v>
      </c>
      <c r="Q118" s="23">
        <f>ProductionData[[#This Row],[Defects_t]]/ProductionData[[#This Row],[Actual_Production_t]]</f>
        <v>4.3318171973142734E-3</v>
      </c>
      <c r="R118" t="str">
        <f>IF(ProductionData[[#This Row],[Achievement%]]&gt;=100%,"On Target",IF(ProductionData[[#This Row],[Achievement%]]&lt;90%,"Significantly Below Target","Below Target"))</f>
        <v>Significantly Below Target</v>
      </c>
    </row>
    <row r="119" spans="1:18" x14ac:dyDescent="0.25">
      <c r="A119">
        <v>115</v>
      </c>
      <c r="B119" s="3">
        <v>46061</v>
      </c>
      <c r="C119" t="s">
        <v>13</v>
      </c>
      <c r="D119" t="s">
        <v>17</v>
      </c>
      <c r="E119" s="4">
        <v>1087</v>
      </c>
      <c r="F119" s="4">
        <v>1146.8</v>
      </c>
      <c r="G119" s="4">
        <v>1.03</v>
      </c>
      <c r="H119" t="s">
        <v>24</v>
      </c>
      <c r="I119" s="4">
        <v>1745.6</v>
      </c>
      <c r="J119" s="4">
        <v>99207.1</v>
      </c>
      <c r="K119">
        <v>1</v>
      </c>
      <c r="L119">
        <v>8</v>
      </c>
      <c r="M119" s="21">
        <f>(ProductionData[[#This Row],[Actual_Production_t]]/ProductionData[[#This Row],[Target_Production_t]])</f>
        <v>1.055013799448022</v>
      </c>
      <c r="N119" s="5">
        <f>ProductionData[[#This Row],[Actual_Production_t]]/(ProductionData[[#This Row],[Target_Production_t]]*((8-ProductionData[[#This Row],[Downtime_hr]])/8))</f>
        <v>1.2109197124224069</v>
      </c>
      <c r="O119" s="4">
        <f>ProductionData[[#This Row],[Raw_Material_t]]/ProductionData[[#This Row],[Actual_Production_t]]</f>
        <v>1.5221485873735612</v>
      </c>
      <c r="P119" s="22">
        <f>ProductionData[[#This Row],[Energy_kWh]]/ProductionData[[#This Row],[Actual_Production_t]]</f>
        <v>86.50776072549705</v>
      </c>
      <c r="Q119" s="23">
        <f>ProductionData[[#This Row],[Defects_t]]/ProductionData[[#This Row],[Actual_Production_t]]</f>
        <v>8.7199162888036274E-4</v>
      </c>
      <c r="R119" t="str">
        <f>IF(ProductionData[[#This Row],[Achievement%]]&gt;=100%,"On Target",IF(ProductionData[[#This Row],[Achievement%]]&lt;90%,"Significantly Below Target","Below Target"))</f>
        <v>On Target</v>
      </c>
    </row>
    <row r="120" spans="1:18" x14ac:dyDescent="0.25">
      <c r="A120">
        <v>116</v>
      </c>
      <c r="B120" s="3">
        <v>46061</v>
      </c>
      <c r="C120" t="s">
        <v>16</v>
      </c>
      <c r="D120" t="s">
        <v>14</v>
      </c>
      <c r="E120" s="4">
        <v>1114</v>
      </c>
      <c r="F120" s="4">
        <v>808.8</v>
      </c>
      <c r="G120" s="4">
        <v>4.66</v>
      </c>
      <c r="H120" t="s">
        <v>21</v>
      </c>
      <c r="I120" s="4">
        <v>1268.5</v>
      </c>
      <c r="J120" s="4">
        <v>68142</v>
      </c>
      <c r="K120">
        <v>3</v>
      </c>
      <c r="L120">
        <v>9</v>
      </c>
      <c r="M120" s="21">
        <f>(ProductionData[[#This Row],[Actual_Production_t]]/ProductionData[[#This Row],[Target_Production_t]])</f>
        <v>0.72603231597845597</v>
      </c>
      <c r="N120" s="5">
        <f>ProductionData[[#This Row],[Actual_Production_t]]/(ProductionData[[#This Row],[Target_Production_t]]*((8-ProductionData[[#This Row],[Downtime_hr]])/8))</f>
        <v>1.7389995592298348</v>
      </c>
      <c r="O120" s="4">
        <f>ProductionData[[#This Row],[Raw_Material_t]]/ProductionData[[#This Row],[Actual_Production_t]]</f>
        <v>1.5683728981206726</v>
      </c>
      <c r="P120" s="22">
        <f>ProductionData[[#This Row],[Energy_kWh]]/ProductionData[[#This Row],[Actual_Production_t]]</f>
        <v>84.250741839762611</v>
      </c>
      <c r="Q120" s="23">
        <f>ProductionData[[#This Row],[Defects_t]]/ProductionData[[#This Row],[Actual_Production_t]]</f>
        <v>3.70919881305638E-3</v>
      </c>
      <c r="R120" t="str">
        <f>IF(ProductionData[[#This Row],[Achievement%]]&gt;=100%,"On Target",IF(ProductionData[[#This Row],[Achievement%]]&lt;90%,"Significantly Below Target","Below Target"))</f>
        <v>Significantly Below Target</v>
      </c>
    </row>
    <row r="121" spans="1:18" x14ac:dyDescent="0.25">
      <c r="A121">
        <v>117</v>
      </c>
      <c r="B121" s="3">
        <v>46061</v>
      </c>
      <c r="C121" t="s">
        <v>18</v>
      </c>
      <c r="D121" t="s">
        <v>14</v>
      </c>
      <c r="E121" s="4">
        <v>1156</v>
      </c>
      <c r="F121" s="4">
        <v>932.6</v>
      </c>
      <c r="G121" s="4">
        <v>4.1399999999999997</v>
      </c>
      <c r="H121" t="s">
        <v>15</v>
      </c>
      <c r="I121" s="4">
        <v>1402.4</v>
      </c>
      <c r="J121" s="4">
        <v>74881.3</v>
      </c>
      <c r="K121">
        <v>6</v>
      </c>
      <c r="L121">
        <v>12</v>
      </c>
      <c r="M121" s="21">
        <f>(ProductionData[[#This Row],[Actual_Production_t]]/ProductionData[[#This Row],[Target_Production_t]])</f>
        <v>0.80674740484429064</v>
      </c>
      <c r="N121" s="5">
        <f>ProductionData[[#This Row],[Actual_Production_t]]/(ProductionData[[#This Row],[Target_Production_t]]*((8-ProductionData[[#This Row],[Downtime_hr]])/8))</f>
        <v>1.6720153468275452</v>
      </c>
      <c r="O121" s="4">
        <f>ProductionData[[#This Row],[Raw_Material_t]]/ProductionData[[#This Row],[Actual_Production_t]]</f>
        <v>1.5037529487454429</v>
      </c>
      <c r="P121" s="22">
        <f>ProductionData[[#This Row],[Energy_kWh]]/ProductionData[[#This Row],[Actual_Production_t]]</f>
        <v>80.293051683465578</v>
      </c>
      <c r="Q121" s="23">
        <f>ProductionData[[#This Row],[Defects_t]]/ProductionData[[#This Row],[Actual_Production_t]]</f>
        <v>6.4336264207591675E-3</v>
      </c>
      <c r="R121" t="str">
        <f>IF(ProductionData[[#This Row],[Achievement%]]&gt;=100%,"On Target",IF(ProductionData[[#This Row],[Achievement%]]&lt;90%,"Significantly Below Target","Below Target"))</f>
        <v>Significantly Below Target</v>
      </c>
    </row>
    <row r="122" spans="1:18" x14ac:dyDescent="0.25">
      <c r="A122">
        <v>118</v>
      </c>
      <c r="B122" s="3">
        <v>46062</v>
      </c>
      <c r="C122" t="s">
        <v>13</v>
      </c>
      <c r="D122" t="s">
        <v>17</v>
      </c>
      <c r="E122" s="4">
        <v>1058</v>
      </c>
      <c r="F122" s="4">
        <v>1063.5</v>
      </c>
      <c r="G122" s="4">
        <v>0.4</v>
      </c>
      <c r="H122" t="s">
        <v>23</v>
      </c>
      <c r="I122" s="4">
        <v>1594.9</v>
      </c>
      <c r="J122" s="4">
        <v>83398.899999999994</v>
      </c>
      <c r="K122">
        <v>4</v>
      </c>
      <c r="L122">
        <v>12</v>
      </c>
      <c r="M122" s="21">
        <f>(ProductionData[[#This Row],[Actual_Production_t]]/ProductionData[[#This Row],[Target_Production_t]])</f>
        <v>1.0051984877126654</v>
      </c>
      <c r="N122" s="5">
        <f>ProductionData[[#This Row],[Actual_Production_t]]/(ProductionData[[#This Row],[Target_Production_t]]*((8-ProductionData[[#This Row],[Downtime_hr]])/8))</f>
        <v>1.05810367127649</v>
      </c>
      <c r="O122" s="4">
        <f>ProductionData[[#This Row],[Raw_Material_t]]/ProductionData[[#This Row],[Actual_Production_t]]</f>
        <v>1.4996708979783733</v>
      </c>
      <c r="P122" s="22">
        <f>ProductionData[[#This Row],[Energy_kWh]]/ProductionData[[#This Row],[Actual_Production_t]]</f>
        <v>78.419275975552409</v>
      </c>
      <c r="Q122" s="23">
        <f>ProductionData[[#This Row],[Defects_t]]/ProductionData[[#This Row],[Actual_Production_t]]</f>
        <v>3.7611659614480487E-3</v>
      </c>
      <c r="R122" t="str">
        <f>IF(ProductionData[[#This Row],[Achievement%]]&gt;=100%,"On Target",IF(ProductionData[[#This Row],[Achievement%]]&lt;90%,"Significantly Below Target","Below Target"))</f>
        <v>On Target</v>
      </c>
    </row>
    <row r="123" spans="1:18" x14ac:dyDescent="0.25">
      <c r="A123">
        <v>119</v>
      </c>
      <c r="B123" s="3">
        <v>46062</v>
      </c>
      <c r="C123" t="s">
        <v>16</v>
      </c>
      <c r="D123" t="s">
        <v>17</v>
      </c>
      <c r="E123" s="4">
        <v>1054</v>
      </c>
      <c r="F123" s="4">
        <v>828.6</v>
      </c>
      <c r="G123" s="4">
        <v>4.87</v>
      </c>
      <c r="H123" t="s">
        <v>20</v>
      </c>
      <c r="I123" s="4">
        <v>1251.2</v>
      </c>
      <c r="J123" s="4">
        <v>69273.3</v>
      </c>
      <c r="K123">
        <v>2</v>
      </c>
      <c r="L123">
        <v>11</v>
      </c>
      <c r="M123" s="21">
        <f>(ProductionData[[#This Row],[Actual_Production_t]]/ProductionData[[#This Row],[Target_Production_t]])</f>
        <v>0.78614800759013281</v>
      </c>
      <c r="N123" s="5">
        <f>ProductionData[[#This Row],[Actual_Production_t]]/(ProductionData[[#This Row],[Target_Production_t]]*((8-ProductionData[[#This Row],[Downtime_hr]])/8))</f>
        <v>2.0093239810610424</v>
      </c>
      <c r="O123" s="4">
        <f>ProductionData[[#This Row],[Raw_Material_t]]/ProductionData[[#This Row],[Actual_Production_t]]</f>
        <v>1.5100168959691045</v>
      </c>
      <c r="P123" s="22">
        <f>ProductionData[[#This Row],[Energy_kWh]]/ProductionData[[#This Row],[Actual_Production_t]]</f>
        <v>83.602824040550331</v>
      </c>
      <c r="Q123" s="23">
        <f>ProductionData[[#This Row],[Defects_t]]/ProductionData[[#This Row],[Actual_Production_t]]</f>
        <v>2.4137098720733766E-3</v>
      </c>
      <c r="R123" t="str">
        <f>IF(ProductionData[[#This Row],[Achievement%]]&gt;=100%,"On Target",IF(ProductionData[[#This Row],[Achievement%]]&lt;90%,"Significantly Below Target","Below Target"))</f>
        <v>Significantly Below Target</v>
      </c>
    </row>
    <row r="124" spans="1:18" x14ac:dyDescent="0.25">
      <c r="A124">
        <v>120</v>
      </c>
      <c r="B124" s="3">
        <v>46062</v>
      </c>
      <c r="C124" t="s">
        <v>18</v>
      </c>
      <c r="D124" t="s">
        <v>19</v>
      </c>
      <c r="E124" s="4">
        <v>963</v>
      </c>
      <c r="F124" s="4">
        <v>848</v>
      </c>
      <c r="G124" s="4">
        <v>0.14000000000000001</v>
      </c>
      <c r="H124" t="s">
        <v>23</v>
      </c>
      <c r="I124" s="4">
        <v>1280.0999999999999</v>
      </c>
      <c r="J124" s="4">
        <v>73764.7</v>
      </c>
      <c r="K124">
        <v>1</v>
      </c>
      <c r="L124">
        <v>10</v>
      </c>
      <c r="M124" s="21">
        <f>(ProductionData[[#This Row],[Actual_Production_t]]/ProductionData[[#This Row],[Target_Production_t]])</f>
        <v>0.88058151609553481</v>
      </c>
      <c r="N124" s="5">
        <f>ProductionData[[#This Row],[Actual_Production_t]]/(ProductionData[[#This Row],[Target_Production_t]]*((8-ProductionData[[#This Row],[Downtime_hr]])/8))</f>
        <v>0.89626617414303789</v>
      </c>
      <c r="O124" s="4">
        <f>ProductionData[[#This Row],[Raw_Material_t]]/ProductionData[[#This Row],[Actual_Production_t]]</f>
        <v>1.5095518867924527</v>
      </c>
      <c r="P124" s="22">
        <f>ProductionData[[#This Row],[Energy_kWh]]/ProductionData[[#This Row],[Actual_Production_t]]</f>
        <v>86.98667452830189</v>
      </c>
      <c r="Q124" s="23">
        <f>ProductionData[[#This Row],[Defects_t]]/ProductionData[[#This Row],[Actual_Production_t]]</f>
        <v>1.1792452830188679E-3</v>
      </c>
      <c r="R124" t="str">
        <f>IF(ProductionData[[#This Row],[Achievement%]]&gt;=100%,"On Target",IF(ProductionData[[#This Row],[Achievement%]]&lt;90%,"Significantly Below Target","Below Target"))</f>
        <v>Significantly Below Target</v>
      </c>
    </row>
    <row r="125" spans="1:18" x14ac:dyDescent="0.25">
      <c r="A125">
        <v>121</v>
      </c>
      <c r="B125" s="3">
        <v>46063</v>
      </c>
      <c r="C125" t="s">
        <v>13</v>
      </c>
      <c r="D125" t="s">
        <v>14</v>
      </c>
      <c r="E125" s="4">
        <v>1164</v>
      </c>
      <c r="F125" s="4">
        <v>1178.5999999999999</v>
      </c>
      <c r="G125" s="4">
        <v>0.43</v>
      </c>
      <c r="H125" t="s">
        <v>23</v>
      </c>
      <c r="I125" s="4">
        <v>1783.8</v>
      </c>
      <c r="J125" s="4">
        <v>96030</v>
      </c>
      <c r="K125">
        <v>0</v>
      </c>
      <c r="L125">
        <v>9</v>
      </c>
      <c r="M125" s="21">
        <f>(ProductionData[[#This Row],[Actual_Production_t]]/ProductionData[[#This Row],[Target_Production_t]])</f>
        <v>1.0125429553264604</v>
      </c>
      <c r="N125" s="5">
        <f>ProductionData[[#This Row],[Actual_Production_t]]/(ProductionData[[#This Row],[Target_Production_t]]*((8-ProductionData[[#This Row],[Downtime_hr]])/8))</f>
        <v>1.0700586053648196</v>
      </c>
      <c r="O125" s="4">
        <f>ProductionData[[#This Row],[Raw_Material_t]]/ProductionData[[#This Row],[Actual_Production_t]]</f>
        <v>1.5134905820464959</v>
      </c>
      <c r="P125" s="22">
        <f>ProductionData[[#This Row],[Energy_kWh]]/ProductionData[[#This Row],[Actual_Production_t]]</f>
        <v>81.478024775156968</v>
      </c>
      <c r="Q125" s="23">
        <f>ProductionData[[#This Row],[Defects_t]]/ProductionData[[#This Row],[Actual_Production_t]]</f>
        <v>0</v>
      </c>
      <c r="R125" t="str">
        <f>IF(ProductionData[[#This Row],[Achievement%]]&gt;=100%,"On Target",IF(ProductionData[[#This Row],[Achievement%]]&lt;90%,"Significantly Below Target","Below Target"))</f>
        <v>On Target</v>
      </c>
    </row>
    <row r="126" spans="1:18" x14ac:dyDescent="0.25">
      <c r="A126">
        <v>122</v>
      </c>
      <c r="B126" s="3">
        <v>46063</v>
      </c>
      <c r="C126" t="s">
        <v>16</v>
      </c>
      <c r="D126" t="s">
        <v>17</v>
      </c>
      <c r="E126" s="4">
        <v>1041</v>
      </c>
      <c r="F126" s="4">
        <v>953.9</v>
      </c>
      <c r="G126" s="4">
        <v>2.2000000000000002</v>
      </c>
      <c r="H126" t="s">
        <v>20</v>
      </c>
      <c r="I126" s="4">
        <v>1435.4</v>
      </c>
      <c r="J126" s="4">
        <v>75583.100000000006</v>
      </c>
      <c r="K126">
        <v>5</v>
      </c>
      <c r="L126">
        <v>10</v>
      </c>
      <c r="M126" s="21">
        <f>(ProductionData[[#This Row],[Actual_Production_t]]/ProductionData[[#This Row],[Target_Production_t]])</f>
        <v>0.91633045148895287</v>
      </c>
      <c r="N126" s="5">
        <f>ProductionData[[#This Row],[Actual_Production_t]]/(ProductionData[[#This Row],[Target_Production_t]]*((8-ProductionData[[#This Row],[Downtime_hr]])/8))</f>
        <v>1.2639040710192453</v>
      </c>
      <c r="O126" s="4">
        <f>ProductionData[[#This Row],[Raw_Material_t]]/ProductionData[[#This Row],[Actual_Production_t]]</f>
        <v>1.5047698920222248</v>
      </c>
      <c r="P126" s="22">
        <f>ProductionData[[#This Row],[Energy_kWh]]/ProductionData[[#This Row],[Actual_Production_t]]</f>
        <v>79.235873781318801</v>
      </c>
      <c r="Q126" s="23">
        <f>ProductionData[[#This Row],[Defects_t]]/ProductionData[[#This Row],[Actual_Production_t]]</f>
        <v>5.241639584862145E-3</v>
      </c>
      <c r="R126" t="str">
        <f>IF(ProductionData[[#This Row],[Achievement%]]&gt;=100%,"On Target",IF(ProductionData[[#This Row],[Achievement%]]&lt;90%,"Significantly Below Target","Below Target"))</f>
        <v>Below Target</v>
      </c>
    </row>
    <row r="127" spans="1:18" x14ac:dyDescent="0.25">
      <c r="A127">
        <v>123</v>
      </c>
      <c r="B127" s="3">
        <v>46063</v>
      </c>
      <c r="C127" t="s">
        <v>18</v>
      </c>
      <c r="D127" t="s">
        <v>19</v>
      </c>
      <c r="E127" s="4">
        <v>1007</v>
      </c>
      <c r="F127" s="4">
        <v>899.8</v>
      </c>
      <c r="G127" s="4">
        <v>1.94</v>
      </c>
      <c r="H127" t="s">
        <v>22</v>
      </c>
      <c r="I127" s="4">
        <v>1349.4</v>
      </c>
      <c r="J127" s="4">
        <v>70132.2</v>
      </c>
      <c r="K127">
        <v>2</v>
      </c>
      <c r="L127">
        <v>7</v>
      </c>
      <c r="M127" s="21">
        <f>(ProductionData[[#This Row],[Actual_Production_t]]/ProductionData[[#This Row],[Target_Production_t]])</f>
        <v>0.89354518371400193</v>
      </c>
      <c r="N127" s="5">
        <f>ProductionData[[#This Row],[Actual_Production_t]]/(ProductionData[[#This Row],[Target_Production_t]]*((8-ProductionData[[#This Row],[Downtime_hr]])/8))</f>
        <v>1.1795976022627088</v>
      </c>
      <c r="O127" s="4">
        <f>ProductionData[[#This Row],[Raw_Material_t]]/ProductionData[[#This Row],[Actual_Production_t]]</f>
        <v>1.4996665925761281</v>
      </c>
      <c r="P127" s="22">
        <f>ProductionData[[#This Row],[Energy_kWh]]/ProductionData[[#This Row],[Actual_Production_t]]</f>
        <v>77.941987108246281</v>
      </c>
      <c r="Q127" s="23">
        <f>ProductionData[[#This Row],[Defects_t]]/ProductionData[[#This Row],[Actual_Production_t]]</f>
        <v>2.2227161591464773E-3</v>
      </c>
      <c r="R127" t="str">
        <f>IF(ProductionData[[#This Row],[Achievement%]]&gt;=100%,"On Target",IF(ProductionData[[#This Row],[Achievement%]]&lt;90%,"Significantly Below Target","Below Target"))</f>
        <v>Significantly Below Target</v>
      </c>
    </row>
    <row r="128" spans="1:18" x14ac:dyDescent="0.25">
      <c r="A128">
        <v>124</v>
      </c>
      <c r="B128" s="3">
        <v>46064</v>
      </c>
      <c r="C128" t="s">
        <v>13</v>
      </c>
      <c r="D128" t="s">
        <v>19</v>
      </c>
      <c r="E128" s="4">
        <v>999</v>
      </c>
      <c r="F128" s="4">
        <v>995</v>
      </c>
      <c r="G128" s="4">
        <v>1.1399999999999999</v>
      </c>
      <c r="H128" t="s">
        <v>21</v>
      </c>
      <c r="I128" s="4">
        <v>1523.9</v>
      </c>
      <c r="J128" s="4">
        <v>84905.600000000006</v>
      </c>
      <c r="K128">
        <v>3</v>
      </c>
      <c r="L128">
        <v>10</v>
      </c>
      <c r="M128" s="21">
        <f>(ProductionData[[#This Row],[Actual_Production_t]]/ProductionData[[#This Row],[Target_Production_t]])</f>
        <v>0.99599599599599598</v>
      </c>
      <c r="N128" s="5">
        <f>ProductionData[[#This Row],[Actual_Production_t]]/(ProductionData[[#This Row],[Target_Production_t]]*((8-ProductionData[[#This Row],[Downtime_hr]])/8))</f>
        <v>1.1615113655929983</v>
      </c>
      <c r="O128" s="4">
        <f>ProductionData[[#This Row],[Raw_Material_t]]/ProductionData[[#This Row],[Actual_Production_t]]</f>
        <v>1.5315577889447236</v>
      </c>
      <c r="P128" s="22">
        <f>ProductionData[[#This Row],[Energy_kWh]]/ProductionData[[#This Row],[Actual_Production_t]]</f>
        <v>85.332261306532672</v>
      </c>
      <c r="Q128" s="23">
        <f>ProductionData[[#This Row],[Defects_t]]/ProductionData[[#This Row],[Actual_Production_t]]</f>
        <v>3.015075376884422E-3</v>
      </c>
      <c r="R128" t="str">
        <f>IF(ProductionData[[#This Row],[Achievement%]]&gt;=100%,"On Target",IF(ProductionData[[#This Row],[Achievement%]]&lt;90%,"Significantly Below Target","Below Target"))</f>
        <v>Below Target</v>
      </c>
    </row>
    <row r="129" spans="1:18" x14ac:dyDescent="0.25">
      <c r="A129">
        <v>125</v>
      </c>
      <c r="B129" s="3">
        <v>46064</v>
      </c>
      <c r="C129" t="s">
        <v>16</v>
      </c>
      <c r="D129" t="s">
        <v>17</v>
      </c>
      <c r="E129" s="4">
        <v>1090</v>
      </c>
      <c r="F129" s="4">
        <v>863.7</v>
      </c>
      <c r="G129" s="4">
        <v>4.6900000000000004</v>
      </c>
      <c r="H129" t="s">
        <v>22</v>
      </c>
      <c r="I129" s="4">
        <v>1352.4</v>
      </c>
      <c r="J129" s="4">
        <v>73219.5</v>
      </c>
      <c r="K129">
        <v>1</v>
      </c>
      <c r="L129">
        <v>12</v>
      </c>
      <c r="M129" s="21">
        <f>(ProductionData[[#This Row],[Actual_Production_t]]/ProductionData[[#This Row],[Target_Production_t]])</f>
        <v>0.79238532110091753</v>
      </c>
      <c r="N129" s="5">
        <f>ProductionData[[#This Row],[Actual_Production_t]]/(ProductionData[[#This Row],[Target_Production_t]]*((8-ProductionData[[#This Row],[Downtime_hr]])/8))</f>
        <v>1.9151306854402841</v>
      </c>
      <c r="O129" s="4">
        <f>ProductionData[[#This Row],[Raw_Material_t]]/ProductionData[[#This Row],[Actual_Production_t]]</f>
        <v>1.5658214657867315</v>
      </c>
      <c r="P129" s="22">
        <f>ProductionData[[#This Row],[Energy_kWh]]/ProductionData[[#This Row],[Actual_Production_t]]</f>
        <v>84.774227162209101</v>
      </c>
      <c r="Q129" s="23">
        <f>ProductionData[[#This Row],[Defects_t]]/ProductionData[[#This Row],[Actual_Production_t]]</f>
        <v>1.157809424568716E-3</v>
      </c>
      <c r="R129" t="str">
        <f>IF(ProductionData[[#This Row],[Achievement%]]&gt;=100%,"On Target",IF(ProductionData[[#This Row],[Achievement%]]&lt;90%,"Significantly Below Target","Below Target"))</f>
        <v>Significantly Below Target</v>
      </c>
    </row>
    <row r="130" spans="1:18" x14ac:dyDescent="0.25">
      <c r="A130">
        <v>126</v>
      </c>
      <c r="B130" s="3">
        <v>46064</v>
      </c>
      <c r="C130" t="s">
        <v>18</v>
      </c>
      <c r="D130" t="s">
        <v>17</v>
      </c>
      <c r="E130" s="4">
        <v>1025</v>
      </c>
      <c r="F130" s="4">
        <v>862.3</v>
      </c>
      <c r="G130" s="4">
        <v>2.17</v>
      </c>
      <c r="H130" t="s">
        <v>24</v>
      </c>
      <c r="I130" s="4">
        <v>1288</v>
      </c>
      <c r="J130" s="4">
        <v>73433.899999999994</v>
      </c>
      <c r="K130">
        <v>1</v>
      </c>
      <c r="L130">
        <v>12</v>
      </c>
      <c r="M130" s="21">
        <f>(ProductionData[[#This Row],[Actual_Production_t]]/ProductionData[[#This Row],[Target_Production_t]])</f>
        <v>0.8412682926829268</v>
      </c>
      <c r="N130" s="5">
        <f>ProductionData[[#This Row],[Actual_Production_t]]/(ProductionData[[#This Row],[Target_Production_t]]*((8-ProductionData[[#This Row],[Downtime_hr]])/8))</f>
        <v>1.1543990294105342</v>
      </c>
      <c r="O130" s="4">
        <f>ProductionData[[#This Row],[Raw_Material_t]]/ProductionData[[#This Row],[Actual_Production_t]]</f>
        <v>1.4936796938420505</v>
      </c>
      <c r="P130" s="22">
        <f>ProductionData[[#This Row],[Energy_kWh]]/ProductionData[[#This Row],[Actual_Production_t]]</f>
        <v>85.160500985735823</v>
      </c>
      <c r="Q130" s="23">
        <f>ProductionData[[#This Row],[Defects_t]]/ProductionData[[#This Row],[Actual_Production_t]]</f>
        <v>1.1596892032935174E-3</v>
      </c>
      <c r="R130" t="str">
        <f>IF(ProductionData[[#This Row],[Achievement%]]&gt;=100%,"On Target",IF(ProductionData[[#This Row],[Achievement%]]&lt;90%,"Significantly Below Target","Below Target"))</f>
        <v>Significantly Below Target</v>
      </c>
    </row>
    <row r="131" spans="1:18" x14ac:dyDescent="0.25">
      <c r="A131">
        <v>127</v>
      </c>
      <c r="B131" s="3">
        <v>46065</v>
      </c>
      <c r="C131" t="s">
        <v>13</v>
      </c>
      <c r="D131" t="s">
        <v>14</v>
      </c>
      <c r="E131" s="4">
        <v>1141</v>
      </c>
      <c r="F131" s="4">
        <v>1140.5</v>
      </c>
      <c r="G131" s="4">
        <v>0.35</v>
      </c>
      <c r="H131" t="s">
        <v>23</v>
      </c>
      <c r="I131" s="4">
        <v>1702.3</v>
      </c>
      <c r="J131" s="4">
        <v>87451.5</v>
      </c>
      <c r="K131">
        <v>3</v>
      </c>
      <c r="L131">
        <v>10</v>
      </c>
      <c r="M131" s="21">
        <f>(ProductionData[[#This Row],[Actual_Production_t]]/ProductionData[[#This Row],[Target_Production_t]])</f>
        <v>0.99956178790534622</v>
      </c>
      <c r="N131" s="5">
        <f>ProductionData[[#This Row],[Actual_Production_t]]/(ProductionData[[#This Row],[Target_Production_t]]*((8-ProductionData[[#This Row],[Downtime_hr]])/8))</f>
        <v>1.045293372972911</v>
      </c>
      <c r="O131" s="4">
        <f>ProductionData[[#This Row],[Raw_Material_t]]/ProductionData[[#This Row],[Actual_Production_t]]</f>
        <v>1.4925909688733012</v>
      </c>
      <c r="P131" s="22">
        <f>ProductionData[[#This Row],[Energy_kWh]]/ProductionData[[#This Row],[Actual_Production_t]]</f>
        <v>76.678211310828587</v>
      </c>
      <c r="Q131" s="23">
        <f>ProductionData[[#This Row],[Defects_t]]/ProductionData[[#This Row],[Actual_Production_t]]</f>
        <v>2.6304252520824201E-3</v>
      </c>
      <c r="R131" t="str">
        <f>IF(ProductionData[[#This Row],[Achievement%]]&gt;=100%,"On Target",IF(ProductionData[[#This Row],[Achievement%]]&lt;90%,"Significantly Below Target","Below Target"))</f>
        <v>Below Target</v>
      </c>
    </row>
    <row r="132" spans="1:18" x14ac:dyDescent="0.25">
      <c r="A132">
        <v>128</v>
      </c>
      <c r="B132" s="3">
        <v>46065</v>
      </c>
      <c r="C132" t="s">
        <v>16</v>
      </c>
      <c r="D132" t="s">
        <v>14</v>
      </c>
      <c r="E132" s="4">
        <v>1135</v>
      </c>
      <c r="F132" s="4">
        <v>1199.8</v>
      </c>
      <c r="G132" s="4">
        <v>0.25</v>
      </c>
      <c r="H132" t="s">
        <v>23</v>
      </c>
      <c r="I132" s="4">
        <v>1827.2</v>
      </c>
      <c r="J132" s="4">
        <v>97910.5</v>
      </c>
      <c r="K132">
        <v>6</v>
      </c>
      <c r="L132">
        <v>11</v>
      </c>
      <c r="M132" s="21">
        <f>(ProductionData[[#This Row],[Actual_Production_t]]/ProductionData[[#This Row],[Target_Production_t]])</f>
        <v>1.0570925110132159</v>
      </c>
      <c r="N132" s="5">
        <f>ProductionData[[#This Row],[Actual_Production_t]]/(ProductionData[[#This Row],[Target_Production_t]]*((8-ProductionData[[#This Row],[Downtime_hr]])/8))</f>
        <v>1.091192269432997</v>
      </c>
      <c r="O132" s="4">
        <f>ProductionData[[#This Row],[Raw_Material_t]]/ProductionData[[#This Row],[Actual_Production_t]]</f>
        <v>1.5229204867477915</v>
      </c>
      <c r="P132" s="22">
        <f>ProductionData[[#This Row],[Energy_kWh]]/ProductionData[[#This Row],[Actual_Production_t]]</f>
        <v>81.605684280713461</v>
      </c>
      <c r="Q132" s="23">
        <f>ProductionData[[#This Row],[Defects_t]]/ProductionData[[#This Row],[Actual_Production_t]]</f>
        <v>5.0008334722453744E-3</v>
      </c>
      <c r="R132" t="str">
        <f>IF(ProductionData[[#This Row],[Achievement%]]&gt;=100%,"On Target",IF(ProductionData[[#This Row],[Achievement%]]&lt;90%,"Significantly Below Target","Below Target"))</f>
        <v>On Target</v>
      </c>
    </row>
    <row r="133" spans="1:18" x14ac:dyDescent="0.25">
      <c r="A133">
        <v>129</v>
      </c>
      <c r="B133" s="3">
        <v>46065</v>
      </c>
      <c r="C133" t="s">
        <v>18</v>
      </c>
      <c r="D133" t="s">
        <v>14</v>
      </c>
      <c r="E133" s="4">
        <v>1111</v>
      </c>
      <c r="F133" s="4">
        <v>860.8</v>
      </c>
      <c r="G133" s="4">
        <v>3.68</v>
      </c>
      <c r="H133" t="s">
        <v>20</v>
      </c>
      <c r="I133" s="4">
        <v>1335.8</v>
      </c>
      <c r="J133" s="4">
        <v>65081.2</v>
      </c>
      <c r="K133">
        <v>3</v>
      </c>
      <c r="L133">
        <v>9</v>
      </c>
      <c r="M133" s="21">
        <f>(ProductionData[[#This Row],[Actual_Production_t]]/ProductionData[[#This Row],[Target_Production_t]])</f>
        <v>0.77479747974797475</v>
      </c>
      <c r="N133" s="5">
        <f>ProductionData[[#This Row],[Actual_Production_t]]/(ProductionData[[#This Row],[Target_Production_t]]*((8-ProductionData[[#This Row],[Downtime_hr]])/8))</f>
        <v>1.4348101476814346</v>
      </c>
      <c r="O133" s="4">
        <f>ProductionData[[#This Row],[Raw_Material_t]]/ProductionData[[#This Row],[Actual_Production_t]]</f>
        <v>1.5518122676579926</v>
      </c>
      <c r="P133" s="22">
        <f>ProductionData[[#This Row],[Energy_kWh]]/ProductionData[[#This Row],[Actual_Production_t]]</f>
        <v>75.605483271375462</v>
      </c>
      <c r="Q133" s="23">
        <f>ProductionData[[#This Row],[Defects_t]]/ProductionData[[#This Row],[Actual_Production_t]]</f>
        <v>3.4851301115241639E-3</v>
      </c>
      <c r="R133" t="str">
        <f>IF(ProductionData[[#This Row],[Achievement%]]&gt;=100%,"On Target",IF(ProductionData[[#This Row],[Achievement%]]&lt;90%,"Significantly Below Target","Below Target"))</f>
        <v>Significantly Below Target</v>
      </c>
    </row>
    <row r="134" spans="1:18" x14ac:dyDescent="0.25">
      <c r="A134">
        <v>130</v>
      </c>
      <c r="B134" s="3">
        <v>46066</v>
      </c>
      <c r="C134" t="s">
        <v>13</v>
      </c>
      <c r="D134" t="s">
        <v>14</v>
      </c>
      <c r="E134" s="4">
        <v>1134</v>
      </c>
      <c r="F134" s="4">
        <v>1130.0999999999999</v>
      </c>
      <c r="G134" s="4">
        <v>0.84</v>
      </c>
      <c r="H134" t="s">
        <v>21</v>
      </c>
      <c r="I134" s="4">
        <v>1655.2</v>
      </c>
      <c r="J134" s="4">
        <v>92832.4</v>
      </c>
      <c r="K134">
        <v>2</v>
      </c>
      <c r="L134">
        <v>10</v>
      </c>
      <c r="M134" s="21">
        <f>(ProductionData[[#This Row],[Actual_Production_t]]/ProductionData[[#This Row],[Target_Production_t]])</f>
        <v>0.99656084656084654</v>
      </c>
      <c r="N134" s="5">
        <f>ProductionData[[#This Row],[Actual_Production_t]]/(ProductionData[[#This Row],[Target_Production_t]]*((8-ProductionData[[#This Row],[Downtime_hr]])/8))</f>
        <v>1.1134758062132362</v>
      </c>
      <c r="O134" s="4">
        <f>ProductionData[[#This Row],[Raw_Material_t]]/ProductionData[[#This Row],[Actual_Production_t]]</f>
        <v>1.4646491460932662</v>
      </c>
      <c r="P134" s="22">
        <f>ProductionData[[#This Row],[Energy_kWh]]/ProductionData[[#This Row],[Actual_Production_t]]</f>
        <v>82.145296876382616</v>
      </c>
      <c r="Q134" s="23">
        <f>ProductionData[[#This Row],[Defects_t]]/ProductionData[[#This Row],[Actual_Production_t]]</f>
        <v>1.7697548889478809E-3</v>
      </c>
      <c r="R134" t="str">
        <f>IF(ProductionData[[#This Row],[Achievement%]]&gt;=100%,"On Target",IF(ProductionData[[#This Row],[Achievement%]]&lt;90%,"Significantly Below Target","Below Target"))</f>
        <v>Below Target</v>
      </c>
    </row>
    <row r="135" spans="1:18" x14ac:dyDescent="0.25">
      <c r="A135">
        <v>131</v>
      </c>
      <c r="B135" s="3">
        <v>46066</v>
      </c>
      <c r="C135" t="s">
        <v>16</v>
      </c>
      <c r="D135" t="s">
        <v>14</v>
      </c>
      <c r="E135" s="4">
        <v>1187</v>
      </c>
      <c r="F135" s="4">
        <v>1189.5</v>
      </c>
      <c r="G135" s="4">
        <v>0</v>
      </c>
      <c r="H135" t="s">
        <v>23</v>
      </c>
      <c r="I135" s="4">
        <v>1810.1</v>
      </c>
      <c r="J135" s="4">
        <v>96444.1</v>
      </c>
      <c r="K135">
        <v>3</v>
      </c>
      <c r="L135">
        <v>7</v>
      </c>
      <c r="M135" s="21">
        <f>(ProductionData[[#This Row],[Actual_Production_t]]/ProductionData[[#This Row],[Target_Production_t]])</f>
        <v>1.0021061499578769</v>
      </c>
      <c r="N135" s="5">
        <f>ProductionData[[#This Row],[Actual_Production_t]]/(ProductionData[[#This Row],[Target_Production_t]]*((8-ProductionData[[#This Row],[Downtime_hr]])/8))</f>
        <v>1.0021061499578769</v>
      </c>
      <c r="O135" s="4">
        <f>ProductionData[[#This Row],[Raw_Material_t]]/ProductionData[[#This Row],[Actual_Production_t]]</f>
        <v>1.5217318200924757</v>
      </c>
      <c r="P135" s="22">
        <f>ProductionData[[#This Row],[Energy_kWh]]/ProductionData[[#This Row],[Actual_Production_t]]</f>
        <v>81.079529213955453</v>
      </c>
      <c r="Q135" s="23">
        <f>ProductionData[[#This Row],[Defects_t]]/ProductionData[[#This Row],[Actual_Production_t]]</f>
        <v>2.5220680958385876E-3</v>
      </c>
      <c r="R135" t="str">
        <f>IF(ProductionData[[#This Row],[Achievement%]]&gt;=100%,"On Target",IF(ProductionData[[#This Row],[Achievement%]]&lt;90%,"Significantly Below Target","Below Target"))</f>
        <v>On Target</v>
      </c>
    </row>
    <row r="136" spans="1:18" x14ac:dyDescent="0.25">
      <c r="A136">
        <v>132</v>
      </c>
      <c r="B136" s="3">
        <v>46066</v>
      </c>
      <c r="C136" t="s">
        <v>18</v>
      </c>
      <c r="D136" t="s">
        <v>14</v>
      </c>
      <c r="E136" s="4">
        <v>1120</v>
      </c>
      <c r="F136" s="4">
        <v>908.9</v>
      </c>
      <c r="G136" s="4">
        <v>3.87</v>
      </c>
      <c r="H136" t="s">
        <v>22</v>
      </c>
      <c r="I136" s="4">
        <v>1358.9</v>
      </c>
      <c r="J136" s="4">
        <v>77632.899999999994</v>
      </c>
      <c r="K136">
        <v>3</v>
      </c>
      <c r="L136">
        <v>7</v>
      </c>
      <c r="M136" s="21">
        <f>(ProductionData[[#This Row],[Actual_Production_t]]/ProductionData[[#This Row],[Target_Production_t]])</f>
        <v>0.81151785714285707</v>
      </c>
      <c r="N136" s="5">
        <f>ProductionData[[#This Row],[Actual_Production_t]]/(ProductionData[[#This Row],[Target_Production_t]]*((8-ProductionData[[#This Row],[Downtime_hr]])/8))</f>
        <v>1.5719474230370116</v>
      </c>
      <c r="O136" s="4">
        <f>ProductionData[[#This Row],[Raw_Material_t]]/ProductionData[[#This Row],[Actual_Production_t]]</f>
        <v>1.4951039718340853</v>
      </c>
      <c r="P136" s="22">
        <f>ProductionData[[#This Row],[Energy_kWh]]/ProductionData[[#This Row],[Actual_Production_t]]</f>
        <v>85.414126966662991</v>
      </c>
      <c r="Q136" s="23">
        <f>ProductionData[[#This Row],[Defects_t]]/ProductionData[[#This Row],[Actual_Production_t]]</f>
        <v>3.3006931455605679E-3</v>
      </c>
      <c r="R136" t="str">
        <f>IF(ProductionData[[#This Row],[Achievement%]]&gt;=100%,"On Target",IF(ProductionData[[#This Row],[Achievement%]]&lt;90%,"Significantly Below Target","Below Target"))</f>
        <v>Significantly Below Target</v>
      </c>
    </row>
    <row r="137" spans="1:18" x14ac:dyDescent="0.25">
      <c r="A137">
        <v>133</v>
      </c>
      <c r="B137" s="3">
        <v>46067</v>
      </c>
      <c r="C137" t="s">
        <v>13</v>
      </c>
      <c r="D137" t="s">
        <v>14</v>
      </c>
      <c r="E137" s="4">
        <v>1161</v>
      </c>
      <c r="F137" s="4">
        <v>1124.5999999999999</v>
      </c>
      <c r="G137" s="4">
        <v>0.36</v>
      </c>
      <c r="H137" t="s">
        <v>23</v>
      </c>
      <c r="I137" s="4">
        <v>1692.3</v>
      </c>
      <c r="J137" s="4">
        <v>98185.3</v>
      </c>
      <c r="K137">
        <v>4</v>
      </c>
      <c r="L137">
        <v>11</v>
      </c>
      <c r="M137" s="21">
        <f>(ProductionData[[#This Row],[Actual_Production_t]]/ProductionData[[#This Row],[Target_Production_t]])</f>
        <v>0.96864771748492673</v>
      </c>
      <c r="N137" s="5">
        <f>ProductionData[[#This Row],[Actual_Production_t]]/(ProductionData[[#This Row],[Target_Production_t]]*((8-ProductionData[[#This Row],[Downtime_hr]])/8))</f>
        <v>1.014290803649138</v>
      </c>
      <c r="O137" s="4">
        <f>ProductionData[[#This Row],[Raw_Material_t]]/ProductionData[[#This Row],[Actual_Production_t]]</f>
        <v>1.5048017072736974</v>
      </c>
      <c r="P137" s="22">
        <f>ProductionData[[#This Row],[Energy_kWh]]/ProductionData[[#This Row],[Actual_Production_t]]</f>
        <v>87.306864662991302</v>
      </c>
      <c r="Q137" s="23">
        <f>ProductionData[[#This Row],[Defects_t]]/ProductionData[[#This Row],[Actual_Production_t]]</f>
        <v>3.556820202738752E-3</v>
      </c>
      <c r="R137" t="str">
        <f>IF(ProductionData[[#This Row],[Achievement%]]&gt;=100%,"On Target",IF(ProductionData[[#This Row],[Achievement%]]&lt;90%,"Significantly Below Target","Below Target"))</f>
        <v>Below Target</v>
      </c>
    </row>
    <row r="138" spans="1:18" x14ac:dyDescent="0.25">
      <c r="A138">
        <v>134</v>
      </c>
      <c r="B138" s="3">
        <v>46067</v>
      </c>
      <c r="C138" t="s">
        <v>16</v>
      </c>
      <c r="D138" t="s">
        <v>17</v>
      </c>
      <c r="E138" s="4">
        <v>1064</v>
      </c>
      <c r="F138" s="4">
        <v>819</v>
      </c>
      <c r="G138" s="4">
        <v>2.93</v>
      </c>
      <c r="H138" t="s">
        <v>15</v>
      </c>
      <c r="I138" s="4">
        <v>1229.2</v>
      </c>
      <c r="J138" s="4">
        <v>68439.5</v>
      </c>
      <c r="K138">
        <v>2</v>
      </c>
      <c r="L138">
        <v>8</v>
      </c>
      <c r="M138" s="21">
        <f>(ProductionData[[#This Row],[Actual_Production_t]]/ProductionData[[#This Row],[Target_Production_t]])</f>
        <v>0.76973684210526316</v>
      </c>
      <c r="N138" s="5">
        <f>ProductionData[[#This Row],[Actual_Production_t]]/(ProductionData[[#This Row],[Target_Production_t]]*((8-ProductionData[[#This Row],[Downtime_hr]])/8))</f>
        <v>1.214574898785425</v>
      </c>
      <c r="O138" s="4">
        <f>ProductionData[[#This Row],[Raw_Material_t]]/ProductionData[[#This Row],[Actual_Production_t]]</f>
        <v>1.5008547008547009</v>
      </c>
      <c r="P138" s="22">
        <f>ProductionData[[#This Row],[Energy_kWh]]/ProductionData[[#This Row],[Actual_Production_t]]</f>
        <v>83.564713064713061</v>
      </c>
      <c r="Q138" s="23">
        <f>ProductionData[[#This Row],[Defects_t]]/ProductionData[[#This Row],[Actual_Production_t]]</f>
        <v>2.442002442002442E-3</v>
      </c>
      <c r="R138" t="str">
        <f>IF(ProductionData[[#This Row],[Achievement%]]&gt;=100%,"On Target",IF(ProductionData[[#This Row],[Achievement%]]&lt;90%,"Significantly Below Target","Below Target"))</f>
        <v>Significantly Below Target</v>
      </c>
    </row>
    <row r="139" spans="1:18" x14ac:dyDescent="0.25">
      <c r="A139">
        <v>135</v>
      </c>
      <c r="B139" s="3">
        <v>46067</v>
      </c>
      <c r="C139" t="s">
        <v>18</v>
      </c>
      <c r="D139" t="s">
        <v>17</v>
      </c>
      <c r="E139" s="4">
        <v>1062</v>
      </c>
      <c r="F139" s="4">
        <v>944.7</v>
      </c>
      <c r="G139" s="4">
        <v>0.51</v>
      </c>
      <c r="H139" t="s">
        <v>21</v>
      </c>
      <c r="I139" s="4">
        <v>1475.6</v>
      </c>
      <c r="J139" s="4">
        <v>76869</v>
      </c>
      <c r="K139">
        <v>1</v>
      </c>
      <c r="L139">
        <v>10</v>
      </c>
      <c r="M139" s="21">
        <f>(ProductionData[[#This Row],[Actual_Production_t]]/ProductionData[[#This Row],[Target_Production_t]])</f>
        <v>0.88954802259887011</v>
      </c>
      <c r="N139" s="5">
        <f>ProductionData[[#This Row],[Actual_Production_t]]/(ProductionData[[#This Row],[Target_Production_t]]*((8-ProductionData[[#This Row],[Downtime_hr]])/8))</f>
        <v>0.9501180481696877</v>
      </c>
      <c r="O139" s="4">
        <f>ProductionData[[#This Row],[Raw_Material_t]]/ProductionData[[#This Row],[Actual_Production_t]]</f>
        <v>1.561977347306023</v>
      </c>
      <c r="P139" s="22">
        <f>ProductionData[[#This Row],[Energy_kWh]]/ProductionData[[#This Row],[Actual_Production_t]]</f>
        <v>81.368688472530962</v>
      </c>
      <c r="Q139" s="23">
        <f>ProductionData[[#This Row],[Defects_t]]/ProductionData[[#This Row],[Actual_Production_t]]</f>
        <v>1.0585371017254154E-3</v>
      </c>
      <c r="R139" t="str">
        <f>IF(ProductionData[[#This Row],[Achievement%]]&gt;=100%,"On Target",IF(ProductionData[[#This Row],[Achievement%]]&lt;90%,"Significantly Below Target","Below Target"))</f>
        <v>Significantly Below Target</v>
      </c>
    </row>
    <row r="140" spans="1:18" x14ac:dyDescent="0.25">
      <c r="A140">
        <v>136</v>
      </c>
      <c r="B140" s="3">
        <v>46068</v>
      </c>
      <c r="C140" t="s">
        <v>13</v>
      </c>
      <c r="D140" t="s">
        <v>19</v>
      </c>
      <c r="E140" s="4">
        <v>991</v>
      </c>
      <c r="F140" s="4">
        <v>1043.5999999999999</v>
      </c>
      <c r="G140" s="4">
        <v>7.0000000000000007E-2</v>
      </c>
      <c r="H140" t="s">
        <v>23</v>
      </c>
      <c r="I140" s="4">
        <v>1596.9</v>
      </c>
      <c r="J140" s="4">
        <v>82525.7</v>
      </c>
      <c r="K140">
        <v>3</v>
      </c>
      <c r="L140">
        <v>8</v>
      </c>
      <c r="M140" s="21">
        <f>(ProductionData[[#This Row],[Actual_Production_t]]/ProductionData[[#This Row],[Target_Production_t]])</f>
        <v>1.0530776992936426</v>
      </c>
      <c r="N140" s="5">
        <f>ProductionData[[#This Row],[Actual_Production_t]]/(ProductionData[[#This Row],[Target_Production_t]]*((8-ProductionData[[#This Row],[Downtime_hr]])/8))</f>
        <v>1.0623734671310392</v>
      </c>
      <c r="O140" s="4">
        <f>ProductionData[[#This Row],[Raw_Material_t]]/ProductionData[[#This Row],[Actual_Production_t]]</f>
        <v>1.5301839785358378</v>
      </c>
      <c r="P140" s="22">
        <f>ProductionData[[#This Row],[Energy_kWh]]/ProductionData[[#This Row],[Actual_Production_t]]</f>
        <v>79.077903411268693</v>
      </c>
      <c r="Q140" s="23">
        <f>ProductionData[[#This Row],[Defects_t]]/ProductionData[[#This Row],[Actual_Production_t]]</f>
        <v>2.874664622460713E-3</v>
      </c>
      <c r="R140" t="str">
        <f>IF(ProductionData[[#This Row],[Achievement%]]&gt;=100%,"On Target",IF(ProductionData[[#This Row],[Achievement%]]&lt;90%,"Significantly Below Target","Below Target"))</f>
        <v>On Target</v>
      </c>
    </row>
    <row r="141" spans="1:18" x14ac:dyDescent="0.25">
      <c r="A141">
        <v>137</v>
      </c>
      <c r="B141" s="3">
        <v>46068</v>
      </c>
      <c r="C141" t="s">
        <v>16</v>
      </c>
      <c r="D141" t="s">
        <v>14</v>
      </c>
      <c r="E141" s="4">
        <v>1169</v>
      </c>
      <c r="F141" s="4">
        <v>1013.7</v>
      </c>
      <c r="G141" s="4">
        <v>3.2</v>
      </c>
      <c r="H141" t="s">
        <v>21</v>
      </c>
      <c r="I141" s="4">
        <v>1507.1</v>
      </c>
      <c r="J141" s="4">
        <v>74356.5</v>
      </c>
      <c r="K141">
        <v>4</v>
      </c>
      <c r="L141">
        <v>10</v>
      </c>
      <c r="M141" s="21">
        <f>(ProductionData[[#This Row],[Actual_Production_t]]/ProductionData[[#This Row],[Target_Production_t]])</f>
        <v>0.86715141146278873</v>
      </c>
      <c r="N141" s="5">
        <f>ProductionData[[#This Row],[Actual_Production_t]]/(ProductionData[[#This Row],[Target_Production_t]]*((8-ProductionData[[#This Row],[Downtime_hr]])/8))</f>
        <v>1.4452523524379812</v>
      </c>
      <c r="O141" s="4">
        <f>ProductionData[[#This Row],[Raw_Material_t]]/ProductionData[[#This Row],[Actual_Production_t]]</f>
        <v>1.4867317746867907</v>
      </c>
      <c r="P141" s="22">
        <f>ProductionData[[#This Row],[Energy_kWh]]/ProductionData[[#This Row],[Actual_Production_t]]</f>
        <v>73.351583308671195</v>
      </c>
      <c r="Q141" s="23">
        <f>ProductionData[[#This Row],[Defects_t]]/ProductionData[[#This Row],[Actual_Production_t]]</f>
        <v>3.9459406135937654E-3</v>
      </c>
      <c r="R141" t="str">
        <f>IF(ProductionData[[#This Row],[Achievement%]]&gt;=100%,"On Target",IF(ProductionData[[#This Row],[Achievement%]]&lt;90%,"Significantly Below Target","Below Target"))</f>
        <v>Significantly Below Target</v>
      </c>
    </row>
    <row r="142" spans="1:18" x14ac:dyDescent="0.25">
      <c r="A142">
        <v>138</v>
      </c>
      <c r="B142" s="3">
        <v>46068</v>
      </c>
      <c r="C142" t="s">
        <v>18</v>
      </c>
      <c r="D142" t="s">
        <v>17</v>
      </c>
      <c r="E142" s="4">
        <v>1017</v>
      </c>
      <c r="F142" s="4">
        <v>871.6</v>
      </c>
      <c r="G142" s="4">
        <v>1.57</v>
      </c>
      <c r="H142" t="s">
        <v>15</v>
      </c>
      <c r="I142" s="4">
        <v>1283.8</v>
      </c>
      <c r="J142" s="4">
        <v>68086.399999999994</v>
      </c>
      <c r="K142">
        <v>3</v>
      </c>
      <c r="L142">
        <v>9</v>
      </c>
      <c r="M142" s="21">
        <f>(ProductionData[[#This Row],[Actual_Production_t]]/ProductionData[[#This Row],[Target_Production_t]])</f>
        <v>0.85703048180924291</v>
      </c>
      <c r="N142" s="5">
        <f>ProductionData[[#This Row],[Actual_Production_t]]/(ProductionData[[#This Row],[Target_Production_t]]*((8-ProductionData[[#This Row],[Downtime_hr]])/8))</f>
        <v>1.066289868502946</v>
      </c>
      <c r="O142" s="4">
        <f>ProductionData[[#This Row],[Raw_Material_t]]/ProductionData[[#This Row],[Actual_Production_t]]</f>
        <v>1.4729233593391462</v>
      </c>
      <c r="P142" s="22">
        <f>ProductionData[[#This Row],[Energy_kWh]]/ProductionData[[#This Row],[Actual_Production_t]]</f>
        <v>78.116567232675536</v>
      </c>
      <c r="Q142" s="23">
        <f>ProductionData[[#This Row],[Defects_t]]/ProductionData[[#This Row],[Actual_Production_t]]</f>
        <v>3.4419458467186783E-3</v>
      </c>
      <c r="R142" t="str">
        <f>IF(ProductionData[[#This Row],[Achievement%]]&gt;=100%,"On Target",IF(ProductionData[[#This Row],[Achievement%]]&lt;90%,"Significantly Below Target","Below Target"))</f>
        <v>Significantly Below Target</v>
      </c>
    </row>
    <row r="143" spans="1:18" x14ac:dyDescent="0.25">
      <c r="A143">
        <v>139</v>
      </c>
      <c r="B143" s="3">
        <v>46069</v>
      </c>
      <c r="C143" t="s">
        <v>13</v>
      </c>
      <c r="D143" t="s">
        <v>14</v>
      </c>
      <c r="E143" s="4">
        <v>1114</v>
      </c>
      <c r="F143" s="4">
        <v>1087.8</v>
      </c>
      <c r="G143" s="4">
        <v>1.62</v>
      </c>
      <c r="H143" t="s">
        <v>22</v>
      </c>
      <c r="I143" s="4">
        <v>1691.4</v>
      </c>
      <c r="J143" s="4">
        <v>85909.8</v>
      </c>
      <c r="K143">
        <v>3</v>
      </c>
      <c r="L143">
        <v>12</v>
      </c>
      <c r="M143" s="21">
        <f>(ProductionData[[#This Row],[Actual_Production_t]]/ProductionData[[#This Row],[Target_Production_t]])</f>
        <v>0.97648114901256733</v>
      </c>
      <c r="N143" s="5">
        <f>ProductionData[[#This Row],[Actual_Production_t]]/(ProductionData[[#This Row],[Target_Production_t]]*((8-ProductionData[[#This Row],[Downtime_hr]])/8))</f>
        <v>1.2244277730565107</v>
      </c>
      <c r="O143" s="4">
        <f>ProductionData[[#This Row],[Raw_Material_t]]/ProductionData[[#This Row],[Actual_Production_t]]</f>
        <v>1.5548814120242693</v>
      </c>
      <c r="P143" s="22">
        <f>ProductionData[[#This Row],[Energy_kWh]]/ProductionData[[#This Row],[Actual_Production_t]]</f>
        <v>78.975730832873694</v>
      </c>
      <c r="Q143" s="23">
        <f>ProductionData[[#This Row],[Defects_t]]/ProductionData[[#This Row],[Actual_Production_t]]</f>
        <v>2.7578599007170436E-3</v>
      </c>
      <c r="R143" t="str">
        <f>IF(ProductionData[[#This Row],[Achievement%]]&gt;=100%,"On Target",IF(ProductionData[[#This Row],[Achievement%]]&lt;90%,"Significantly Below Target","Below Target"))</f>
        <v>Below Target</v>
      </c>
    </row>
    <row r="144" spans="1:18" x14ac:dyDescent="0.25">
      <c r="A144">
        <v>140</v>
      </c>
      <c r="B144" s="3">
        <v>46069</v>
      </c>
      <c r="C144" t="s">
        <v>16</v>
      </c>
      <c r="D144" t="s">
        <v>14</v>
      </c>
      <c r="E144" s="4">
        <v>1150</v>
      </c>
      <c r="F144" s="4">
        <v>1142.5999999999999</v>
      </c>
      <c r="G144" s="4">
        <v>0.16</v>
      </c>
      <c r="H144" t="s">
        <v>23</v>
      </c>
      <c r="I144" s="4">
        <v>1733.8</v>
      </c>
      <c r="J144" s="4">
        <v>88812.7</v>
      </c>
      <c r="K144">
        <v>3</v>
      </c>
      <c r="L144">
        <v>10</v>
      </c>
      <c r="M144" s="21">
        <f>(ProductionData[[#This Row],[Actual_Production_t]]/ProductionData[[#This Row],[Target_Production_t]])</f>
        <v>0.99356521739130432</v>
      </c>
      <c r="N144" s="5">
        <f>ProductionData[[#This Row],[Actual_Production_t]]/(ProductionData[[#This Row],[Target_Production_t]]*((8-ProductionData[[#This Row],[Downtime_hr]])/8))</f>
        <v>1.0138420585625554</v>
      </c>
      <c r="O144" s="4">
        <f>ProductionData[[#This Row],[Raw_Material_t]]/ProductionData[[#This Row],[Actual_Production_t]]</f>
        <v>1.5174164186942063</v>
      </c>
      <c r="P144" s="22">
        <f>ProductionData[[#This Row],[Energy_kWh]]/ProductionData[[#This Row],[Actual_Production_t]]</f>
        <v>77.728601435322958</v>
      </c>
      <c r="Q144" s="23">
        <f>ProductionData[[#This Row],[Defects_t]]/ProductionData[[#This Row],[Actual_Production_t]]</f>
        <v>2.6255907579205325E-3</v>
      </c>
      <c r="R144" t="str">
        <f>IF(ProductionData[[#This Row],[Achievement%]]&gt;=100%,"On Target",IF(ProductionData[[#This Row],[Achievement%]]&lt;90%,"Significantly Below Target","Below Target"))</f>
        <v>Below Target</v>
      </c>
    </row>
    <row r="145" spans="1:18" x14ac:dyDescent="0.25">
      <c r="A145">
        <v>141</v>
      </c>
      <c r="B145" s="3">
        <v>46069</v>
      </c>
      <c r="C145" t="s">
        <v>18</v>
      </c>
      <c r="D145" t="s">
        <v>14</v>
      </c>
      <c r="E145" s="4">
        <v>1119</v>
      </c>
      <c r="F145" s="4">
        <v>859.6</v>
      </c>
      <c r="G145" s="4">
        <v>3.55</v>
      </c>
      <c r="H145" t="s">
        <v>22</v>
      </c>
      <c r="I145" s="4">
        <v>1254.3</v>
      </c>
      <c r="J145" s="4">
        <v>63786.6</v>
      </c>
      <c r="K145">
        <v>3</v>
      </c>
      <c r="L145">
        <v>9</v>
      </c>
      <c r="M145" s="21">
        <f>(ProductionData[[#This Row],[Actual_Production_t]]/ProductionData[[#This Row],[Target_Production_t]])</f>
        <v>0.76818588025022339</v>
      </c>
      <c r="N145" s="5">
        <f>ProductionData[[#This Row],[Actual_Production_t]]/(ProductionData[[#This Row],[Target_Production_t]]*((8-ProductionData[[#This Row],[Downtime_hr]])/8))</f>
        <v>1.3810083240453455</v>
      </c>
      <c r="O145" s="4">
        <f>ProductionData[[#This Row],[Raw_Material_t]]/ProductionData[[#This Row],[Actual_Production_t]]</f>
        <v>1.4591670544439272</v>
      </c>
      <c r="P145" s="22">
        <f>ProductionData[[#This Row],[Energy_kWh]]/ProductionData[[#This Row],[Actual_Production_t]]</f>
        <v>74.20497906002791</v>
      </c>
      <c r="Q145" s="23">
        <f>ProductionData[[#This Row],[Defects_t]]/ProductionData[[#This Row],[Actual_Production_t]]</f>
        <v>3.489995346672871E-3</v>
      </c>
      <c r="R145" t="str">
        <f>IF(ProductionData[[#This Row],[Achievement%]]&gt;=100%,"On Target",IF(ProductionData[[#This Row],[Achievement%]]&lt;90%,"Significantly Below Target","Below Target"))</f>
        <v>Significantly Below Target</v>
      </c>
    </row>
    <row r="146" spans="1:18" x14ac:dyDescent="0.25">
      <c r="A146">
        <v>142</v>
      </c>
      <c r="B146" s="3">
        <v>46070</v>
      </c>
      <c r="C146" t="s">
        <v>13</v>
      </c>
      <c r="D146" t="s">
        <v>19</v>
      </c>
      <c r="E146" s="4">
        <v>960</v>
      </c>
      <c r="F146" s="4">
        <v>942.3</v>
      </c>
      <c r="G146" s="4">
        <v>0.42</v>
      </c>
      <c r="H146" t="s">
        <v>23</v>
      </c>
      <c r="I146" s="4">
        <v>1426.8</v>
      </c>
      <c r="J146" s="4">
        <v>78337</v>
      </c>
      <c r="K146">
        <v>6</v>
      </c>
      <c r="L146">
        <v>12</v>
      </c>
      <c r="M146" s="21">
        <f>(ProductionData[[#This Row],[Actual_Production_t]]/ProductionData[[#This Row],[Target_Production_t]])</f>
        <v>0.9815625</v>
      </c>
      <c r="N146" s="5">
        <f>ProductionData[[#This Row],[Actual_Production_t]]/(ProductionData[[#This Row],[Target_Production_t]]*((8-ProductionData[[#This Row],[Downtime_hr]])/8))</f>
        <v>1.0359498680738786</v>
      </c>
      <c r="O146" s="4">
        <f>ProductionData[[#This Row],[Raw_Material_t]]/ProductionData[[#This Row],[Actual_Production_t]]</f>
        <v>1.5141674625915313</v>
      </c>
      <c r="P146" s="22">
        <f>ProductionData[[#This Row],[Energy_kWh]]/ProductionData[[#This Row],[Actual_Production_t]]</f>
        <v>83.133821500583679</v>
      </c>
      <c r="Q146" s="23">
        <f>ProductionData[[#This Row],[Defects_t]]/ProductionData[[#This Row],[Actual_Production_t]]</f>
        <v>6.3673989175421844E-3</v>
      </c>
      <c r="R146" t="str">
        <f>IF(ProductionData[[#This Row],[Achievement%]]&gt;=100%,"On Target",IF(ProductionData[[#This Row],[Achievement%]]&lt;90%,"Significantly Below Target","Below Target"))</f>
        <v>Below Target</v>
      </c>
    </row>
    <row r="147" spans="1:18" x14ac:dyDescent="0.25">
      <c r="A147">
        <v>143</v>
      </c>
      <c r="B147" s="3">
        <v>46070</v>
      </c>
      <c r="C147" t="s">
        <v>16</v>
      </c>
      <c r="D147" t="s">
        <v>17</v>
      </c>
      <c r="E147" s="4">
        <v>1031</v>
      </c>
      <c r="F147" s="4">
        <v>799.4</v>
      </c>
      <c r="G147" s="4">
        <v>5.27</v>
      </c>
      <c r="H147" t="s">
        <v>15</v>
      </c>
      <c r="I147" s="4">
        <v>1181.5999999999999</v>
      </c>
      <c r="J147" s="4">
        <v>65422.6</v>
      </c>
      <c r="K147">
        <v>3</v>
      </c>
      <c r="L147">
        <v>9</v>
      </c>
      <c r="M147" s="21">
        <f>(ProductionData[[#This Row],[Actual_Production_t]]/ProductionData[[#This Row],[Target_Production_t]])</f>
        <v>0.77536372453928226</v>
      </c>
      <c r="N147" s="5">
        <f>ProductionData[[#This Row],[Actual_Production_t]]/(ProductionData[[#This Row],[Target_Production_t]]*((8-ProductionData[[#This Row],[Downtime_hr]])/8))</f>
        <v>2.2721281305180425</v>
      </c>
      <c r="O147" s="4">
        <f>ProductionData[[#This Row],[Raw_Material_t]]/ProductionData[[#This Row],[Actual_Production_t]]</f>
        <v>1.478108581436077</v>
      </c>
      <c r="P147" s="22">
        <f>ProductionData[[#This Row],[Energy_kWh]]/ProductionData[[#This Row],[Actual_Production_t]]</f>
        <v>81.839629722291718</v>
      </c>
      <c r="Q147" s="23">
        <f>ProductionData[[#This Row],[Defects_t]]/ProductionData[[#This Row],[Actual_Production_t]]</f>
        <v>3.7528146109582186E-3</v>
      </c>
      <c r="R147" t="str">
        <f>IF(ProductionData[[#This Row],[Achievement%]]&gt;=100%,"On Target",IF(ProductionData[[#This Row],[Achievement%]]&lt;90%,"Significantly Below Target","Below Target"))</f>
        <v>Significantly Below Target</v>
      </c>
    </row>
    <row r="148" spans="1:18" x14ac:dyDescent="0.25">
      <c r="A148">
        <v>144</v>
      </c>
      <c r="B148" s="3">
        <v>46070</v>
      </c>
      <c r="C148" t="s">
        <v>18</v>
      </c>
      <c r="D148" t="s">
        <v>14</v>
      </c>
      <c r="E148" s="4">
        <v>1128</v>
      </c>
      <c r="F148" s="4">
        <v>867.6</v>
      </c>
      <c r="G148" s="4">
        <v>3.9</v>
      </c>
      <c r="H148" t="s">
        <v>24</v>
      </c>
      <c r="I148" s="4">
        <v>1325.1</v>
      </c>
      <c r="J148" s="4">
        <v>66963.199999999997</v>
      </c>
      <c r="K148">
        <v>4</v>
      </c>
      <c r="L148">
        <v>8</v>
      </c>
      <c r="M148" s="21">
        <f>(ProductionData[[#This Row],[Actual_Production_t]]/ProductionData[[#This Row],[Target_Production_t]])</f>
        <v>0.76914893617021274</v>
      </c>
      <c r="N148" s="5">
        <f>ProductionData[[#This Row],[Actual_Production_t]]/(ProductionData[[#This Row],[Target_Production_t]]*((8-ProductionData[[#This Row],[Downtime_hr]])/8))</f>
        <v>1.5007784120394398</v>
      </c>
      <c r="O148" s="4">
        <f>ProductionData[[#This Row],[Raw_Material_t]]/ProductionData[[#This Row],[Actual_Production_t]]</f>
        <v>1.5273167358229598</v>
      </c>
      <c r="P148" s="22">
        <f>ProductionData[[#This Row],[Energy_kWh]]/ProductionData[[#This Row],[Actual_Production_t]]</f>
        <v>77.182111572153062</v>
      </c>
      <c r="Q148" s="23">
        <f>ProductionData[[#This Row],[Defects_t]]/ProductionData[[#This Row],[Actual_Production_t]]</f>
        <v>4.6104195481788844E-3</v>
      </c>
      <c r="R148" t="str">
        <f>IF(ProductionData[[#This Row],[Achievement%]]&gt;=100%,"On Target",IF(ProductionData[[#This Row],[Achievement%]]&lt;90%,"Significantly Below Target","Below Target"))</f>
        <v>Significantly Below Target</v>
      </c>
    </row>
    <row r="149" spans="1:18" x14ac:dyDescent="0.25">
      <c r="A149">
        <v>145</v>
      </c>
      <c r="B149" s="3">
        <v>46071</v>
      </c>
      <c r="C149" t="s">
        <v>13</v>
      </c>
      <c r="D149" t="s">
        <v>17</v>
      </c>
      <c r="E149" s="4">
        <v>1019</v>
      </c>
      <c r="F149" s="4">
        <v>869.3</v>
      </c>
      <c r="G149" s="4">
        <v>4.41</v>
      </c>
      <c r="H149" t="s">
        <v>20</v>
      </c>
      <c r="I149" s="4">
        <v>1342.3</v>
      </c>
      <c r="J149" s="4">
        <v>63588.4</v>
      </c>
      <c r="K149">
        <v>4</v>
      </c>
      <c r="L149">
        <v>7</v>
      </c>
      <c r="M149" s="21">
        <f>(ProductionData[[#This Row],[Actual_Production_t]]/ProductionData[[#This Row],[Target_Production_t]])</f>
        <v>0.85309126594700679</v>
      </c>
      <c r="N149" s="5">
        <f>ProductionData[[#This Row],[Actual_Production_t]]/(ProductionData[[#This Row],[Target_Production_t]]*((8-ProductionData[[#This Row],[Downtime_hr]])/8))</f>
        <v>1.9010390327509901</v>
      </c>
      <c r="O149" s="4">
        <f>ProductionData[[#This Row],[Raw_Material_t]]/ProductionData[[#This Row],[Actual_Production_t]]</f>
        <v>1.5441159553663868</v>
      </c>
      <c r="P149" s="22">
        <f>ProductionData[[#This Row],[Energy_kWh]]/ProductionData[[#This Row],[Actual_Production_t]]</f>
        <v>73.148970435982974</v>
      </c>
      <c r="Q149" s="23">
        <f>ProductionData[[#This Row],[Defects_t]]/ProductionData[[#This Row],[Actual_Production_t]]</f>
        <v>4.6014034280455543E-3</v>
      </c>
      <c r="R149" t="str">
        <f>IF(ProductionData[[#This Row],[Achievement%]]&gt;=100%,"On Target",IF(ProductionData[[#This Row],[Achievement%]]&lt;90%,"Significantly Below Target","Below Target"))</f>
        <v>Significantly Below Target</v>
      </c>
    </row>
    <row r="150" spans="1:18" x14ac:dyDescent="0.25">
      <c r="A150">
        <v>146</v>
      </c>
      <c r="B150" s="3">
        <v>46071</v>
      </c>
      <c r="C150" t="s">
        <v>16</v>
      </c>
      <c r="D150" t="s">
        <v>19</v>
      </c>
      <c r="E150" s="4">
        <v>959</v>
      </c>
      <c r="F150" s="4">
        <v>677.6</v>
      </c>
      <c r="G150" s="4">
        <v>6.32</v>
      </c>
      <c r="H150" t="s">
        <v>22</v>
      </c>
      <c r="I150" s="4">
        <v>1070.9000000000001</v>
      </c>
      <c r="J150" s="4">
        <v>54479.1</v>
      </c>
      <c r="K150">
        <v>3</v>
      </c>
      <c r="L150">
        <v>11</v>
      </c>
      <c r="M150" s="21">
        <f>(ProductionData[[#This Row],[Actual_Production_t]]/ProductionData[[#This Row],[Target_Production_t]])</f>
        <v>0.70656934306569341</v>
      </c>
      <c r="N150" s="5">
        <f>ProductionData[[#This Row],[Actual_Production_t]]/(ProductionData[[#This Row],[Target_Production_t]]*((8-ProductionData[[#This Row],[Downtime_hr]])/8))</f>
        <v>3.3646159193604457</v>
      </c>
      <c r="O150" s="4">
        <f>ProductionData[[#This Row],[Raw_Material_t]]/ProductionData[[#This Row],[Actual_Production_t]]</f>
        <v>1.5804309327036601</v>
      </c>
      <c r="P150" s="22">
        <f>ProductionData[[#This Row],[Energy_kWh]]/ProductionData[[#This Row],[Actual_Production_t]]</f>
        <v>80.400088547815812</v>
      </c>
      <c r="Q150" s="23">
        <f>ProductionData[[#This Row],[Defects_t]]/ProductionData[[#This Row],[Actual_Production_t]]</f>
        <v>4.4273907910271542E-3</v>
      </c>
      <c r="R150" t="str">
        <f>IF(ProductionData[[#This Row],[Achievement%]]&gt;=100%,"On Target",IF(ProductionData[[#This Row],[Achievement%]]&lt;90%,"Significantly Below Target","Below Target"))</f>
        <v>Significantly Below Target</v>
      </c>
    </row>
    <row r="151" spans="1:18" x14ac:dyDescent="0.25">
      <c r="A151">
        <v>147</v>
      </c>
      <c r="B151" s="3">
        <v>46071</v>
      </c>
      <c r="C151" t="s">
        <v>18</v>
      </c>
      <c r="D151" t="s">
        <v>14</v>
      </c>
      <c r="E151" s="4">
        <v>1155</v>
      </c>
      <c r="F151" s="4">
        <v>820.5</v>
      </c>
      <c r="G151" s="4">
        <v>4.74</v>
      </c>
      <c r="H151" t="s">
        <v>15</v>
      </c>
      <c r="I151" s="4">
        <v>1310.8</v>
      </c>
      <c r="J151" s="4">
        <v>66310.899999999994</v>
      </c>
      <c r="K151">
        <v>0</v>
      </c>
      <c r="L151">
        <v>8</v>
      </c>
      <c r="M151" s="21">
        <f>(ProductionData[[#This Row],[Actual_Production_t]]/ProductionData[[#This Row],[Target_Production_t]])</f>
        <v>0.71038961038961035</v>
      </c>
      <c r="N151" s="5">
        <f>ProductionData[[#This Row],[Actual_Production_t]]/(ProductionData[[#This Row],[Target_Production_t]]*((8-ProductionData[[#This Row],[Downtime_hr]])/8))</f>
        <v>1.7432873874591668</v>
      </c>
      <c r="O151" s="4">
        <f>ProductionData[[#This Row],[Raw_Material_t]]/ProductionData[[#This Row],[Actual_Production_t]]</f>
        <v>1.5975624619134674</v>
      </c>
      <c r="P151" s="22">
        <f>ProductionData[[#This Row],[Energy_kWh]]/ProductionData[[#This Row],[Actual_Production_t]]</f>
        <v>80.817672151127354</v>
      </c>
      <c r="Q151" s="23">
        <f>ProductionData[[#This Row],[Defects_t]]/ProductionData[[#This Row],[Actual_Production_t]]</f>
        <v>0</v>
      </c>
      <c r="R151" t="str">
        <f>IF(ProductionData[[#This Row],[Achievement%]]&gt;=100%,"On Target",IF(ProductionData[[#This Row],[Achievement%]]&lt;90%,"Significantly Below Target","Below Target"))</f>
        <v>Significantly Below Target</v>
      </c>
    </row>
    <row r="152" spans="1:18" x14ac:dyDescent="0.25">
      <c r="A152">
        <v>148</v>
      </c>
      <c r="B152" s="3">
        <v>46072</v>
      </c>
      <c r="C152" t="s">
        <v>13</v>
      </c>
      <c r="D152" t="s">
        <v>17</v>
      </c>
      <c r="E152" s="4">
        <v>1013</v>
      </c>
      <c r="F152" s="4">
        <v>832.8</v>
      </c>
      <c r="G152" s="4">
        <v>4.1100000000000003</v>
      </c>
      <c r="H152" t="s">
        <v>20</v>
      </c>
      <c r="I152" s="4">
        <v>1236.9000000000001</v>
      </c>
      <c r="J152" s="4">
        <v>69574.2</v>
      </c>
      <c r="K152">
        <v>5</v>
      </c>
      <c r="L152">
        <v>11</v>
      </c>
      <c r="M152" s="21">
        <f>(ProductionData[[#This Row],[Actual_Production_t]]/ProductionData[[#This Row],[Target_Production_t]])</f>
        <v>0.82211253701875608</v>
      </c>
      <c r="N152" s="5">
        <f>ProductionData[[#This Row],[Actual_Production_t]]/(ProductionData[[#This Row],[Target_Production_t]]*((8-ProductionData[[#This Row],[Downtime_hr]])/8))</f>
        <v>1.690719870475591</v>
      </c>
      <c r="O152" s="4">
        <f>ProductionData[[#This Row],[Raw_Material_t]]/ProductionData[[#This Row],[Actual_Production_t]]</f>
        <v>1.4852305475504324</v>
      </c>
      <c r="P152" s="22">
        <f>ProductionData[[#This Row],[Energy_kWh]]/ProductionData[[#This Row],[Actual_Production_t]]</f>
        <v>83.542507204610956</v>
      </c>
      <c r="Q152" s="23">
        <f>ProductionData[[#This Row],[Defects_t]]/ProductionData[[#This Row],[Actual_Production_t]]</f>
        <v>6.0038424591738714E-3</v>
      </c>
      <c r="R152" t="str">
        <f>IF(ProductionData[[#This Row],[Achievement%]]&gt;=100%,"On Target",IF(ProductionData[[#This Row],[Achievement%]]&lt;90%,"Significantly Below Target","Below Target"))</f>
        <v>Significantly Below Target</v>
      </c>
    </row>
    <row r="153" spans="1:18" x14ac:dyDescent="0.25">
      <c r="A153">
        <v>149</v>
      </c>
      <c r="B153" s="3">
        <v>46072</v>
      </c>
      <c r="C153" t="s">
        <v>16</v>
      </c>
      <c r="D153" t="s">
        <v>14</v>
      </c>
      <c r="E153" s="4">
        <v>1164</v>
      </c>
      <c r="F153" s="4">
        <v>1138.9000000000001</v>
      </c>
      <c r="G153" s="4">
        <v>0.71</v>
      </c>
      <c r="H153" t="s">
        <v>24</v>
      </c>
      <c r="I153" s="4">
        <v>1762</v>
      </c>
      <c r="J153" s="4">
        <v>97412.9</v>
      </c>
      <c r="K153">
        <v>3</v>
      </c>
      <c r="L153">
        <v>9</v>
      </c>
      <c r="M153" s="21">
        <f>(ProductionData[[#This Row],[Actual_Production_t]]/ProductionData[[#This Row],[Target_Production_t]])</f>
        <v>0.97843642611683856</v>
      </c>
      <c r="N153" s="5">
        <f>ProductionData[[#This Row],[Actual_Production_t]]/(ProductionData[[#This Row],[Target_Production_t]]*((8-ProductionData[[#This Row],[Downtime_hr]])/8))</f>
        <v>1.0737299600733483</v>
      </c>
      <c r="O153" s="4">
        <f>ProductionData[[#This Row],[Raw_Material_t]]/ProductionData[[#This Row],[Actual_Production_t]]</f>
        <v>1.5471068574940732</v>
      </c>
      <c r="P153" s="22">
        <f>ProductionData[[#This Row],[Energy_kWh]]/ProductionData[[#This Row],[Actual_Production_t]]</f>
        <v>85.532443585916226</v>
      </c>
      <c r="Q153" s="23">
        <f>ProductionData[[#This Row],[Defects_t]]/ProductionData[[#This Row],[Actual_Production_t]]</f>
        <v>2.6341206427254365E-3</v>
      </c>
      <c r="R153" t="str">
        <f>IF(ProductionData[[#This Row],[Achievement%]]&gt;=100%,"On Target",IF(ProductionData[[#This Row],[Achievement%]]&lt;90%,"Significantly Below Target","Below Target"))</f>
        <v>Below Target</v>
      </c>
    </row>
    <row r="154" spans="1:18" x14ac:dyDescent="0.25">
      <c r="A154">
        <v>150</v>
      </c>
      <c r="B154" s="3">
        <v>46072</v>
      </c>
      <c r="C154" t="s">
        <v>18</v>
      </c>
      <c r="D154" t="s">
        <v>17</v>
      </c>
      <c r="E154" s="4">
        <v>1056</v>
      </c>
      <c r="F154" s="4">
        <v>838.8</v>
      </c>
      <c r="G154" s="4">
        <v>4.0599999999999996</v>
      </c>
      <c r="H154" t="s">
        <v>20</v>
      </c>
      <c r="I154" s="4">
        <v>1260.5</v>
      </c>
      <c r="J154" s="4">
        <v>65021.2</v>
      </c>
      <c r="K154">
        <v>1</v>
      </c>
      <c r="L154">
        <v>7</v>
      </c>
      <c r="M154" s="21">
        <f>(ProductionData[[#This Row],[Actual_Production_t]]/ProductionData[[#This Row],[Target_Production_t]])</f>
        <v>0.79431818181818181</v>
      </c>
      <c r="N154" s="5">
        <f>ProductionData[[#This Row],[Actual_Production_t]]/(ProductionData[[#This Row],[Target_Production_t]]*((8-ProductionData[[#This Row],[Downtime_hr]])/8))</f>
        <v>1.6128287955699121</v>
      </c>
      <c r="O154" s="4">
        <f>ProductionData[[#This Row],[Raw_Material_t]]/ProductionData[[#This Row],[Actual_Production_t]]</f>
        <v>1.5027420123986648</v>
      </c>
      <c r="P154" s="22">
        <f>ProductionData[[#This Row],[Energy_kWh]]/ProductionData[[#This Row],[Actual_Production_t]]</f>
        <v>77.516928946113495</v>
      </c>
      <c r="Q154" s="23">
        <f>ProductionData[[#This Row],[Defects_t]]/ProductionData[[#This Row],[Actual_Production_t]]</f>
        <v>1.1921793037672867E-3</v>
      </c>
      <c r="R154" t="str">
        <f>IF(ProductionData[[#This Row],[Achievement%]]&gt;=100%,"On Target",IF(ProductionData[[#This Row],[Achievement%]]&lt;90%,"Significantly Below Target","Below Target"))</f>
        <v>Significantly Below Target</v>
      </c>
    </row>
    <row r="155" spans="1:18" x14ac:dyDescent="0.25">
      <c r="A155">
        <v>151</v>
      </c>
      <c r="B155" s="3">
        <v>46073</v>
      </c>
      <c r="C155" t="s">
        <v>13</v>
      </c>
      <c r="D155" t="s">
        <v>17</v>
      </c>
      <c r="E155" s="4">
        <v>1079</v>
      </c>
      <c r="F155" s="4">
        <v>1101.0999999999999</v>
      </c>
      <c r="G155" s="4">
        <v>0.13</v>
      </c>
      <c r="H155" t="s">
        <v>23</v>
      </c>
      <c r="I155" s="4">
        <v>1713.4</v>
      </c>
      <c r="J155" s="4">
        <v>89428.800000000003</v>
      </c>
      <c r="K155">
        <v>4</v>
      </c>
      <c r="L155">
        <v>12</v>
      </c>
      <c r="M155" s="21">
        <f>(ProductionData[[#This Row],[Actual_Production_t]]/ProductionData[[#This Row],[Target_Production_t]])</f>
        <v>1.0204819277108432</v>
      </c>
      <c r="N155" s="5">
        <f>ProductionData[[#This Row],[Actual_Production_t]]/(ProductionData[[#This Row],[Target_Production_t]]*((8-ProductionData[[#This Row],[Downtime_hr]])/8))</f>
        <v>1.0373386812816705</v>
      </c>
      <c r="O155" s="4">
        <f>ProductionData[[#This Row],[Raw_Material_t]]/ProductionData[[#This Row],[Actual_Production_t]]</f>
        <v>1.5560802833530107</v>
      </c>
      <c r="P155" s="22">
        <f>ProductionData[[#This Row],[Energy_kWh]]/ProductionData[[#This Row],[Actual_Production_t]]</f>
        <v>81.21769139950959</v>
      </c>
      <c r="Q155" s="23">
        <f>ProductionData[[#This Row],[Defects_t]]/ProductionData[[#This Row],[Actual_Production_t]]</f>
        <v>3.6327309054581783E-3</v>
      </c>
      <c r="R155" t="str">
        <f>IF(ProductionData[[#This Row],[Achievement%]]&gt;=100%,"On Target",IF(ProductionData[[#This Row],[Achievement%]]&lt;90%,"Significantly Below Target","Below Target"))</f>
        <v>On Target</v>
      </c>
    </row>
    <row r="156" spans="1:18" x14ac:dyDescent="0.25">
      <c r="A156">
        <v>152</v>
      </c>
      <c r="B156" s="3">
        <v>46073</v>
      </c>
      <c r="C156" t="s">
        <v>16</v>
      </c>
      <c r="D156" t="s">
        <v>17</v>
      </c>
      <c r="E156" s="4">
        <v>1048</v>
      </c>
      <c r="F156" s="4">
        <v>1004.8</v>
      </c>
      <c r="G156" s="4">
        <v>0.38</v>
      </c>
      <c r="H156" t="s">
        <v>23</v>
      </c>
      <c r="I156" s="4">
        <v>1539.7</v>
      </c>
      <c r="J156" s="4">
        <v>77977.899999999994</v>
      </c>
      <c r="K156">
        <v>4</v>
      </c>
      <c r="L156">
        <v>10</v>
      </c>
      <c r="M156" s="21">
        <f>(ProductionData[[#This Row],[Actual_Production_t]]/ProductionData[[#This Row],[Target_Production_t]])</f>
        <v>0.95877862595419838</v>
      </c>
      <c r="N156" s="5">
        <f>ProductionData[[#This Row],[Actual_Production_t]]/(ProductionData[[#This Row],[Target_Production_t]]*((8-ProductionData[[#This Row],[Downtime_hr]])/8))</f>
        <v>1.0065917332852476</v>
      </c>
      <c r="O156" s="4">
        <f>ProductionData[[#This Row],[Raw_Material_t]]/ProductionData[[#This Row],[Actual_Production_t]]</f>
        <v>1.53234474522293</v>
      </c>
      <c r="P156" s="22">
        <f>ProductionData[[#This Row],[Energy_kWh]]/ProductionData[[#This Row],[Actual_Production_t]]</f>
        <v>77.605394108280251</v>
      </c>
      <c r="Q156" s="23">
        <f>ProductionData[[#This Row],[Defects_t]]/ProductionData[[#This Row],[Actual_Production_t]]</f>
        <v>3.9808917197452229E-3</v>
      </c>
      <c r="R156" t="str">
        <f>IF(ProductionData[[#This Row],[Achievement%]]&gt;=100%,"On Target",IF(ProductionData[[#This Row],[Achievement%]]&lt;90%,"Significantly Below Target","Below Target"))</f>
        <v>Below Target</v>
      </c>
    </row>
    <row r="157" spans="1:18" x14ac:dyDescent="0.25">
      <c r="A157">
        <v>153</v>
      </c>
      <c r="B157" s="3">
        <v>46073</v>
      </c>
      <c r="C157" t="s">
        <v>18</v>
      </c>
      <c r="D157" t="s">
        <v>14</v>
      </c>
      <c r="E157" s="4">
        <v>1116</v>
      </c>
      <c r="F157" s="4">
        <v>880.2</v>
      </c>
      <c r="G157" s="4">
        <v>3</v>
      </c>
      <c r="H157" t="s">
        <v>22</v>
      </c>
      <c r="I157" s="4">
        <v>1328.5</v>
      </c>
      <c r="J157" s="4">
        <v>77693.8</v>
      </c>
      <c r="K157">
        <v>1</v>
      </c>
      <c r="L157">
        <v>11</v>
      </c>
      <c r="M157" s="21">
        <f>(ProductionData[[#This Row],[Actual_Production_t]]/ProductionData[[#This Row],[Target_Production_t]])</f>
        <v>0.78870967741935483</v>
      </c>
      <c r="N157" s="5">
        <f>ProductionData[[#This Row],[Actual_Production_t]]/(ProductionData[[#This Row],[Target_Production_t]]*((8-ProductionData[[#This Row],[Downtime_hr]])/8))</f>
        <v>1.2619354838709678</v>
      </c>
      <c r="O157" s="4">
        <f>ProductionData[[#This Row],[Raw_Material_t]]/ProductionData[[#This Row],[Actual_Production_t]]</f>
        <v>1.5093160645307884</v>
      </c>
      <c r="P157" s="22">
        <f>ProductionData[[#This Row],[Energy_kWh]]/ProductionData[[#This Row],[Actual_Production_t]]</f>
        <v>88.268348102703925</v>
      </c>
      <c r="Q157" s="23">
        <f>ProductionData[[#This Row],[Defects_t]]/ProductionData[[#This Row],[Actual_Production_t]]</f>
        <v>1.1361054305839581E-3</v>
      </c>
      <c r="R157" t="str">
        <f>IF(ProductionData[[#This Row],[Achievement%]]&gt;=100%,"On Target",IF(ProductionData[[#This Row],[Achievement%]]&lt;90%,"Significantly Below Target","Below Target"))</f>
        <v>Significantly Below Target</v>
      </c>
    </row>
    <row r="158" spans="1:18" x14ac:dyDescent="0.25">
      <c r="A158">
        <v>154</v>
      </c>
      <c r="B158" s="3">
        <v>46074</v>
      </c>
      <c r="C158" t="s">
        <v>13</v>
      </c>
      <c r="D158" t="s">
        <v>19</v>
      </c>
      <c r="E158" s="4">
        <v>996</v>
      </c>
      <c r="F158" s="4">
        <v>975.9</v>
      </c>
      <c r="G158" s="4">
        <v>0.04</v>
      </c>
      <c r="H158" t="s">
        <v>23</v>
      </c>
      <c r="I158" s="4">
        <v>1510.3</v>
      </c>
      <c r="J158" s="4">
        <v>76545.8</v>
      </c>
      <c r="K158">
        <v>3</v>
      </c>
      <c r="L158">
        <v>8</v>
      </c>
      <c r="M158" s="21">
        <f>(ProductionData[[#This Row],[Actual_Production_t]]/ProductionData[[#This Row],[Target_Production_t]])</f>
        <v>0.97981927710843375</v>
      </c>
      <c r="N158" s="5">
        <f>ProductionData[[#This Row],[Actual_Production_t]]/(ProductionData[[#This Row],[Target_Production_t]]*((8-ProductionData[[#This Row],[Downtime_hr]])/8))</f>
        <v>0.98474299206877758</v>
      </c>
      <c r="O158" s="4">
        <f>ProductionData[[#This Row],[Raw_Material_t]]/ProductionData[[#This Row],[Actual_Production_t]]</f>
        <v>1.5475970898657649</v>
      </c>
      <c r="P158" s="22">
        <f>ProductionData[[#This Row],[Energy_kWh]]/ProductionData[[#This Row],[Actual_Production_t]]</f>
        <v>78.436110257198493</v>
      </c>
      <c r="Q158" s="23">
        <f>ProductionData[[#This Row],[Defects_t]]/ProductionData[[#This Row],[Actual_Production_t]]</f>
        <v>3.0740854595757761E-3</v>
      </c>
      <c r="R158" t="str">
        <f>IF(ProductionData[[#This Row],[Achievement%]]&gt;=100%,"On Target",IF(ProductionData[[#This Row],[Achievement%]]&lt;90%,"Significantly Below Target","Below Target"))</f>
        <v>Below Target</v>
      </c>
    </row>
    <row r="159" spans="1:18" x14ac:dyDescent="0.25">
      <c r="A159">
        <v>155</v>
      </c>
      <c r="B159" s="3">
        <v>46074</v>
      </c>
      <c r="C159" t="s">
        <v>16</v>
      </c>
      <c r="D159" t="s">
        <v>14</v>
      </c>
      <c r="E159" s="4">
        <v>1123</v>
      </c>
      <c r="F159" s="4">
        <v>839.9</v>
      </c>
      <c r="G159" s="4">
        <v>4.6100000000000003</v>
      </c>
      <c r="H159" t="s">
        <v>15</v>
      </c>
      <c r="I159" s="4">
        <v>1290.3</v>
      </c>
      <c r="J159" s="4">
        <v>68750.100000000006</v>
      </c>
      <c r="K159">
        <v>2</v>
      </c>
      <c r="L159">
        <v>8</v>
      </c>
      <c r="M159" s="21">
        <f>(ProductionData[[#This Row],[Actual_Production_t]]/ProductionData[[#This Row],[Target_Production_t]])</f>
        <v>0.74790739091718605</v>
      </c>
      <c r="N159" s="5">
        <f>ProductionData[[#This Row],[Actual_Production_t]]/(ProductionData[[#This Row],[Target_Production_t]]*((8-ProductionData[[#This Row],[Downtime_hr]])/8))</f>
        <v>1.7649731939048641</v>
      </c>
      <c r="O159" s="4">
        <f>ProductionData[[#This Row],[Raw_Material_t]]/ProductionData[[#This Row],[Actual_Production_t]]</f>
        <v>1.5362543159899988</v>
      </c>
      <c r="P159" s="22">
        <f>ProductionData[[#This Row],[Energy_kWh]]/ProductionData[[#This Row],[Actual_Production_t]]</f>
        <v>81.855101797833086</v>
      </c>
      <c r="Q159" s="23">
        <f>ProductionData[[#This Row],[Defects_t]]/ProductionData[[#This Row],[Actual_Production_t]]</f>
        <v>2.381235861412073E-3</v>
      </c>
      <c r="R159" t="str">
        <f>IF(ProductionData[[#This Row],[Achievement%]]&gt;=100%,"On Target",IF(ProductionData[[#This Row],[Achievement%]]&lt;90%,"Significantly Below Target","Below Target"))</f>
        <v>Significantly Below Target</v>
      </c>
    </row>
    <row r="160" spans="1:18" x14ac:dyDescent="0.25">
      <c r="A160">
        <v>156</v>
      </c>
      <c r="B160" s="3">
        <v>46074</v>
      </c>
      <c r="C160" t="s">
        <v>18</v>
      </c>
      <c r="D160" t="s">
        <v>17</v>
      </c>
      <c r="E160" s="4">
        <v>1080</v>
      </c>
      <c r="F160" s="4">
        <v>1050.5</v>
      </c>
      <c r="G160" s="4">
        <v>0.11</v>
      </c>
      <c r="H160" t="s">
        <v>23</v>
      </c>
      <c r="I160" s="4">
        <v>1634</v>
      </c>
      <c r="J160" s="4">
        <v>76544.5</v>
      </c>
      <c r="K160">
        <v>5</v>
      </c>
      <c r="L160">
        <v>11</v>
      </c>
      <c r="M160" s="21">
        <f>(ProductionData[[#This Row],[Actual_Production_t]]/ProductionData[[#This Row],[Target_Production_t]])</f>
        <v>0.97268518518518521</v>
      </c>
      <c r="N160" s="5">
        <f>ProductionData[[#This Row],[Actual_Production_t]]/(ProductionData[[#This Row],[Target_Production_t]]*((8-ProductionData[[#This Row],[Downtime_hr]])/8))</f>
        <v>0.9862460686288318</v>
      </c>
      <c r="O160" s="4">
        <f>ProductionData[[#This Row],[Raw_Material_t]]/ProductionData[[#This Row],[Actual_Production_t]]</f>
        <v>1.5554497858162779</v>
      </c>
      <c r="P160" s="22">
        <f>ProductionData[[#This Row],[Energy_kWh]]/ProductionData[[#This Row],[Actual_Production_t]]</f>
        <v>72.864826273203235</v>
      </c>
      <c r="Q160" s="23">
        <f>ProductionData[[#This Row],[Defects_t]]/ProductionData[[#This Row],[Actual_Production_t]]</f>
        <v>4.7596382674916704E-3</v>
      </c>
      <c r="R160" t="str">
        <f>IF(ProductionData[[#This Row],[Achievement%]]&gt;=100%,"On Target",IF(ProductionData[[#This Row],[Achievement%]]&lt;90%,"Significantly Below Target","Below Target"))</f>
        <v>Below Target</v>
      </c>
    </row>
    <row r="161" spans="1:18" x14ac:dyDescent="0.25">
      <c r="A161">
        <v>157</v>
      </c>
      <c r="B161" s="3">
        <v>46075</v>
      </c>
      <c r="C161" t="s">
        <v>13</v>
      </c>
      <c r="D161" t="s">
        <v>19</v>
      </c>
      <c r="E161" s="4">
        <v>996</v>
      </c>
      <c r="F161" s="4">
        <v>1025.0999999999999</v>
      </c>
      <c r="G161" s="4">
        <v>1.44</v>
      </c>
      <c r="H161" t="s">
        <v>24</v>
      </c>
      <c r="I161" s="4">
        <v>1580.4</v>
      </c>
      <c r="J161" s="4">
        <v>92497.4</v>
      </c>
      <c r="K161">
        <v>1</v>
      </c>
      <c r="L161">
        <v>10</v>
      </c>
      <c r="M161" s="21">
        <f>(ProductionData[[#This Row],[Actual_Production_t]]/ProductionData[[#This Row],[Target_Production_t]])</f>
        <v>1.0292168674698794</v>
      </c>
      <c r="N161" s="5">
        <f>ProductionData[[#This Row],[Actual_Production_t]]/(ProductionData[[#This Row],[Target_Production_t]]*((8-ProductionData[[#This Row],[Downtime_hr]])/8))</f>
        <v>1.2551425213047309</v>
      </c>
      <c r="O161" s="4">
        <f>ProductionData[[#This Row],[Raw_Material_t]]/ProductionData[[#This Row],[Actual_Production_t]]</f>
        <v>1.5417032484635647</v>
      </c>
      <c r="P161" s="22">
        <f>ProductionData[[#This Row],[Energy_kWh]]/ProductionData[[#This Row],[Actual_Production_t]]</f>
        <v>90.232562676812023</v>
      </c>
      <c r="Q161" s="23">
        <f>ProductionData[[#This Row],[Defects_t]]/ProductionData[[#This Row],[Actual_Production_t]]</f>
        <v>9.7551458394303002E-4</v>
      </c>
      <c r="R161" t="str">
        <f>IF(ProductionData[[#This Row],[Achievement%]]&gt;=100%,"On Target",IF(ProductionData[[#This Row],[Achievement%]]&lt;90%,"Significantly Below Target","Below Target"))</f>
        <v>On Target</v>
      </c>
    </row>
    <row r="162" spans="1:18" x14ac:dyDescent="0.25">
      <c r="A162">
        <v>158</v>
      </c>
      <c r="B162" s="3">
        <v>46075</v>
      </c>
      <c r="C162" t="s">
        <v>16</v>
      </c>
      <c r="D162" t="s">
        <v>14</v>
      </c>
      <c r="E162" s="4">
        <v>1173</v>
      </c>
      <c r="F162" s="4">
        <v>907.8</v>
      </c>
      <c r="G162" s="4">
        <v>6.3</v>
      </c>
      <c r="H162" t="s">
        <v>22</v>
      </c>
      <c r="I162" s="4">
        <v>1430.1</v>
      </c>
      <c r="J162" s="4">
        <v>75434.8</v>
      </c>
      <c r="K162">
        <v>1</v>
      </c>
      <c r="L162">
        <v>11</v>
      </c>
      <c r="M162" s="21">
        <f>(ProductionData[[#This Row],[Actual_Production_t]]/ProductionData[[#This Row],[Target_Production_t]])</f>
        <v>0.77391304347826084</v>
      </c>
      <c r="N162" s="5">
        <f>ProductionData[[#This Row],[Actual_Production_t]]/(ProductionData[[#This Row],[Target_Production_t]]*((8-ProductionData[[#This Row],[Downtime_hr]])/8))</f>
        <v>3.6419437340153449</v>
      </c>
      <c r="O162" s="4">
        <f>ProductionData[[#This Row],[Raw_Material_t]]/ProductionData[[#This Row],[Actual_Production_t]]</f>
        <v>1.5753469927296762</v>
      </c>
      <c r="P162" s="22">
        <f>ProductionData[[#This Row],[Energy_kWh]]/ProductionData[[#This Row],[Actual_Production_t]]</f>
        <v>83.096276712932365</v>
      </c>
      <c r="Q162" s="23">
        <f>ProductionData[[#This Row],[Defects_t]]/ProductionData[[#This Row],[Actual_Production_t]]</f>
        <v>1.1015642211940956E-3</v>
      </c>
      <c r="R162" t="str">
        <f>IF(ProductionData[[#This Row],[Achievement%]]&gt;=100%,"On Target",IF(ProductionData[[#This Row],[Achievement%]]&lt;90%,"Significantly Below Target","Below Target"))</f>
        <v>Significantly Below Target</v>
      </c>
    </row>
    <row r="163" spans="1:18" x14ac:dyDescent="0.25">
      <c r="A163">
        <v>159</v>
      </c>
      <c r="B163" s="3">
        <v>46075</v>
      </c>
      <c r="C163" t="s">
        <v>18</v>
      </c>
      <c r="D163" t="s">
        <v>17</v>
      </c>
      <c r="E163" s="4">
        <v>1023</v>
      </c>
      <c r="F163" s="4">
        <v>860</v>
      </c>
      <c r="G163" s="4">
        <v>0.39</v>
      </c>
      <c r="H163" t="s">
        <v>23</v>
      </c>
      <c r="I163" s="4">
        <v>1333.8</v>
      </c>
      <c r="J163" s="4">
        <v>70251.199999999997</v>
      </c>
      <c r="K163">
        <v>2</v>
      </c>
      <c r="L163">
        <v>10</v>
      </c>
      <c r="M163" s="21">
        <f>(ProductionData[[#This Row],[Actual_Production_t]]/ProductionData[[#This Row],[Target_Production_t]])</f>
        <v>0.8406647116324536</v>
      </c>
      <c r="N163" s="5">
        <f>ProductionData[[#This Row],[Actual_Production_t]]/(ProductionData[[#This Row],[Target_Production_t]]*((8-ProductionData[[#This Row],[Downtime_hr]])/8))</f>
        <v>0.88374739724830853</v>
      </c>
      <c r="O163" s="4">
        <f>ProductionData[[#This Row],[Raw_Material_t]]/ProductionData[[#This Row],[Actual_Production_t]]</f>
        <v>1.5509302325581396</v>
      </c>
      <c r="P163" s="22">
        <f>ProductionData[[#This Row],[Energy_kWh]]/ProductionData[[#This Row],[Actual_Production_t]]</f>
        <v>81.687441860465114</v>
      </c>
      <c r="Q163" s="23">
        <f>ProductionData[[#This Row],[Defects_t]]/ProductionData[[#This Row],[Actual_Production_t]]</f>
        <v>2.3255813953488372E-3</v>
      </c>
      <c r="R163" t="str">
        <f>IF(ProductionData[[#This Row],[Achievement%]]&gt;=100%,"On Target",IF(ProductionData[[#This Row],[Achievement%]]&lt;90%,"Significantly Below Target","Below Target"))</f>
        <v>Significantly Below Target</v>
      </c>
    </row>
    <row r="164" spans="1:18" x14ac:dyDescent="0.25">
      <c r="A164">
        <v>160</v>
      </c>
      <c r="B164" s="3">
        <v>46076</v>
      </c>
      <c r="C164" t="s">
        <v>13</v>
      </c>
      <c r="D164" t="s">
        <v>17</v>
      </c>
      <c r="E164" s="4">
        <v>1059</v>
      </c>
      <c r="F164" s="4">
        <v>933.9</v>
      </c>
      <c r="G164" s="4">
        <v>2.5299999999999998</v>
      </c>
      <c r="H164" t="s">
        <v>15</v>
      </c>
      <c r="I164" s="4">
        <v>1411.2</v>
      </c>
      <c r="J164" s="4">
        <v>73857.600000000006</v>
      </c>
      <c r="K164">
        <v>3</v>
      </c>
      <c r="L164">
        <v>12</v>
      </c>
      <c r="M164" s="21">
        <f>(ProductionData[[#This Row],[Actual_Production_t]]/ProductionData[[#This Row],[Target_Production_t]])</f>
        <v>0.88186968838526913</v>
      </c>
      <c r="N164" s="5">
        <f>ProductionData[[#This Row],[Actual_Production_t]]/(ProductionData[[#This Row],[Target_Production_t]]*((8-ProductionData[[#This Row],[Downtime_hr]])/8))</f>
        <v>1.2897545716786385</v>
      </c>
      <c r="O164" s="4">
        <f>ProductionData[[#This Row],[Raw_Material_t]]/ProductionData[[#This Row],[Actual_Production_t]]</f>
        <v>1.5110825570189528</v>
      </c>
      <c r="P164" s="22">
        <f>ProductionData[[#This Row],[Energy_kWh]]/ProductionData[[#This Row],[Actual_Production_t]]</f>
        <v>79.085126887247043</v>
      </c>
      <c r="Q164" s="23">
        <f>ProductionData[[#This Row],[Defects_t]]/ProductionData[[#This Row],[Actual_Production_t]]</f>
        <v>3.2123353678123997E-3</v>
      </c>
      <c r="R164" t="str">
        <f>IF(ProductionData[[#This Row],[Achievement%]]&gt;=100%,"On Target",IF(ProductionData[[#This Row],[Achievement%]]&lt;90%,"Significantly Below Target","Below Target"))</f>
        <v>Significantly Below Target</v>
      </c>
    </row>
    <row r="165" spans="1:18" x14ac:dyDescent="0.25">
      <c r="A165">
        <v>161</v>
      </c>
      <c r="B165" s="3">
        <v>46076</v>
      </c>
      <c r="C165" t="s">
        <v>16</v>
      </c>
      <c r="D165" t="s">
        <v>17</v>
      </c>
      <c r="E165" s="4">
        <v>1051</v>
      </c>
      <c r="F165" s="4">
        <v>753.5</v>
      </c>
      <c r="G165" s="4">
        <v>4.87</v>
      </c>
      <c r="H165" t="s">
        <v>15</v>
      </c>
      <c r="I165" s="4">
        <v>1166.0999999999999</v>
      </c>
      <c r="J165" s="4">
        <v>60965.3</v>
      </c>
      <c r="K165">
        <v>1</v>
      </c>
      <c r="L165">
        <v>10</v>
      </c>
      <c r="M165" s="21">
        <f>(ProductionData[[#This Row],[Actual_Production_t]]/ProductionData[[#This Row],[Target_Production_t]])</f>
        <v>0.71693625118934345</v>
      </c>
      <c r="N165" s="5">
        <f>ProductionData[[#This Row],[Actual_Production_t]]/(ProductionData[[#This Row],[Target_Production_t]]*((8-ProductionData[[#This Row],[Downtime_hr]])/8))</f>
        <v>1.832424923167651</v>
      </c>
      <c r="O165" s="4">
        <f>ProductionData[[#This Row],[Raw_Material_t]]/ProductionData[[#This Row],[Actual_Production_t]]</f>
        <v>1.5475779694757796</v>
      </c>
      <c r="P165" s="22">
        <f>ProductionData[[#This Row],[Energy_kWh]]/ProductionData[[#This Row],[Actual_Production_t]]</f>
        <v>80.909489051094894</v>
      </c>
      <c r="Q165" s="23">
        <f>ProductionData[[#This Row],[Defects_t]]/ProductionData[[#This Row],[Actual_Production_t]]</f>
        <v>1.3271400132714001E-3</v>
      </c>
      <c r="R165" t="str">
        <f>IF(ProductionData[[#This Row],[Achievement%]]&gt;=100%,"On Target",IF(ProductionData[[#This Row],[Achievement%]]&lt;90%,"Significantly Below Target","Below Target"))</f>
        <v>Significantly Below Target</v>
      </c>
    </row>
    <row r="166" spans="1:18" x14ac:dyDescent="0.25">
      <c r="A166">
        <v>162</v>
      </c>
      <c r="B166" s="3">
        <v>46076</v>
      </c>
      <c r="C166" t="s">
        <v>18</v>
      </c>
      <c r="D166" t="s">
        <v>14</v>
      </c>
      <c r="E166" s="4">
        <v>1117</v>
      </c>
      <c r="F166" s="4">
        <v>880.1</v>
      </c>
      <c r="G166" s="4">
        <v>3.92</v>
      </c>
      <c r="H166" t="s">
        <v>15</v>
      </c>
      <c r="I166" s="4">
        <v>1315.1</v>
      </c>
      <c r="J166" s="4">
        <v>72886.8</v>
      </c>
      <c r="K166">
        <v>7</v>
      </c>
      <c r="L166">
        <v>10</v>
      </c>
      <c r="M166" s="21">
        <f>(ProductionData[[#This Row],[Actual_Production_t]]/ProductionData[[#This Row],[Target_Production_t]])</f>
        <v>0.78791405550581917</v>
      </c>
      <c r="N166" s="5">
        <f>ProductionData[[#This Row],[Actual_Production_t]]/(ProductionData[[#This Row],[Target_Production_t]]*((8-ProductionData[[#This Row],[Downtime_hr]])/8))</f>
        <v>1.5449295205996456</v>
      </c>
      <c r="O166" s="4">
        <f>ProductionData[[#This Row],[Raw_Material_t]]/ProductionData[[#This Row],[Actual_Production_t]]</f>
        <v>1.4942620156800361</v>
      </c>
      <c r="P166" s="22">
        <f>ProductionData[[#This Row],[Energy_kWh]]/ProductionData[[#This Row],[Actual_Production_t]]</f>
        <v>82.816498125213045</v>
      </c>
      <c r="Q166" s="23">
        <f>ProductionData[[#This Row],[Defects_t]]/ProductionData[[#This Row],[Actual_Production_t]]</f>
        <v>7.9536416316327695E-3</v>
      </c>
      <c r="R166" t="str">
        <f>IF(ProductionData[[#This Row],[Achievement%]]&gt;=100%,"On Target",IF(ProductionData[[#This Row],[Achievement%]]&lt;90%,"Significantly Below Target","Below Target"))</f>
        <v>Significantly Below Target</v>
      </c>
    </row>
    <row r="167" spans="1:18" x14ac:dyDescent="0.25">
      <c r="A167">
        <v>163</v>
      </c>
      <c r="B167" s="3">
        <v>46077</v>
      </c>
      <c r="C167" t="s">
        <v>13</v>
      </c>
      <c r="D167" t="s">
        <v>19</v>
      </c>
      <c r="E167" s="4">
        <v>998</v>
      </c>
      <c r="F167" s="4">
        <v>1077.8</v>
      </c>
      <c r="G167" s="4">
        <v>0.45</v>
      </c>
      <c r="H167" t="s">
        <v>23</v>
      </c>
      <c r="I167" s="4">
        <v>1645.6</v>
      </c>
      <c r="J167" s="4">
        <v>86860.3</v>
      </c>
      <c r="K167">
        <v>5</v>
      </c>
      <c r="L167">
        <v>9</v>
      </c>
      <c r="M167" s="21">
        <f>(ProductionData[[#This Row],[Actual_Production_t]]/ProductionData[[#This Row],[Target_Production_t]])</f>
        <v>1.0799599198396792</v>
      </c>
      <c r="N167" s="5">
        <f>ProductionData[[#This Row],[Actual_Production_t]]/(ProductionData[[#This Row],[Target_Production_t]]*((8-ProductionData[[#This Row],[Downtime_hr]])/8))</f>
        <v>1.144328391883104</v>
      </c>
      <c r="O167" s="4">
        <f>ProductionData[[#This Row],[Raw_Material_t]]/ProductionData[[#This Row],[Actual_Production_t]]</f>
        <v>1.526813880126183</v>
      </c>
      <c r="P167" s="22">
        <f>ProductionData[[#This Row],[Energy_kWh]]/ProductionData[[#This Row],[Actual_Production_t]]</f>
        <v>80.590369270736687</v>
      </c>
      <c r="Q167" s="23">
        <f>ProductionData[[#This Row],[Defects_t]]/ProductionData[[#This Row],[Actual_Production_t]]</f>
        <v>4.6390796066060492E-3</v>
      </c>
      <c r="R167" t="str">
        <f>IF(ProductionData[[#This Row],[Achievement%]]&gt;=100%,"On Target",IF(ProductionData[[#This Row],[Achievement%]]&lt;90%,"Significantly Below Target","Below Target"))</f>
        <v>On Target</v>
      </c>
    </row>
    <row r="168" spans="1:18" x14ac:dyDescent="0.25">
      <c r="A168">
        <v>164</v>
      </c>
      <c r="B168" s="3">
        <v>46077</v>
      </c>
      <c r="C168" t="s">
        <v>16</v>
      </c>
      <c r="D168" t="s">
        <v>19</v>
      </c>
      <c r="E168" s="4">
        <v>1012</v>
      </c>
      <c r="F168" s="4">
        <v>905.5</v>
      </c>
      <c r="G168" s="4">
        <v>0.17</v>
      </c>
      <c r="H168" t="s">
        <v>23</v>
      </c>
      <c r="I168" s="4">
        <v>1393.6</v>
      </c>
      <c r="J168" s="4">
        <v>71208.3</v>
      </c>
      <c r="K168">
        <v>2</v>
      </c>
      <c r="L168">
        <v>10</v>
      </c>
      <c r="M168" s="21">
        <f>(ProductionData[[#This Row],[Actual_Production_t]]/ProductionData[[#This Row],[Target_Production_t]])</f>
        <v>0.89476284584980237</v>
      </c>
      <c r="N168" s="5">
        <f>ProductionData[[#This Row],[Actual_Production_t]]/(ProductionData[[#This Row],[Target_Production_t]]*((8-ProductionData[[#This Row],[Downtime_hr]])/8))</f>
        <v>0.91418936996148392</v>
      </c>
      <c r="O168" s="4">
        <f>ProductionData[[#This Row],[Raw_Material_t]]/ProductionData[[#This Row],[Actual_Production_t]]</f>
        <v>1.5390392048591937</v>
      </c>
      <c r="P168" s="22">
        <f>ProductionData[[#This Row],[Energy_kWh]]/ProductionData[[#This Row],[Actual_Production_t]]</f>
        <v>78.63975704030922</v>
      </c>
      <c r="Q168" s="23">
        <f>ProductionData[[#This Row],[Defects_t]]/ProductionData[[#This Row],[Actual_Production_t]]</f>
        <v>2.2087244616234127E-3</v>
      </c>
      <c r="R168" t="str">
        <f>IF(ProductionData[[#This Row],[Achievement%]]&gt;=100%,"On Target",IF(ProductionData[[#This Row],[Achievement%]]&lt;90%,"Significantly Below Target","Below Target"))</f>
        <v>Significantly Below Target</v>
      </c>
    </row>
    <row r="169" spans="1:18" x14ac:dyDescent="0.25">
      <c r="A169">
        <v>165</v>
      </c>
      <c r="B169" s="3">
        <v>46077</v>
      </c>
      <c r="C169" t="s">
        <v>18</v>
      </c>
      <c r="D169" t="s">
        <v>19</v>
      </c>
      <c r="E169" s="4">
        <v>990</v>
      </c>
      <c r="F169" s="4">
        <v>733.1</v>
      </c>
      <c r="G169" s="4">
        <v>4.17</v>
      </c>
      <c r="H169" t="s">
        <v>20</v>
      </c>
      <c r="I169" s="4">
        <v>1139.9000000000001</v>
      </c>
      <c r="J169" s="4">
        <v>58846.8</v>
      </c>
      <c r="K169">
        <v>3</v>
      </c>
      <c r="L169">
        <v>8</v>
      </c>
      <c r="M169" s="21">
        <f>(ProductionData[[#This Row],[Actual_Production_t]]/ProductionData[[#This Row],[Target_Production_t]])</f>
        <v>0.74050505050505055</v>
      </c>
      <c r="N169" s="5">
        <f>ProductionData[[#This Row],[Actual_Production_t]]/(ProductionData[[#This Row],[Target_Production_t]]*((8-ProductionData[[#This Row],[Downtime_hr]])/8))</f>
        <v>1.5467468417860062</v>
      </c>
      <c r="O169" s="4">
        <f>ProductionData[[#This Row],[Raw_Material_t]]/ProductionData[[#This Row],[Actual_Production_t]]</f>
        <v>1.5549038330377849</v>
      </c>
      <c r="P169" s="22">
        <f>ProductionData[[#This Row],[Energy_kWh]]/ProductionData[[#This Row],[Actual_Production_t]]</f>
        <v>80.271177192743153</v>
      </c>
      <c r="Q169" s="23">
        <f>ProductionData[[#This Row],[Defects_t]]/ProductionData[[#This Row],[Actual_Production_t]]</f>
        <v>4.092211158095758E-3</v>
      </c>
      <c r="R169" t="str">
        <f>IF(ProductionData[[#This Row],[Achievement%]]&gt;=100%,"On Target",IF(ProductionData[[#This Row],[Achievement%]]&lt;90%,"Significantly Below Target","Below Target"))</f>
        <v>Significantly Below Target</v>
      </c>
    </row>
    <row r="170" spans="1:18" x14ac:dyDescent="0.25">
      <c r="A170">
        <v>166</v>
      </c>
      <c r="B170" s="3">
        <v>46078</v>
      </c>
      <c r="C170" t="s">
        <v>13</v>
      </c>
      <c r="D170" t="s">
        <v>14</v>
      </c>
      <c r="E170" s="4">
        <v>1149</v>
      </c>
      <c r="F170" s="4">
        <v>1129.7</v>
      </c>
      <c r="G170" s="4">
        <v>0.04</v>
      </c>
      <c r="H170" t="s">
        <v>23</v>
      </c>
      <c r="I170" s="4">
        <v>1708.3</v>
      </c>
      <c r="J170" s="4">
        <v>89952.6</v>
      </c>
      <c r="K170">
        <v>3</v>
      </c>
      <c r="L170">
        <v>7</v>
      </c>
      <c r="M170" s="21">
        <f>(ProductionData[[#This Row],[Actual_Production_t]]/ProductionData[[#This Row],[Target_Production_t]])</f>
        <v>0.98320278503046132</v>
      </c>
      <c r="N170" s="5">
        <f>ProductionData[[#This Row],[Actual_Production_t]]/(ProductionData[[#This Row],[Target_Production_t]]*((8-ProductionData[[#This Row],[Downtime_hr]])/8))</f>
        <v>0.98814350254317729</v>
      </c>
      <c r="O170" s="4">
        <f>ProductionData[[#This Row],[Raw_Material_t]]/ProductionData[[#This Row],[Actual_Production_t]]</f>
        <v>1.5121713729308666</v>
      </c>
      <c r="P170" s="22">
        <f>ProductionData[[#This Row],[Energy_kWh]]/ProductionData[[#This Row],[Actual_Production_t]]</f>
        <v>79.625210232805173</v>
      </c>
      <c r="Q170" s="23">
        <f>ProductionData[[#This Row],[Defects_t]]/ProductionData[[#This Row],[Actual_Production_t]]</f>
        <v>2.6555722758254403E-3</v>
      </c>
      <c r="R170" t="str">
        <f>IF(ProductionData[[#This Row],[Achievement%]]&gt;=100%,"On Target",IF(ProductionData[[#This Row],[Achievement%]]&lt;90%,"Significantly Below Target","Below Target"))</f>
        <v>Below Target</v>
      </c>
    </row>
    <row r="171" spans="1:18" x14ac:dyDescent="0.25">
      <c r="A171">
        <v>167</v>
      </c>
      <c r="B171" s="3">
        <v>46078</v>
      </c>
      <c r="C171" t="s">
        <v>16</v>
      </c>
      <c r="D171" t="s">
        <v>14</v>
      </c>
      <c r="E171" s="4">
        <v>1155</v>
      </c>
      <c r="F171" s="4">
        <v>860.6</v>
      </c>
      <c r="G171" s="4">
        <v>5.94</v>
      </c>
      <c r="H171" t="s">
        <v>22</v>
      </c>
      <c r="I171" s="4">
        <v>1334</v>
      </c>
      <c r="J171" s="4">
        <v>71762.5</v>
      </c>
      <c r="K171">
        <v>0</v>
      </c>
      <c r="L171">
        <v>9</v>
      </c>
      <c r="M171" s="21">
        <f>(ProductionData[[#This Row],[Actual_Production_t]]/ProductionData[[#This Row],[Target_Production_t]])</f>
        <v>0.74510822510822516</v>
      </c>
      <c r="N171" s="5">
        <f>ProductionData[[#This Row],[Actual_Production_t]]/(ProductionData[[#This Row],[Target_Production_t]]*((8-ProductionData[[#This Row],[Downtime_hr]])/8))</f>
        <v>2.8936241751775738</v>
      </c>
      <c r="O171" s="4">
        <f>ProductionData[[#This Row],[Raw_Material_t]]/ProductionData[[#This Row],[Actual_Production_t]]</f>
        <v>1.550081338600976</v>
      </c>
      <c r="P171" s="22">
        <f>ProductionData[[#This Row],[Energy_kWh]]/ProductionData[[#This Row],[Actual_Production_t]]</f>
        <v>83.386590750639087</v>
      </c>
      <c r="Q171" s="23">
        <f>ProductionData[[#This Row],[Defects_t]]/ProductionData[[#This Row],[Actual_Production_t]]</f>
        <v>0</v>
      </c>
      <c r="R171" t="str">
        <f>IF(ProductionData[[#This Row],[Achievement%]]&gt;=100%,"On Target",IF(ProductionData[[#This Row],[Achievement%]]&lt;90%,"Significantly Below Target","Below Target"))</f>
        <v>Significantly Below Target</v>
      </c>
    </row>
    <row r="172" spans="1:18" x14ac:dyDescent="0.25">
      <c r="A172">
        <v>168</v>
      </c>
      <c r="B172" s="3">
        <v>46078</v>
      </c>
      <c r="C172" t="s">
        <v>18</v>
      </c>
      <c r="D172" t="s">
        <v>14</v>
      </c>
      <c r="E172" s="4">
        <v>1155</v>
      </c>
      <c r="F172" s="4">
        <v>867.4</v>
      </c>
      <c r="G172" s="4">
        <v>4.08</v>
      </c>
      <c r="H172" t="s">
        <v>21</v>
      </c>
      <c r="I172" s="4">
        <v>1326.2</v>
      </c>
      <c r="J172" s="4">
        <v>70908</v>
      </c>
      <c r="K172">
        <v>1</v>
      </c>
      <c r="L172">
        <v>7</v>
      </c>
      <c r="M172" s="21">
        <f>(ProductionData[[#This Row],[Actual_Production_t]]/ProductionData[[#This Row],[Target_Production_t]])</f>
        <v>0.75099567099567099</v>
      </c>
      <c r="N172" s="5">
        <f>ProductionData[[#This Row],[Actual_Production_t]]/(ProductionData[[#This Row],[Target_Production_t]]*((8-ProductionData[[#This Row],[Downtime_hr]])/8))</f>
        <v>1.5326442265217775</v>
      </c>
      <c r="O172" s="4">
        <f>ProductionData[[#This Row],[Raw_Material_t]]/ProductionData[[#This Row],[Actual_Production_t]]</f>
        <v>1.5289370532626241</v>
      </c>
      <c r="P172" s="22">
        <f>ProductionData[[#This Row],[Energy_kWh]]/ProductionData[[#This Row],[Actual_Production_t]]</f>
        <v>81.747751902236573</v>
      </c>
      <c r="Q172" s="23">
        <f>ProductionData[[#This Row],[Defects_t]]/ProductionData[[#This Row],[Actual_Production_t]]</f>
        <v>1.1528706479133042E-3</v>
      </c>
      <c r="R172" t="str">
        <f>IF(ProductionData[[#This Row],[Achievement%]]&gt;=100%,"On Target",IF(ProductionData[[#This Row],[Achievement%]]&lt;90%,"Significantly Below Target","Below Target"))</f>
        <v>Significantly Below Target</v>
      </c>
    </row>
    <row r="173" spans="1:18" x14ac:dyDescent="0.25">
      <c r="A173">
        <v>169</v>
      </c>
      <c r="B173" s="3">
        <v>46079</v>
      </c>
      <c r="C173" t="s">
        <v>13</v>
      </c>
      <c r="D173" t="s">
        <v>14</v>
      </c>
      <c r="E173" s="4">
        <v>1123</v>
      </c>
      <c r="F173" s="4">
        <v>1155.0999999999999</v>
      </c>
      <c r="G173" s="4">
        <v>0.15</v>
      </c>
      <c r="H173" t="s">
        <v>23</v>
      </c>
      <c r="I173" s="4">
        <v>1763.6</v>
      </c>
      <c r="J173" s="4">
        <v>96179.5</v>
      </c>
      <c r="K173">
        <v>1</v>
      </c>
      <c r="L173">
        <v>12</v>
      </c>
      <c r="M173" s="21">
        <f>(ProductionData[[#This Row],[Actual_Production_t]]/ProductionData[[#This Row],[Target_Production_t]])</f>
        <v>1.0285841495992876</v>
      </c>
      <c r="N173" s="5">
        <f>ProductionData[[#This Row],[Actual_Production_t]]/(ProductionData[[#This Row],[Target_Production_t]]*((8-ProductionData[[#This Row],[Downtime_hr]])/8))</f>
        <v>1.0482386237954524</v>
      </c>
      <c r="O173" s="4">
        <f>ProductionData[[#This Row],[Raw_Material_t]]/ProductionData[[#This Row],[Actual_Production_t]]</f>
        <v>1.5267942169509134</v>
      </c>
      <c r="P173" s="22">
        <f>ProductionData[[#This Row],[Energy_kWh]]/ProductionData[[#This Row],[Actual_Production_t]]</f>
        <v>83.26508527400226</v>
      </c>
      <c r="Q173" s="23">
        <f>ProductionData[[#This Row],[Defects_t]]/ProductionData[[#This Row],[Actual_Production_t]]</f>
        <v>8.6572591117652163E-4</v>
      </c>
      <c r="R173" t="str">
        <f>IF(ProductionData[[#This Row],[Achievement%]]&gt;=100%,"On Target",IF(ProductionData[[#This Row],[Achievement%]]&lt;90%,"Significantly Below Target","Below Target"))</f>
        <v>On Target</v>
      </c>
    </row>
    <row r="174" spans="1:18" x14ac:dyDescent="0.25">
      <c r="A174">
        <v>170</v>
      </c>
      <c r="B174" s="3">
        <v>46079</v>
      </c>
      <c r="C174" t="s">
        <v>16</v>
      </c>
      <c r="D174" t="s">
        <v>17</v>
      </c>
      <c r="E174" s="4">
        <v>1028</v>
      </c>
      <c r="F174" s="4">
        <v>954.8</v>
      </c>
      <c r="G174" s="4">
        <v>2.83</v>
      </c>
      <c r="H174" t="s">
        <v>15</v>
      </c>
      <c r="I174" s="4">
        <v>1450.6</v>
      </c>
      <c r="J174" s="4">
        <v>77133</v>
      </c>
      <c r="K174">
        <v>2</v>
      </c>
      <c r="L174">
        <v>9</v>
      </c>
      <c r="M174" s="21">
        <f>(ProductionData[[#This Row],[Actual_Production_t]]/ProductionData[[#This Row],[Target_Production_t]])</f>
        <v>0.92879377431906607</v>
      </c>
      <c r="N174" s="5">
        <f>ProductionData[[#This Row],[Actual_Production_t]]/(ProductionData[[#This Row],[Target_Production_t]]*((8-ProductionData[[#This Row],[Downtime_hr]])/8))</f>
        <v>1.4372050666445897</v>
      </c>
      <c r="O174" s="4">
        <f>ProductionData[[#This Row],[Raw_Material_t]]/ProductionData[[#This Row],[Actual_Production_t]]</f>
        <v>1.5192710515291161</v>
      </c>
      <c r="P174" s="22">
        <f>ProductionData[[#This Row],[Energy_kWh]]/ProductionData[[#This Row],[Actual_Production_t]]</f>
        <v>80.784457478005862</v>
      </c>
      <c r="Q174" s="23">
        <f>ProductionData[[#This Row],[Defects_t]]/ProductionData[[#This Row],[Actual_Production_t]]</f>
        <v>2.0946795140343527E-3</v>
      </c>
      <c r="R174" t="str">
        <f>IF(ProductionData[[#This Row],[Achievement%]]&gt;=100%,"On Target",IF(ProductionData[[#This Row],[Achievement%]]&lt;90%,"Significantly Below Target","Below Target"))</f>
        <v>Below Target</v>
      </c>
    </row>
    <row r="175" spans="1:18" x14ac:dyDescent="0.25">
      <c r="A175">
        <v>171</v>
      </c>
      <c r="B175" s="3">
        <v>46079</v>
      </c>
      <c r="C175" t="s">
        <v>18</v>
      </c>
      <c r="D175" t="s">
        <v>17</v>
      </c>
      <c r="E175" s="4">
        <v>1050</v>
      </c>
      <c r="F175" s="4">
        <v>784.6</v>
      </c>
      <c r="G175" s="4">
        <v>5.12</v>
      </c>
      <c r="H175" t="s">
        <v>20</v>
      </c>
      <c r="I175" s="4">
        <v>1212.7</v>
      </c>
      <c r="J175" s="4">
        <v>62297.9</v>
      </c>
      <c r="K175">
        <v>0</v>
      </c>
      <c r="L175">
        <v>9</v>
      </c>
      <c r="M175" s="21">
        <f>(ProductionData[[#This Row],[Actual_Production_t]]/ProductionData[[#This Row],[Target_Production_t]])</f>
        <v>0.74723809523809526</v>
      </c>
      <c r="N175" s="5">
        <f>ProductionData[[#This Row],[Actual_Production_t]]/(ProductionData[[#This Row],[Target_Production_t]]*((8-ProductionData[[#This Row],[Downtime_hr]])/8))</f>
        <v>2.0756613756613755</v>
      </c>
      <c r="O175" s="4">
        <f>ProductionData[[#This Row],[Raw_Material_t]]/ProductionData[[#This Row],[Actual_Production_t]]</f>
        <v>1.5456283456538364</v>
      </c>
      <c r="P175" s="22">
        <f>ProductionData[[#This Row],[Energy_kWh]]/ProductionData[[#This Row],[Actual_Production_t]]</f>
        <v>79.400841192964563</v>
      </c>
      <c r="Q175" s="23">
        <f>ProductionData[[#This Row],[Defects_t]]/ProductionData[[#This Row],[Actual_Production_t]]</f>
        <v>0</v>
      </c>
      <c r="R175" t="str">
        <f>IF(ProductionData[[#This Row],[Achievement%]]&gt;=100%,"On Target",IF(ProductionData[[#This Row],[Achievement%]]&lt;90%,"Significantly Below Target","Below Target"))</f>
        <v>Significantly Below Target</v>
      </c>
    </row>
    <row r="176" spans="1:18" x14ac:dyDescent="0.25">
      <c r="A176">
        <v>172</v>
      </c>
      <c r="B176" s="3">
        <v>46080</v>
      </c>
      <c r="C176" t="s">
        <v>13</v>
      </c>
      <c r="D176" t="s">
        <v>14</v>
      </c>
      <c r="E176" s="4">
        <v>1159</v>
      </c>
      <c r="F176" s="4">
        <v>1083.5</v>
      </c>
      <c r="G176" s="4">
        <v>2.71</v>
      </c>
      <c r="H176" t="s">
        <v>22</v>
      </c>
      <c r="I176" s="4">
        <v>1712.2</v>
      </c>
      <c r="J176" s="4">
        <v>88480.9</v>
      </c>
      <c r="K176">
        <v>1</v>
      </c>
      <c r="L176">
        <v>9</v>
      </c>
      <c r="M176" s="21">
        <f>(ProductionData[[#This Row],[Actual_Production_t]]/ProductionData[[#This Row],[Target_Production_t]])</f>
        <v>0.93485763589301119</v>
      </c>
      <c r="N176" s="5">
        <f>ProductionData[[#This Row],[Actual_Production_t]]/(ProductionData[[#This Row],[Target_Production_t]]*((8-ProductionData[[#This Row],[Downtime_hr]])/8))</f>
        <v>1.4137733624090907</v>
      </c>
      <c r="O176" s="4">
        <f>ProductionData[[#This Row],[Raw_Material_t]]/ProductionData[[#This Row],[Actual_Production_t]]</f>
        <v>1.5802491924319335</v>
      </c>
      <c r="P176" s="22">
        <f>ProductionData[[#This Row],[Energy_kWh]]/ProductionData[[#This Row],[Actual_Production_t]]</f>
        <v>81.662113520996769</v>
      </c>
      <c r="Q176" s="23">
        <f>ProductionData[[#This Row],[Defects_t]]/ProductionData[[#This Row],[Actual_Production_t]]</f>
        <v>9.2293493308721734E-4</v>
      </c>
      <c r="R176" t="str">
        <f>IF(ProductionData[[#This Row],[Achievement%]]&gt;=100%,"On Target",IF(ProductionData[[#This Row],[Achievement%]]&lt;90%,"Significantly Below Target","Below Target"))</f>
        <v>Below Target</v>
      </c>
    </row>
    <row r="177" spans="1:18" x14ac:dyDescent="0.25">
      <c r="A177">
        <v>173</v>
      </c>
      <c r="B177" s="3">
        <v>46080</v>
      </c>
      <c r="C177" t="s">
        <v>16</v>
      </c>
      <c r="D177" t="s">
        <v>19</v>
      </c>
      <c r="E177" s="4">
        <v>1004</v>
      </c>
      <c r="F177" s="4">
        <v>968</v>
      </c>
      <c r="G177" s="4">
        <v>0.3</v>
      </c>
      <c r="H177" t="s">
        <v>24</v>
      </c>
      <c r="I177" s="4">
        <v>1459.5</v>
      </c>
      <c r="J177" s="4">
        <v>77997.2</v>
      </c>
      <c r="K177">
        <v>5</v>
      </c>
      <c r="L177">
        <v>10</v>
      </c>
      <c r="M177" s="21">
        <f>(ProductionData[[#This Row],[Actual_Production_t]]/ProductionData[[#This Row],[Target_Production_t]])</f>
        <v>0.96414342629482075</v>
      </c>
      <c r="N177" s="5">
        <f>ProductionData[[#This Row],[Actual_Production_t]]/(ProductionData[[#This Row],[Target_Production_t]]*((8-ProductionData[[#This Row],[Downtime_hr]])/8))</f>
        <v>1.0017074558907229</v>
      </c>
      <c r="O177" s="4">
        <f>ProductionData[[#This Row],[Raw_Material_t]]/ProductionData[[#This Row],[Actual_Production_t]]</f>
        <v>1.5077479338842976</v>
      </c>
      <c r="P177" s="22">
        <f>ProductionData[[#This Row],[Energy_kWh]]/ProductionData[[#This Row],[Actual_Production_t]]</f>
        <v>80.575619834710736</v>
      </c>
      <c r="Q177" s="23">
        <f>ProductionData[[#This Row],[Defects_t]]/ProductionData[[#This Row],[Actual_Production_t]]</f>
        <v>5.1652892561983473E-3</v>
      </c>
      <c r="R177" t="str">
        <f>IF(ProductionData[[#This Row],[Achievement%]]&gt;=100%,"On Target",IF(ProductionData[[#This Row],[Achievement%]]&lt;90%,"Significantly Below Target","Below Target"))</f>
        <v>Below Target</v>
      </c>
    </row>
    <row r="178" spans="1:18" x14ac:dyDescent="0.25">
      <c r="A178">
        <v>174</v>
      </c>
      <c r="B178" s="3">
        <v>46080</v>
      </c>
      <c r="C178" t="s">
        <v>18</v>
      </c>
      <c r="D178" t="s">
        <v>14</v>
      </c>
      <c r="E178" s="4">
        <v>1154</v>
      </c>
      <c r="F178" s="4">
        <v>973.6</v>
      </c>
      <c r="G178" s="4">
        <v>0.13</v>
      </c>
      <c r="H178" t="s">
        <v>23</v>
      </c>
      <c r="I178" s="4">
        <v>1510.7</v>
      </c>
      <c r="J178" s="4">
        <v>78993.899999999994</v>
      </c>
      <c r="K178">
        <v>0</v>
      </c>
      <c r="L178">
        <v>11</v>
      </c>
      <c r="M178" s="21">
        <f>(ProductionData[[#This Row],[Actual_Production_t]]/ProductionData[[#This Row],[Target_Production_t]])</f>
        <v>0.84367417677642986</v>
      </c>
      <c r="N178" s="5">
        <f>ProductionData[[#This Row],[Actual_Production_t]]/(ProductionData[[#This Row],[Target_Production_t]]*((8-ProductionData[[#This Row],[Downtime_hr]])/8))</f>
        <v>0.85761034488074195</v>
      </c>
      <c r="O178" s="4">
        <f>ProductionData[[#This Row],[Raw_Material_t]]/ProductionData[[#This Row],[Actual_Production_t]]</f>
        <v>1.5516639276910436</v>
      </c>
      <c r="P178" s="22">
        <f>ProductionData[[#This Row],[Energy_kWh]]/ProductionData[[#This Row],[Actual_Production_t]]</f>
        <v>81.135887428101881</v>
      </c>
      <c r="Q178" s="23">
        <f>ProductionData[[#This Row],[Defects_t]]/ProductionData[[#This Row],[Actual_Production_t]]</f>
        <v>0</v>
      </c>
      <c r="R178" t="str">
        <f>IF(ProductionData[[#This Row],[Achievement%]]&gt;=100%,"On Target",IF(ProductionData[[#This Row],[Achievement%]]&lt;90%,"Significantly Below Target","Below Target"))</f>
        <v>Significantly Below Target</v>
      </c>
    </row>
    <row r="179" spans="1:18" x14ac:dyDescent="0.25">
      <c r="A179">
        <v>175</v>
      </c>
      <c r="B179" s="3">
        <v>46081</v>
      </c>
      <c r="C179" t="s">
        <v>13</v>
      </c>
      <c r="D179" t="s">
        <v>17</v>
      </c>
      <c r="E179" s="4">
        <v>1036</v>
      </c>
      <c r="F179" s="4">
        <v>1024.3</v>
      </c>
      <c r="G179" s="4">
        <v>0.17</v>
      </c>
      <c r="H179" t="s">
        <v>23</v>
      </c>
      <c r="I179" s="4">
        <v>1506.5</v>
      </c>
      <c r="J179" s="4">
        <v>83653.600000000006</v>
      </c>
      <c r="K179">
        <v>2</v>
      </c>
      <c r="L179">
        <v>11</v>
      </c>
      <c r="M179" s="21">
        <f>(ProductionData[[#This Row],[Actual_Production_t]]/ProductionData[[#This Row],[Target_Production_t]])</f>
        <v>0.98870656370656362</v>
      </c>
      <c r="N179" s="5">
        <f>ProductionData[[#This Row],[Actual_Production_t]]/(ProductionData[[#This Row],[Target_Production_t]]*((8-ProductionData[[#This Row],[Downtime_hr]])/8))</f>
        <v>1.0101727343106652</v>
      </c>
      <c r="O179" s="4">
        <f>ProductionData[[#This Row],[Raw_Material_t]]/ProductionData[[#This Row],[Actual_Production_t]]</f>
        <v>1.4707605193790882</v>
      </c>
      <c r="P179" s="22">
        <f>ProductionData[[#This Row],[Energy_kWh]]/ProductionData[[#This Row],[Actual_Production_t]]</f>
        <v>81.669042272771662</v>
      </c>
      <c r="Q179" s="23">
        <f>ProductionData[[#This Row],[Defects_t]]/ProductionData[[#This Row],[Actual_Production_t]]</f>
        <v>1.9525529629991214E-3</v>
      </c>
      <c r="R179" t="str">
        <f>IF(ProductionData[[#This Row],[Achievement%]]&gt;=100%,"On Target",IF(ProductionData[[#This Row],[Achievement%]]&lt;90%,"Significantly Below Target","Below Target"))</f>
        <v>Below Target</v>
      </c>
    </row>
    <row r="180" spans="1:18" x14ac:dyDescent="0.25">
      <c r="A180">
        <v>176</v>
      </c>
      <c r="B180" s="3">
        <v>46081</v>
      </c>
      <c r="C180" t="s">
        <v>16</v>
      </c>
      <c r="D180" t="s">
        <v>17</v>
      </c>
      <c r="E180" s="4">
        <v>1058</v>
      </c>
      <c r="F180" s="4">
        <v>851.5</v>
      </c>
      <c r="G180" s="4">
        <v>3.79</v>
      </c>
      <c r="H180" t="s">
        <v>20</v>
      </c>
      <c r="I180" s="4">
        <v>1305.5999999999999</v>
      </c>
      <c r="J180" s="4">
        <v>69210.899999999994</v>
      </c>
      <c r="K180">
        <v>1</v>
      </c>
      <c r="L180">
        <v>7</v>
      </c>
      <c r="M180" s="21">
        <f>(ProductionData[[#This Row],[Actual_Production_t]]/ProductionData[[#This Row],[Target_Production_t]])</f>
        <v>0.80482041587901698</v>
      </c>
      <c r="N180" s="5">
        <f>ProductionData[[#This Row],[Actual_Production_t]]/(ProductionData[[#This Row],[Target_Production_t]]*((8-ProductionData[[#This Row],[Downtime_hr]])/8))</f>
        <v>1.5293499589149966</v>
      </c>
      <c r="O180" s="4">
        <f>ProductionData[[#This Row],[Raw_Material_t]]/ProductionData[[#This Row],[Actual_Production_t]]</f>
        <v>1.5332941867293011</v>
      </c>
      <c r="P180" s="22">
        <f>ProductionData[[#This Row],[Energy_kWh]]/ProductionData[[#This Row],[Actual_Production_t]]</f>
        <v>81.28115091015853</v>
      </c>
      <c r="Q180" s="23">
        <f>ProductionData[[#This Row],[Defects_t]]/ProductionData[[#This Row],[Actual_Production_t]]</f>
        <v>1.1743981209630064E-3</v>
      </c>
      <c r="R180" t="str">
        <f>IF(ProductionData[[#This Row],[Achievement%]]&gt;=100%,"On Target",IF(ProductionData[[#This Row],[Achievement%]]&lt;90%,"Significantly Below Target","Below Target"))</f>
        <v>Significantly Below Target</v>
      </c>
    </row>
    <row r="181" spans="1:18" x14ac:dyDescent="0.25">
      <c r="A181">
        <v>177</v>
      </c>
      <c r="B181" s="3">
        <v>46081</v>
      </c>
      <c r="C181" t="s">
        <v>18</v>
      </c>
      <c r="D181" t="s">
        <v>19</v>
      </c>
      <c r="E181" s="4">
        <v>960</v>
      </c>
      <c r="F181" s="4">
        <v>792</v>
      </c>
      <c r="G181" s="4">
        <v>0.25</v>
      </c>
      <c r="H181" t="s">
        <v>23</v>
      </c>
      <c r="I181" s="4">
        <v>1192.7</v>
      </c>
      <c r="J181" s="4">
        <v>62873</v>
      </c>
      <c r="K181">
        <v>2</v>
      </c>
      <c r="L181">
        <v>11</v>
      </c>
      <c r="M181" s="21">
        <f>(ProductionData[[#This Row],[Actual_Production_t]]/ProductionData[[#This Row],[Target_Production_t]])</f>
        <v>0.82499999999999996</v>
      </c>
      <c r="N181" s="5">
        <f>ProductionData[[#This Row],[Actual_Production_t]]/(ProductionData[[#This Row],[Target_Production_t]]*((8-ProductionData[[#This Row],[Downtime_hr]])/8))</f>
        <v>0.85161290322580641</v>
      </c>
      <c r="O181" s="4">
        <f>ProductionData[[#This Row],[Raw_Material_t]]/ProductionData[[#This Row],[Actual_Production_t]]</f>
        <v>1.5059343434343435</v>
      </c>
      <c r="P181" s="22">
        <f>ProductionData[[#This Row],[Energy_kWh]]/ProductionData[[#This Row],[Actual_Production_t]]</f>
        <v>79.38510101010101</v>
      </c>
      <c r="Q181" s="23">
        <f>ProductionData[[#This Row],[Defects_t]]/ProductionData[[#This Row],[Actual_Production_t]]</f>
        <v>2.5252525252525255E-3</v>
      </c>
      <c r="R181" t="str">
        <f>IF(ProductionData[[#This Row],[Achievement%]]&gt;=100%,"On Target",IF(ProductionData[[#This Row],[Achievement%]]&lt;90%,"Significantly Below Target","Below Target"))</f>
        <v>Significantly Below Target</v>
      </c>
    </row>
    <row r="182" spans="1:18" x14ac:dyDescent="0.25">
      <c r="A182">
        <v>178</v>
      </c>
      <c r="B182" s="3">
        <v>46082</v>
      </c>
      <c r="C182" t="s">
        <v>13</v>
      </c>
      <c r="D182" t="s">
        <v>17</v>
      </c>
      <c r="E182" s="4">
        <v>1021</v>
      </c>
      <c r="F182" s="4">
        <v>1057.5</v>
      </c>
      <c r="G182" s="4">
        <v>0.48</v>
      </c>
      <c r="H182" t="s">
        <v>23</v>
      </c>
      <c r="I182" s="4">
        <v>1632.9</v>
      </c>
      <c r="J182" s="4">
        <v>88490.2</v>
      </c>
      <c r="K182">
        <v>0</v>
      </c>
      <c r="L182">
        <v>12</v>
      </c>
      <c r="M182" s="21">
        <f>(ProductionData[[#This Row],[Actual_Production_t]]/ProductionData[[#This Row],[Target_Production_t]])</f>
        <v>1.0357492654260529</v>
      </c>
      <c r="N182" s="5">
        <f>ProductionData[[#This Row],[Actual_Production_t]]/(ProductionData[[#This Row],[Target_Production_t]]*((8-ProductionData[[#This Row],[Downtime_hr]])/8))</f>
        <v>1.1018609206660139</v>
      </c>
      <c r="O182" s="4">
        <f>ProductionData[[#This Row],[Raw_Material_t]]/ProductionData[[#This Row],[Actual_Production_t]]</f>
        <v>1.5441134751773051</v>
      </c>
      <c r="P182" s="22">
        <f>ProductionData[[#This Row],[Energy_kWh]]/ProductionData[[#This Row],[Actual_Production_t]]</f>
        <v>83.678676122931435</v>
      </c>
      <c r="Q182" s="23">
        <f>ProductionData[[#This Row],[Defects_t]]/ProductionData[[#This Row],[Actual_Production_t]]</f>
        <v>0</v>
      </c>
      <c r="R182" t="str">
        <f>IF(ProductionData[[#This Row],[Achievement%]]&gt;=100%,"On Target",IF(ProductionData[[#This Row],[Achievement%]]&lt;90%,"Significantly Below Target","Below Target"))</f>
        <v>On Target</v>
      </c>
    </row>
    <row r="183" spans="1:18" x14ac:dyDescent="0.25">
      <c r="A183">
        <v>179</v>
      </c>
      <c r="B183" s="3">
        <v>46082</v>
      </c>
      <c r="C183" t="s">
        <v>16</v>
      </c>
      <c r="D183" t="s">
        <v>14</v>
      </c>
      <c r="E183" s="4">
        <v>1158</v>
      </c>
      <c r="F183" s="4">
        <v>1000.4</v>
      </c>
      <c r="G183" s="4">
        <v>3.61</v>
      </c>
      <c r="H183" t="s">
        <v>15</v>
      </c>
      <c r="I183" s="4">
        <v>1445.3</v>
      </c>
      <c r="J183" s="4">
        <v>79158</v>
      </c>
      <c r="K183">
        <v>2</v>
      </c>
      <c r="L183">
        <v>7</v>
      </c>
      <c r="M183" s="21">
        <f>(ProductionData[[#This Row],[Actual_Production_t]]/ProductionData[[#This Row],[Target_Production_t]])</f>
        <v>0.86390328151986184</v>
      </c>
      <c r="N183" s="5">
        <f>ProductionData[[#This Row],[Actual_Production_t]]/(ProductionData[[#This Row],[Target_Production_t]]*((8-ProductionData[[#This Row],[Downtime_hr]])/8))</f>
        <v>1.5743112191705908</v>
      </c>
      <c r="O183" s="4">
        <f>ProductionData[[#This Row],[Raw_Material_t]]/ProductionData[[#This Row],[Actual_Production_t]]</f>
        <v>1.4447221111555377</v>
      </c>
      <c r="P183" s="22">
        <f>ProductionData[[#This Row],[Energy_kWh]]/ProductionData[[#This Row],[Actual_Production_t]]</f>
        <v>79.12634946021592</v>
      </c>
      <c r="Q183" s="23">
        <f>ProductionData[[#This Row],[Defects_t]]/ProductionData[[#This Row],[Actual_Production_t]]</f>
        <v>1.9992003198720512E-3</v>
      </c>
      <c r="R183" t="str">
        <f>IF(ProductionData[[#This Row],[Achievement%]]&gt;=100%,"On Target",IF(ProductionData[[#This Row],[Achievement%]]&lt;90%,"Significantly Below Target","Below Target"))</f>
        <v>Significantly Below Target</v>
      </c>
    </row>
    <row r="184" spans="1:18" x14ac:dyDescent="0.25">
      <c r="A184">
        <v>180</v>
      </c>
      <c r="B184" s="3">
        <v>46082</v>
      </c>
      <c r="C184" t="s">
        <v>18</v>
      </c>
      <c r="D184" t="s">
        <v>14</v>
      </c>
      <c r="E184" s="4">
        <v>1124</v>
      </c>
      <c r="F184" s="4">
        <v>900.4</v>
      </c>
      <c r="G184" s="4">
        <v>4.26</v>
      </c>
      <c r="H184" t="s">
        <v>20</v>
      </c>
      <c r="I184" s="4">
        <v>1376</v>
      </c>
      <c r="J184" s="4">
        <v>77124.5</v>
      </c>
      <c r="K184">
        <v>2</v>
      </c>
      <c r="L184">
        <v>10</v>
      </c>
      <c r="M184" s="21">
        <f>(ProductionData[[#This Row],[Actual_Production_t]]/ProductionData[[#This Row],[Target_Production_t]])</f>
        <v>0.80106761565836293</v>
      </c>
      <c r="N184" s="5">
        <f>ProductionData[[#This Row],[Actual_Production_t]]/(ProductionData[[#This Row],[Target_Production_t]]*((8-ProductionData[[#This Row],[Downtime_hr]])/8))</f>
        <v>1.713513616381525</v>
      </c>
      <c r="O184" s="4">
        <f>ProductionData[[#This Row],[Raw_Material_t]]/ProductionData[[#This Row],[Actual_Production_t]]</f>
        <v>1.5282096845846291</v>
      </c>
      <c r="P184" s="22">
        <f>ProductionData[[#This Row],[Energy_kWh]]/ProductionData[[#This Row],[Actual_Production_t]]</f>
        <v>85.655819635717464</v>
      </c>
      <c r="Q184" s="23">
        <f>ProductionData[[#This Row],[Defects_t]]/ProductionData[[#This Row],[Actual_Production_t]]</f>
        <v>2.221235006663705E-3</v>
      </c>
      <c r="R184" t="str">
        <f>IF(ProductionData[[#This Row],[Achievement%]]&gt;=100%,"On Target",IF(ProductionData[[#This Row],[Achievement%]]&lt;90%,"Significantly Below Target","Below Target"))</f>
        <v>Significantly Below Target</v>
      </c>
    </row>
    <row r="185" spans="1:18" x14ac:dyDescent="0.25">
      <c r="A185">
        <v>181</v>
      </c>
      <c r="B185" s="3">
        <v>46083</v>
      </c>
      <c r="C185" t="s">
        <v>13</v>
      </c>
      <c r="D185" t="s">
        <v>14</v>
      </c>
      <c r="E185" s="4">
        <v>1179</v>
      </c>
      <c r="F185" s="4">
        <v>1093.5</v>
      </c>
      <c r="G185" s="4">
        <v>1.56</v>
      </c>
      <c r="H185" t="s">
        <v>15</v>
      </c>
      <c r="I185" s="4">
        <v>1597.1</v>
      </c>
      <c r="J185" s="4">
        <v>86840</v>
      </c>
      <c r="K185">
        <v>2</v>
      </c>
      <c r="L185">
        <v>11</v>
      </c>
      <c r="M185" s="21">
        <f>(ProductionData[[#This Row],[Actual_Production_t]]/ProductionData[[#This Row],[Target_Production_t]])</f>
        <v>0.9274809160305344</v>
      </c>
      <c r="N185" s="5">
        <f>ProductionData[[#This Row],[Actual_Production_t]]/(ProductionData[[#This Row],[Target_Production_t]]*((8-ProductionData[[#This Row],[Downtime_hr]])/8))</f>
        <v>1.1521502062491111</v>
      </c>
      <c r="O185" s="4">
        <f>ProductionData[[#This Row],[Raw_Material_t]]/ProductionData[[#This Row],[Actual_Production_t]]</f>
        <v>1.4605395518975766</v>
      </c>
      <c r="P185" s="22">
        <f>ProductionData[[#This Row],[Energy_kWh]]/ProductionData[[#This Row],[Actual_Production_t]]</f>
        <v>79.414723365340649</v>
      </c>
      <c r="Q185" s="23">
        <f>ProductionData[[#This Row],[Defects_t]]/ProductionData[[#This Row],[Actual_Production_t]]</f>
        <v>1.8289894833104709E-3</v>
      </c>
      <c r="R185" t="str">
        <f>IF(ProductionData[[#This Row],[Achievement%]]&gt;=100%,"On Target",IF(ProductionData[[#This Row],[Achievement%]]&lt;90%,"Significantly Below Target","Below Target"))</f>
        <v>Below Target</v>
      </c>
    </row>
    <row r="186" spans="1:18" x14ac:dyDescent="0.25">
      <c r="A186">
        <v>182</v>
      </c>
      <c r="B186" s="3">
        <v>46083</v>
      </c>
      <c r="C186" t="s">
        <v>16</v>
      </c>
      <c r="D186" t="s">
        <v>19</v>
      </c>
      <c r="E186" s="4">
        <v>964</v>
      </c>
      <c r="F186" s="4">
        <v>974.5</v>
      </c>
      <c r="G186" s="4">
        <v>0.35</v>
      </c>
      <c r="H186" t="s">
        <v>23</v>
      </c>
      <c r="I186" s="4">
        <v>1544</v>
      </c>
      <c r="J186" s="4">
        <v>77005.100000000006</v>
      </c>
      <c r="K186">
        <v>3</v>
      </c>
      <c r="L186">
        <v>8</v>
      </c>
      <c r="M186" s="21">
        <f>(ProductionData[[#This Row],[Actual_Production_t]]/ProductionData[[#This Row],[Target_Production_t]])</f>
        <v>1.0108921161825726</v>
      </c>
      <c r="N186" s="5">
        <f>ProductionData[[#This Row],[Actual_Production_t]]/(ProductionData[[#This Row],[Target_Production_t]]*((8-ProductionData[[#This Row],[Downtime_hr]])/8))</f>
        <v>1.0571420822824289</v>
      </c>
      <c r="O186" s="4">
        <f>ProductionData[[#This Row],[Raw_Material_t]]/ProductionData[[#This Row],[Actual_Production_t]]</f>
        <v>1.5844022575679835</v>
      </c>
      <c r="P186" s="22">
        <f>ProductionData[[#This Row],[Energy_kWh]]/ProductionData[[#This Row],[Actual_Production_t]]</f>
        <v>79.020112878399189</v>
      </c>
      <c r="Q186" s="23">
        <f>ProductionData[[#This Row],[Defects_t]]/ProductionData[[#This Row],[Actual_Production_t]]</f>
        <v>3.0785017957927143E-3</v>
      </c>
      <c r="R186" t="str">
        <f>IF(ProductionData[[#This Row],[Achievement%]]&gt;=100%,"On Target",IF(ProductionData[[#This Row],[Achievement%]]&lt;90%,"Significantly Below Target","Below Target"))</f>
        <v>On Target</v>
      </c>
    </row>
    <row r="187" spans="1:18" x14ac:dyDescent="0.25">
      <c r="A187">
        <v>183</v>
      </c>
      <c r="B187" s="3">
        <v>46083</v>
      </c>
      <c r="C187" t="s">
        <v>18</v>
      </c>
      <c r="D187" t="s">
        <v>14</v>
      </c>
      <c r="E187" s="4">
        <v>1176</v>
      </c>
      <c r="F187" s="4">
        <v>894.5</v>
      </c>
      <c r="G187" s="4">
        <v>3.3</v>
      </c>
      <c r="H187" t="s">
        <v>20</v>
      </c>
      <c r="I187" s="4">
        <v>1409.3</v>
      </c>
      <c r="J187" s="4">
        <v>76140.100000000006</v>
      </c>
      <c r="K187">
        <v>2</v>
      </c>
      <c r="L187">
        <v>11</v>
      </c>
      <c r="M187" s="21">
        <f>(ProductionData[[#This Row],[Actual_Production_t]]/ProductionData[[#This Row],[Target_Production_t]])</f>
        <v>0.7606292517006803</v>
      </c>
      <c r="N187" s="5">
        <f>ProductionData[[#This Row],[Actual_Production_t]]/(ProductionData[[#This Row],[Target_Production_t]]*((8-ProductionData[[#This Row],[Downtime_hr]])/8))</f>
        <v>1.294688088001158</v>
      </c>
      <c r="O187" s="4">
        <f>ProductionData[[#This Row],[Raw_Material_t]]/ProductionData[[#This Row],[Actual_Production_t]]</f>
        <v>1.5755170486305199</v>
      </c>
      <c r="P187" s="22">
        <f>ProductionData[[#This Row],[Energy_kWh]]/ProductionData[[#This Row],[Actual_Production_t]]</f>
        <v>85.120290665176086</v>
      </c>
      <c r="Q187" s="23">
        <f>ProductionData[[#This Row],[Defects_t]]/ProductionData[[#This Row],[Actual_Production_t]]</f>
        <v>2.2358859698155395E-3</v>
      </c>
      <c r="R187" t="str">
        <f>IF(ProductionData[[#This Row],[Achievement%]]&gt;=100%,"On Target",IF(ProductionData[[#This Row],[Achievement%]]&lt;90%,"Significantly Below Target","Below Target"))</f>
        <v>Significantly Below Target</v>
      </c>
    </row>
    <row r="188" spans="1:18" x14ac:dyDescent="0.25">
      <c r="A188">
        <v>184</v>
      </c>
      <c r="B188" s="3">
        <v>46084</v>
      </c>
      <c r="C188" t="s">
        <v>13</v>
      </c>
      <c r="D188" t="s">
        <v>17</v>
      </c>
      <c r="E188" s="4">
        <v>1046</v>
      </c>
      <c r="F188" s="4">
        <v>1022.6</v>
      </c>
      <c r="G188" s="4">
        <v>1.64</v>
      </c>
      <c r="H188" t="s">
        <v>15</v>
      </c>
      <c r="I188" s="4">
        <v>1601.2</v>
      </c>
      <c r="J188" s="4">
        <v>89558.5</v>
      </c>
      <c r="K188">
        <v>1</v>
      </c>
      <c r="L188">
        <v>12</v>
      </c>
      <c r="M188" s="21">
        <f>(ProductionData[[#This Row],[Actual_Production_t]]/ProductionData[[#This Row],[Target_Production_t]])</f>
        <v>0.97762906309751441</v>
      </c>
      <c r="N188" s="5">
        <f>ProductionData[[#This Row],[Actual_Production_t]]/(ProductionData[[#This Row],[Target_Production_t]]*((8-ProductionData[[#This Row],[Downtime_hr]])/8))</f>
        <v>1.2297220919465588</v>
      </c>
      <c r="O188" s="4">
        <f>ProductionData[[#This Row],[Raw_Material_t]]/ProductionData[[#This Row],[Actual_Production_t]]</f>
        <v>1.5658126344611774</v>
      </c>
      <c r="P188" s="22">
        <f>ProductionData[[#This Row],[Energy_kWh]]/ProductionData[[#This Row],[Actual_Production_t]]</f>
        <v>87.579209857226672</v>
      </c>
      <c r="Q188" s="23">
        <f>ProductionData[[#This Row],[Defects_t]]/ProductionData[[#This Row],[Actual_Production_t]]</f>
        <v>9.7789947193428523E-4</v>
      </c>
      <c r="R188" t="str">
        <f>IF(ProductionData[[#This Row],[Achievement%]]&gt;=100%,"On Target",IF(ProductionData[[#This Row],[Achievement%]]&lt;90%,"Significantly Below Target","Below Target"))</f>
        <v>Below Target</v>
      </c>
    </row>
    <row r="189" spans="1:18" x14ac:dyDescent="0.25">
      <c r="A189">
        <v>185</v>
      </c>
      <c r="B189" s="3">
        <v>46084</v>
      </c>
      <c r="C189" t="s">
        <v>16</v>
      </c>
      <c r="D189" t="s">
        <v>17</v>
      </c>
      <c r="E189" s="4">
        <v>1047</v>
      </c>
      <c r="F189" s="4">
        <v>1057.5</v>
      </c>
      <c r="G189" s="4">
        <v>0.28999999999999998</v>
      </c>
      <c r="H189" t="s">
        <v>23</v>
      </c>
      <c r="I189" s="4">
        <v>1572.7</v>
      </c>
      <c r="J189" s="4">
        <v>87315.9</v>
      </c>
      <c r="K189">
        <v>2</v>
      </c>
      <c r="L189">
        <v>9</v>
      </c>
      <c r="M189" s="21">
        <f>(ProductionData[[#This Row],[Actual_Production_t]]/ProductionData[[#This Row],[Target_Production_t]])</f>
        <v>1.010028653295129</v>
      </c>
      <c r="N189" s="5">
        <f>ProductionData[[#This Row],[Actual_Production_t]]/(ProductionData[[#This Row],[Target_Production_t]]*((8-ProductionData[[#This Row],[Downtime_hr]])/8))</f>
        <v>1.0480193549106396</v>
      </c>
      <c r="O189" s="4">
        <f>ProductionData[[#This Row],[Raw_Material_t]]/ProductionData[[#This Row],[Actual_Production_t]]</f>
        <v>1.4871867612293144</v>
      </c>
      <c r="P189" s="22">
        <f>ProductionData[[#This Row],[Energy_kWh]]/ProductionData[[#This Row],[Actual_Production_t]]</f>
        <v>82.5682269503546</v>
      </c>
      <c r="Q189" s="23">
        <f>ProductionData[[#This Row],[Defects_t]]/ProductionData[[#This Row],[Actual_Production_t]]</f>
        <v>1.8912529550827422E-3</v>
      </c>
      <c r="R189" t="str">
        <f>IF(ProductionData[[#This Row],[Achievement%]]&gt;=100%,"On Target",IF(ProductionData[[#This Row],[Achievement%]]&lt;90%,"Significantly Below Target","Below Target"))</f>
        <v>On Target</v>
      </c>
    </row>
    <row r="190" spans="1:18" x14ac:dyDescent="0.25">
      <c r="A190">
        <v>186</v>
      </c>
      <c r="B190" s="3">
        <v>46084</v>
      </c>
      <c r="C190" t="s">
        <v>18</v>
      </c>
      <c r="D190" t="s">
        <v>17</v>
      </c>
      <c r="E190" s="4">
        <v>1054</v>
      </c>
      <c r="F190" s="4">
        <v>809.9</v>
      </c>
      <c r="G190" s="4">
        <v>3.63</v>
      </c>
      <c r="H190" t="s">
        <v>15</v>
      </c>
      <c r="I190" s="4">
        <v>1223.7</v>
      </c>
      <c r="J190" s="4">
        <v>71588.100000000006</v>
      </c>
      <c r="K190">
        <v>2</v>
      </c>
      <c r="L190">
        <v>8</v>
      </c>
      <c r="M190" s="21">
        <f>(ProductionData[[#This Row],[Actual_Production_t]]/ProductionData[[#This Row],[Target_Production_t]])</f>
        <v>0.76840607210626188</v>
      </c>
      <c r="N190" s="5">
        <f>ProductionData[[#This Row],[Actual_Production_t]]/(ProductionData[[#This Row],[Target_Production_t]]*((8-ProductionData[[#This Row],[Downtime_hr]])/8))</f>
        <v>1.4066930381807996</v>
      </c>
      <c r="O190" s="4">
        <f>ProductionData[[#This Row],[Raw_Material_t]]/ProductionData[[#This Row],[Actual_Production_t]]</f>
        <v>1.5109272749722189</v>
      </c>
      <c r="P190" s="22">
        <f>ProductionData[[#This Row],[Energy_kWh]]/ProductionData[[#This Row],[Actual_Production_t]]</f>
        <v>88.391282874428953</v>
      </c>
      <c r="Q190" s="23">
        <f>ProductionData[[#This Row],[Defects_t]]/ProductionData[[#This Row],[Actual_Production_t]]</f>
        <v>2.4694406716878627E-3</v>
      </c>
      <c r="R190" t="str">
        <f>IF(ProductionData[[#This Row],[Achievement%]]&gt;=100%,"On Target",IF(ProductionData[[#This Row],[Achievement%]]&lt;90%,"Significantly Below Target","Below Target"))</f>
        <v>Significantly Below Target</v>
      </c>
    </row>
    <row r="191" spans="1:18" x14ac:dyDescent="0.25">
      <c r="A191">
        <v>187</v>
      </c>
      <c r="B191" s="3">
        <v>46085</v>
      </c>
      <c r="C191" t="s">
        <v>13</v>
      </c>
      <c r="D191" t="s">
        <v>14</v>
      </c>
      <c r="E191" s="4">
        <v>1144</v>
      </c>
      <c r="F191" s="4">
        <v>1179.2</v>
      </c>
      <c r="G191" s="4">
        <v>0.49</v>
      </c>
      <c r="H191" t="s">
        <v>23</v>
      </c>
      <c r="I191" s="4">
        <v>1728.8</v>
      </c>
      <c r="J191" s="4">
        <v>89680.3</v>
      </c>
      <c r="K191">
        <v>2</v>
      </c>
      <c r="L191">
        <v>7</v>
      </c>
      <c r="M191" s="21">
        <f>(ProductionData[[#This Row],[Actual_Production_t]]/ProductionData[[#This Row],[Target_Production_t]])</f>
        <v>1.0307692307692309</v>
      </c>
      <c r="N191" s="5">
        <f>ProductionData[[#This Row],[Actual_Production_t]]/(ProductionData[[#This Row],[Target_Production_t]]*((8-ProductionData[[#This Row],[Downtime_hr]])/8))</f>
        <v>1.0980231486223497</v>
      </c>
      <c r="O191" s="4">
        <f>ProductionData[[#This Row],[Raw_Material_t]]/ProductionData[[#This Row],[Actual_Production_t]]</f>
        <v>1.4660786974219808</v>
      </c>
      <c r="P191" s="22">
        <f>ProductionData[[#This Row],[Energy_kWh]]/ProductionData[[#This Row],[Actual_Production_t]]</f>
        <v>76.051814789687924</v>
      </c>
      <c r="Q191" s="23">
        <f>ProductionData[[#This Row],[Defects_t]]/ProductionData[[#This Row],[Actual_Production_t]]</f>
        <v>1.6960651289009497E-3</v>
      </c>
      <c r="R191" t="str">
        <f>IF(ProductionData[[#This Row],[Achievement%]]&gt;=100%,"On Target",IF(ProductionData[[#This Row],[Achievement%]]&lt;90%,"Significantly Below Target","Below Target"))</f>
        <v>On Target</v>
      </c>
    </row>
    <row r="192" spans="1:18" x14ac:dyDescent="0.25">
      <c r="A192">
        <v>188</v>
      </c>
      <c r="B192" s="3">
        <v>46085</v>
      </c>
      <c r="C192" t="s">
        <v>16</v>
      </c>
      <c r="D192" t="s">
        <v>17</v>
      </c>
      <c r="E192" s="4">
        <v>1062</v>
      </c>
      <c r="F192" s="4">
        <v>959.5</v>
      </c>
      <c r="G192" s="4">
        <v>2.93</v>
      </c>
      <c r="H192" t="s">
        <v>22</v>
      </c>
      <c r="I192" s="4">
        <v>1416.1</v>
      </c>
      <c r="J192" s="4">
        <v>75358.5</v>
      </c>
      <c r="K192">
        <v>4</v>
      </c>
      <c r="L192">
        <v>9</v>
      </c>
      <c r="M192" s="21">
        <f>(ProductionData[[#This Row],[Actual_Production_t]]/ProductionData[[#This Row],[Target_Production_t]])</f>
        <v>0.90348399246704336</v>
      </c>
      <c r="N192" s="5">
        <f>ProductionData[[#This Row],[Actual_Production_t]]/(ProductionData[[#This Row],[Target_Production_t]]*((8-ProductionData[[#This Row],[Downtime_hr]])/8))</f>
        <v>1.4256157672063798</v>
      </c>
      <c r="O192" s="4">
        <f>ProductionData[[#This Row],[Raw_Material_t]]/ProductionData[[#This Row],[Actual_Production_t]]</f>
        <v>1.475872850442939</v>
      </c>
      <c r="P192" s="22">
        <f>ProductionData[[#This Row],[Energy_kWh]]/ProductionData[[#This Row],[Actual_Production_t]]</f>
        <v>78.539343408025019</v>
      </c>
      <c r="Q192" s="23">
        <f>ProductionData[[#This Row],[Defects_t]]/ProductionData[[#This Row],[Actual_Production_t]]</f>
        <v>4.1688379364252211E-3</v>
      </c>
      <c r="R192" t="str">
        <f>IF(ProductionData[[#This Row],[Achievement%]]&gt;=100%,"On Target",IF(ProductionData[[#This Row],[Achievement%]]&lt;90%,"Significantly Below Target","Below Target"))</f>
        <v>Below Target</v>
      </c>
    </row>
    <row r="193" spans="1:18" x14ac:dyDescent="0.25">
      <c r="A193">
        <v>189</v>
      </c>
      <c r="B193" s="3">
        <v>46085</v>
      </c>
      <c r="C193" t="s">
        <v>18</v>
      </c>
      <c r="D193" t="s">
        <v>14</v>
      </c>
      <c r="E193" s="4">
        <v>1120</v>
      </c>
      <c r="F193" s="4">
        <v>987.2</v>
      </c>
      <c r="G193" s="4">
        <v>0.15</v>
      </c>
      <c r="H193" t="s">
        <v>23</v>
      </c>
      <c r="I193" s="4">
        <v>1537.3</v>
      </c>
      <c r="J193" s="4">
        <v>78443.899999999994</v>
      </c>
      <c r="K193">
        <v>2</v>
      </c>
      <c r="L193">
        <v>11</v>
      </c>
      <c r="M193" s="21">
        <f>(ProductionData[[#This Row],[Actual_Production_t]]/ProductionData[[#This Row],[Target_Production_t]])</f>
        <v>0.88142857142857145</v>
      </c>
      <c r="N193" s="5">
        <f>ProductionData[[#This Row],[Actual_Production_t]]/(ProductionData[[#This Row],[Target_Production_t]]*((8-ProductionData[[#This Row],[Downtime_hr]])/8))</f>
        <v>0.89827115559599635</v>
      </c>
      <c r="O193" s="4">
        <f>ProductionData[[#This Row],[Raw_Material_t]]/ProductionData[[#This Row],[Actual_Production_t]]</f>
        <v>1.5572325769854132</v>
      </c>
      <c r="P193" s="22">
        <f>ProductionData[[#This Row],[Energy_kWh]]/ProductionData[[#This Row],[Actual_Production_t]]</f>
        <v>79.461000810372767</v>
      </c>
      <c r="Q193" s="23">
        <f>ProductionData[[#This Row],[Defects_t]]/ProductionData[[#This Row],[Actual_Production_t]]</f>
        <v>2.0259319286871961E-3</v>
      </c>
      <c r="R193" t="str">
        <f>IF(ProductionData[[#This Row],[Achievement%]]&gt;=100%,"On Target",IF(ProductionData[[#This Row],[Achievement%]]&lt;90%,"Significantly Below Target","Below Target"))</f>
        <v>Significantly Below Target</v>
      </c>
    </row>
    <row r="194" spans="1:18" x14ac:dyDescent="0.25">
      <c r="A194">
        <v>190</v>
      </c>
      <c r="B194" s="3">
        <v>46086</v>
      </c>
      <c r="C194" t="s">
        <v>13</v>
      </c>
      <c r="D194" t="s">
        <v>17</v>
      </c>
      <c r="E194" s="4">
        <v>1045</v>
      </c>
      <c r="F194" s="4">
        <v>899.7</v>
      </c>
      <c r="G194" s="4">
        <v>5.03</v>
      </c>
      <c r="H194" t="s">
        <v>24</v>
      </c>
      <c r="I194" s="4">
        <v>1350.3</v>
      </c>
      <c r="J194" s="4">
        <v>73595</v>
      </c>
      <c r="K194">
        <v>2</v>
      </c>
      <c r="L194">
        <v>10</v>
      </c>
      <c r="M194" s="21">
        <f>(ProductionData[[#This Row],[Actual_Production_t]]/ProductionData[[#This Row],[Target_Production_t]])</f>
        <v>0.86095693779904314</v>
      </c>
      <c r="N194" s="5">
        <f>ProductionData[[#This Row],[Actual_Production_t]]/(ProductionData[[#This Row],[Target_Production_t]]*((8-ProductionData[[#This Row],[Downtime_hr]])/8))</f>
        <v>2.3190759267314296</v>
      </c>
      <c r="O194" s="4">
        <f>ProductionData[[#This Row],[Raw_Material_t]]/ProductionData[[#This Row],[Actual_Production_t]]</f>
        <v>1.5008336112037344</v>
      </c>
      <c r="P194" s="22">
        <f>ProductionData[[#This Row],[Energy_kWh]]/ProductionData[[#This Row],[Actual_Production_t]]</f>
        <v>81.799488718461703</v>
      </c>
      <c r="Q194" s="23">
        <f>ProductionData[[#This Row],[Defects_t]]/ProductionData[[#This Row],[Actual_Production_t]]</f>
        <v>2.222963209958875E-3</v>
      </c>
      <c r="R194" t="str">
        <f>IF(ProductionData[[#This Row],[Achievement%]]&gt;=100%,"On Target",IF(ProductionData[[#This Row],[Achievement%]]&lt;90%,"Significantly Below Target","Below Target"))</f>
        <v>Significantly Below Target</v>
      </c>
    </row>
    <row r="195" spans="1:18" x14ac:dyDescent="0.25">
      <c r="A195">
        <v>191</v>
      </c>
      <c r="B195" s="3">
        <v>46086</v>
      </c>
      <c r="C195" t="s">
        <v>16</v>
      </c>
      <c r="D195" t="s">
        <v>17</v>
      </c>
      <c r="E195" s="4">
        <v>1021</v>
      </c>
      <c r="F195" s="4">
        <v>991.4</v>
      </c>
      <c r="G195" s="4">
        <v>0.25</v>
      </c>
      <c r="H195" t="s">
        <v>23</v>
      </c>
      <c r="I195" s="4">
        <v>1504</v>
      </c>
      <c r="J195" s="4">
        <v>73659.899999999994</v>
      </c>
      <c r="K195">
        <v>5</v>
      </c>
      <c r="L195">
        <v>7</v>
      </c>
      <c r="M195" s="21">
        <f>(ProductionData[[#This Row],[Actual_Production_t]]/ProductionData[[#This Row],[Target_Production_t]])</f>
        <v>0.97100881488736535</v>
      </c>
      <c r="N195" s="5">
        <f>ProductionData[[#This Row],[Actual_Production_t]]/(ProductionData[[#This Row],[Target_Production_t]]*((8-ProductionData[[#This Row],[Downtime_hr]])/8))</f>
        <v>1.0023316798837318</v>
      </c>
      <c r="O195" s="4">
        <f>ProductionData[[#This Row],[Raw_Material_t]]/ProductionData[[#This Row],[Actual_Production_t]]</f>
        <v>1.5170466007665928</v>
      </c>
      <c r="P195" s="22">
        <f>ProductionData[[#This Row],[Energy_kWh]]/ProductionData[[#This Row],[Actual_Production_t]]</f>
        <v>74.298870284446238</v>
      </c>
      <c r="Q195" s="23">
        <f>ProductionData[[#This Row],[Defects_t]]/ProductionData[[#This Row],[Actual_Production_t]]</f>
        <v>5.0433730078676617E-3</v>
      </c>
      <c r="R195" t="str">
        <f>IF(ProductionData[[#This Row],[Achievement%]]&gt;=100%,"On Target",IF(ProductionData[[#This Row],[Achievement%]]&lt;90%,"Significantly Below Target","Below Target"))</f>
        <v>Below Target</v>
      </c>
    </row>
    <row r="196" spans="1:18" x14ac:dyDescent="0.25">
      <c r="A196">
        <v>192</v>
      </c>
      <c r="B196" s="3">
        <v>46086</v>
      </c>
      <c r="C196" t="s">
        <v>18</v>
      </c>
      <c r="D196" t="s">
        <v>19</v>
      </c>
      <c r="E196" s="4">
        <v>1017</v>
      </c>
      <c r="F196" s="4">
        <v>707.6</v>
      </c>
      <c r="G196" s="4">
        <v>4.07</v>
      </c>
      <c r="H196" t="s">
        <v>20</v>
      </c>
      <c r="I196" s="4">
        <v>1072.9000000000001</v>
      </c>
      <c r="J196" s="4">
        <v>61956.4</v>
      </c>
      <c r="K196">
        <v>1</v>
      </c>
      <c r="L196">
        <v>11</v>
      </c>
      <c r="M196" s="21">
        <f>(ProductionData[[#This Row],[Actual_Production_t]]/ProductionData[[#This Row],[Target_Production_t]])</f>
        <v>0.69577187807276308</v>
      </c>
      <c r="N196" s="5">
        <f>ProductionData[[#This Row],[Actual_Production_t]]/(ProductionData[[#This Row],[Target_Production_t]]*((8-ProductionData[[#This Row],[Downtime_hr]])/8))</f>
        <v>1.4163295227944288</v>
      </c>
      <c r="O196" s="4">
        <f>ProductionData[[#This Row],[Raw_Material_t]]/ProductionData[[#This Row],[Actual_Production_t]]</f>
        <v>1.5162521198417185</v>
      </c>
      <c r="P196" s="22">
        <f>ProductionData[[#This Row],[Energy_kWh]]/ProductionData[[#This Row],[Actual_Production_t]]</f>
        <v>87.558507631430189</v>
      </c>
      <c r="Q196" s="23">
        <f>ProductionData[[#This Row],[Defects_t]]/ProductionData[[#This Row],[Actual_Production_t]]</f>
        <v>1.4132278123233466E-3</v>
      </c>
      <c r="R196" t="str">
        <f>IF(ProductionData[[#This Row],[Achievement%]]&gt;=100%,"On Target",IF(ProductionData[[#This Row],[Achievement%]]&lt;90%,"Significantly Below Target","Below Target"))</f>
        <v>Significantly Below Target</v>
      </c>
    </row>
    <row r="197" spans="1:18" x14ac:dyDescent="0.25">
      <c r="A197">
        <v>193</v>
      </c>
      <c r="B197" s="3">
        <v>46087</v>
      </c>
      <c r="C197" t="s">
        <v>13</v>
      </c>
      <c r="D197" t="s">
        <v>14</v>
      </c>
      <c r="E197" s="4">
        <v>1181</v>
      </c>
      <c r="F197" s="4">
        <v>820</v>
      </c>
      <c r="G197" s="4">
        <v>5.24</v>
      </c>
      <c r="H197" t="s">
        <v>20</v>
      </c>
      <c r="I197" s="4">
        <v>1245.8</v>
      </c>
      <c r="J197" s="4">
        <v>65961.899999999994</v>
      </c>
      <c r="K197">
        <v>3</v>
      </c>
      <c r="L197">
        <v>12</v>
      </c>
      <c r="M197" s="21">
        <f>(ProductionData[[#This Row],[Actual_Production_t]]/ProductionData[[#This Row],[Target_Production_t]])</f>
        <v>0.69432684165961045</v>
      </c>
      <c r="N197" s="5">
        <f>ProductionData[[#This Row],[Actual_Production_t]]/(ProductionData[[#This Row],[Target_Production_t]]*((8-ProductionData[[#This Row],[Downtime_hr]])/8))</f>
        <v>2.0125415700278566</v>
      </c>
      <c r="O197" s="4">
        <f>ProductionData[[#This Row],[Raw_Material_t]]/ProductionData[[#This Row],[Actual_Production_t]]</f>
        <v>1.5192682926829268</v>
      </c>
      <c r="P197" s="22">
        <f>ProductionData[[#This Row],[Energy_kWh]]/ProductionData[[#This Row],[Actual_Production_t]]</f>
        <v>80.441341463414631</v>
      </c>
      <c r="Q197" s="23">
        <f>ProductionData[[#This Row],[Defects_t]]/ProductionData[[#This Row],[Actual_Production_t]]</f>
        <v>3.6585365853658539E-3</v>
      </c>
      <c r="R197" t="str">
        <f>IF(ProductionData[[#This Row],[Achievement%]]&gt;=100%,"On Target",IF(ProductionData[[#This Row],[Achievement%]]&lt;90%,"Significantly Below Target","Below Target"))</f>
        <v>Significantly Below Target</v>
      </c>
    </row>
    <row r="198" spans="1:18" x14ac:dyDescent="0.25">
      <c r="A198">
        <v>194</v>
      </c>
      <c r="B198" s="3">
        <v>46087</v>
      </c>
      <c r="C198" t="s">
        <v>16</v>
      </c>
      <c r="D198" t="s">
        <v>17</v>
      </c>
      <c r="E198" s="4">
        <v>1085</v>
      </c>
      <c r="F198" s="4">
        <v>796.3</v>
      </c>
      <c r="G198" s="4">
        <v>6.77</v>
      </c>
      <c r="H198" t="s">
        <v>15</v>
      </c>
      <c r="I198" s="4">
        <v>1236.9000000000001</v>
      </c>
      <c r="J198" s="4">
        <v>66930</v>
      </c>
      <c r="K198">
        <v>1</v>
      </c>
      <c r="L198">
        <v>7</v>
      </c>
      <c r="M198" s="21">
        <f>(ProductionData[[#This Row],[Actual_Production_t]]/ProductionData[[#This Row],[Target_Production_t]])</f>
        <v>0.73391705069124424</v>
      </c>
      <c r="N198" s="5">
        <f>ProductionData[[#This Row],[Actual_Production_t]]/(ProductionData[[#This Row],[Target_Production_t]]*((8-ProductionData[[#This Row],[Downtime_hr]])/8))</f>
        <v>4.7734442321381723</v>
      </c>
      <c r="O198" s="4">
        <f>ProductionData[[#This Row],[Raw_Material_t]]/ProductionData[[#This Row],[Actual_Production_t]]</f>
        <v>1.5533090543764916</v>
      </c>
      <c r="P198" s="22">
        <f>ProductionData[[#This Row],[Energy_kWh]]/ProductionData[[#This Row],[Actual_Production_t]]</f>
        <v>84.051236970990843</v>
      </c>
      <c r="Q198" s="23">
        <f>ProductionData[[#This Row],[Defects_t]]/ProductionData[[#This Row],[Actual_Production_t]]</f>
        <v>1.255808112520407E-3</v>
      </c>
      <c r="R198" t="str">
        <f>IF(ProductionData[[#This Row],[Achievement%]]&gt;=100%,"On Target",IF(ProductionData[[#This Row],[Achievement%]]&lt;90%,"Significantly Below Target","Below Target"))</f>
        <v>Significantly Below Target</v>
      </c>
    </row>
    <row r="199" spans="1:18" x14ac:dyDescent="0.25">
      <c r="A199">
        <v>195</v>
      </c>
      <c r="B199" s="3">
        <v>46087</v>
      </c>
      <c r="C199" t="s">
        <v>18</v>
      </c>
      <c r="D199" t="s">
        <v>14</v>
      </c>
      <c r="E199" s="4">
        <v>1146</v>
      </c>
      <c r="F199" s="4">
        <v>1043.5</v>
      </c>
      <c r="G199" s="4">
        <v>0.38</v>
      </c>
      <c r="H199" t="s">
        <v>23</v>
      </c>
      <c r="I199" s="4">
        <v>1629.5</v>
      </c>
      <c r="J199" s="4">
        <v>88521.600000000006</v>
      </c>
      <c r="K199">
        <v>3</v>
      </c>
      <c r="L199">
        <v>12</v>
      </c>
      <c r="M199" s="21">
        <f>(ProductionData[[#This Row],[Actual_Production_t]]/ProductionData[[#This Row],[Target_Production_t]])</f>
        <v>0.91055846422338571</v>
      </c>
      <c r="N199" s="5">
        <f>ProductionData[[#This Row],[Actual_Production_t]]/(ProductionData[[#This Row],[Target_Production_t]]*((8-ProductionData[[#This Row],[Downtime_hr]])/8))</f>
        <v>0.95596689157310832</v>
      </c>
      <c r="O199" s="4">
        <f>ProductionData[[#This Row],[Raw_Material_t]]/ProductionData[[#This Row],[Actual_Production_t]]</f>
        <v>1.5615716339242933</v>
      </c>
      <c r="P199" s="22">
        <f>ProductionData[[#This Row],[Energy_kWh]]/ProductionData[[#This Row],[Actual_Production_t]]</f>
        <v>84.831432678485868</v>
      </c>
      <c r="Q199" s="23">
        <f>ProductionData[[#This Row],[Defects_t]]/ProductionData[[#This Row],[Actual_Production_t]]</f>
        <v>2.8749401054144704E-3</v>
      </c>
      <c r="R199" t="str">
        <f>IF(ProductionData[[#This Row],[Achievement%]]&gt;=100%,"On Target",IF(ProductionData[[#This Row],[Achievement%]]&lt;90%,"Significantly Below Target","Below Target"))</f>
        <v>Below Target</v>
      </c>
    </row>
    <row r="200" spans="1:18" x14ac:dyDescent="0.25">
      <c r="A200">
        <v>196</v>
      </c>
      <c r="B200" s="3">
        <v>46088</v>
      </c>
      <c r="C200" t="s">
        <v>13</v>
      </c>
      <c r="D200" t="s">
        <v>14</v>
      </c>
      <c r="E200" s="4">
        <v>1113</v>
      </c>
      <c r="F200" s="4">
        <v>1079.9000000000001</v>
      </c>
      <c r="G200" s="4">
        <v>1.05</v>
      </c>
      <c r="H200" t="s">
        <v>24</v>
      </c>
      <c r="I200" s="4">
        <v>1645.4</v>
      </c>
      <c r="J200" s="4">
        <v>87966.3</v>
      </c>
      <c r="K200">
        <v>3</v>
      </c>
      <c r="L200">
        <v>8</v>
      </c>
      <c r="M200" s="21">
        <f>(ProductionData[[#This Row],[Actual_Production_t]]/ProductionData[[#This Row],[Target_Production_t]])</f>
        <v>0.97026055705300995</v>
      </c>
      <c r="N200" s="5">
        <f>ProductionData[[#This Row],[Actual_Production_t]]/(ProductionData[[#This Row],[Target_Production_t]]*((8-ProductionData[[#This Row],[Downtime_hr]])/8))</f>
        <v>1.1168466843775653</v>
      </c>
      <c r="O200" s="4">
        <f>ProductionData[[#This Row],[Raw_Material_t]]/ProductionData[[#This Row],[Actual_Production_t]]</f>
        <v>1.5236595981109362</v>
      </c>
      <c r="P200" s="22">
        <f>ProductionData[[#This Row],[Energy_kWh]]/ProductionData[[#This Row],[Actual_Production_t]]</f>
        <v>81.457820168534113</v>
      </c>
      <c r="Q200" s="23">
        <f>ProductionData[[#This Row],[Defects_t]]/ProductionData[[#This Row],[Actual_Production_t]]</f>
        <v>2.7780350032410406E-3</v>
      </c>
      <c r="R200" t="str">
        <f>IF(ProductionData[[#This Row],[Achievement%]]&gt;=100%,"On Target",IF(ProductionData[[#This Row],[Achievement%]]&lt;90%,"Significantly Below Target","Below Target"))</f>
        <v>Below Target</v>
      </c>
    </row>
    <row r="201" spans="1:18" x14ac:dyDescent="0.25">
      <c r="A201">
        <v>197</v>
      </c>
      <c r="B201" s="3">
        <v>46088</v>
      </c>
      <c r="C201" t="s">
        <v>16</v>
      </c>
      <c r="D201" t="s">
        <v>14</v>
      </c>
      <c r="E201" s="4">
        <v>1143</v>
      </c>
      <c r="F201" s="4">
        <v>1068.9000000000001</v>
      </c>
      <c r="G201" s="4">
        <v>1.9</v>
      </c>
      <c r="H201" t="s">
        <v>15</v>
      </c>
      <c r="I201" s="4">
        <v>1564.6</v>
      </c>
      <c r="J201" s="4">
        <v>84390.7</v>
      </c>
      <c r="K201">
        <v>4</v>
      </c>
      <c r="L201">
        <v>9</v>
      </c>
      <c r="M201" s="21">
        <f>(ProductionData[[#This Row],[Actual_Production_t]]/ProductionData[[#This Row],[Target_Production_t]])</f>
        <v>0.93517060367454075</v>
      </c>
      <c r="N201" s="5">
        <f>ProductionData[[#This Row],[Actual_Production_t]]/(ProductionData[[#This Row],[Target_Production_t]]*((8-ProductionData[[#This Row],[Downtime_hr]])/8))</f>
        <v>1.2264532507207093</v>
      </c>
      <c r="O201" s="4">
        <f>ProductionData[[#This Row],[Raw_Material_t]]/ProductionData[[#This Row],[Actual_Production_t]]</f>
        <v>1.4637477780896246</v>
      </c>
      <c r="P201" s="22">
        <f>ProductionData[[#This Row],[Energy_kWh]]/ProductionData[[#This Row],[Actual_Production_t]]</f>
        <v>78.950977640565057</v>
      </c>
      <c r="Q201" s="23">
        <f>ProductionData[[#This Row],[Defects_t]]/ProductionData[[#This Row],[Actual_Production_t]]</f>
        <v>3.7421648423613058E-3</v>
      </c>
      <c r="R201" t="str">
        <f>IF(ProductionData[[#This Row],[Achievement%]]&gt;=100%,"On Target",IF(ProductionData[[#This Row],[Achievement%]]&lt;90%,"Significantly Below Target","Below Target"))</f>
        <v>Below Target</v>
      </c>
    </row>
    <row r="202" spans="1:18" x14ac:dyDescent="0.25">
      <c r="A202">
        <v>198</v>
      </c>
      <c r="B202" s="3">
        <v>46088</v>
      </c>
      <c r="C202" t="s">
        <v>18</v>
      </c>
      <c r="D202" t="s">
        <v>14</v>
      </c>
      <c r="E202" s="4">
        <v>1162</v>
      </c>
      <c r="F202" s="4">
        <v>1032.0999999999999</v>
      </c>
      <c r="G202" s="4">
        <v>1.69</v>
      </c>
      <c r="H202" t="s">
        <v>15</v>
      </c>
      <c r="I202" s="4">
        <v>1554.1</v>
      </c>
      <c r="J202" s="4">
        <v>78921.899999999994</v>
      </c>
      <c r="K202">
        <v>4</v>
      </c>
      <c r="L202">
        <v>10</v>
      </c>
      <c r="M202" s="21">
        <f>(ProductionData[[#This Row],[Actual_Production_t]]/ProductionData[[#This Row],[Target_Production_t]])</f>
        <v>0.88820998278829599</v>
      </c>
      <c r="N202" s="5">
        <f>ProductionData[[#This Row],[Actual_Production_t]]/(ProductionData[[#This Row],[Target_Production_t]]*((8-ProductionData[[#This Row],[Downtime_hr]])/8))</f>
        <v>1.126098234913846</v>
      </c>
      <c r="O202" s="4">
        <f>ProductionData[[#This Row],[Raw_Material_t]]/ProductionData[[#This Row],[Actual_Production_t]]</f>
        <v>1.5057649452572426</v>
      </c>
      <c r="P202" s="22">
        <f>ProductionData[[#This Row],[Energy_kWh]]/ProductionData[[#This Row],[Actual_Production_t]]</f>
        <v>76.467299680263537</v>
      </c>
      <c r="Q202" s="23">
        <f>ProductionData[[#This Row],[Defects_t]]/ProductionData[[#This Row],[Actual_Production_t]]</f>
        <v>3.8755934502470693E-3</v>
      </c>
      <c r="R202" t="str">
        <f>IF(ProductionData[[#This Row],[Achievement%]]&gt;=100%,"On Target",IF(ProductionData[[#This Row],[Achievement%]]&lt;90%,"Significantly Below Target","Below Target"))</f>
        <v>Significantly Below Target</v>
      </c>
    </row>
    <row r="203" spans="1:18" x14ac:dyDescent="0.25">
      <c r="A203">
        <v>199</v>
      </c>
      <c r="B203" s="3">
        <v>46089</v>
      </c>
      <c r="C203" t="s">
        <v>13</v>
      </c>
      <c r="D203" t="s">
        <v>17</v>
      </c>
      <c r="E203" s="4">
        <v>1061</v>
      </c>
      <c r="F203" s="4">
        <v>1032.8</v>
      </c>
      <c r="G203" s="4">
        <v>2.92</v>
      </c>
      <c r="H203" t="s">
        <v>21</v>
      </c>
      <c r="I203" s="4">
        <v>1542.1</v>
      </c>
      <c r="J203" s="4">
        <v>80418.100000000006</v>
      </c>
      <c r="K203">
        <v>2</v>
      </c>
      <c r="L203">
        <v>9</v>
      </c>
      <c r="M203" s="21">
        <f>(ProductionData[[#This Row],[Actual_Production_t]]/ProductionData[[#This Row],[Target_Production_t]])</f>
        <v>0.97342130065975485</v>
      </c>
      <c r="N203" s="5">
        <f>ProductionData[[#This Row],[Actual_Production_t]]/(ProductionData[[#This Row],[Target_Production_t]]*((8-ProductionData[[#This Row],[Downtime_hr]])/8))</f>
        <v>1.5329469301728424</v>
      </c>
      <c r="O203" s="4">
        <f>ProductionData[[#This Row],[Raw_Material_t]]/ProductionData[[#This Row],[Actual_Production_t]]</f>
        <v>1.4931254841208366</v>
      </c>
      <c r="P203" s="22">
        <f>ProductionData[[#This Row],[Energy_kWh]]/ProductionData[[#This Row],[Actual_Production_t]]</f>
        <v>77.86415569326104</v>
      </c>
      <c r="Q203" s="23">
        <f>ProductionData[[#This Row],[Defects_t]]/ProductionData[[#This Row],[Actual_Production_t]]</f>
        <v>1.9364833462432224E-3</v>
      </c>
      <c r="R203" t="str">
        <f>IF(ProductionData[[#This Row],[Achievement%]]&gt;=100%,"On Target",IF(ProductionData[[#This Row],[Achievement%]]&lt;90%,"Significantly Below Target","Below Target"))</f>
        <v>Below Target</v>
      </c>
    </row>
    <row r="204" spans="1:18" x14ac:dyDescent="0.25">
      <c r="A204">
        <v>200</v>
      </c>
      <c r="B204" s="3">
        <v>46089</v>
      </c>
      <c r="C204" t="s">
        <v>16</v>
      </c>
      <c r="D204" t="s">
        <v>17</v>
      </c>
      <c r="E204" s="4">
        <v>1021</v>
      </c>
      <c r="F204" s="4">
        <v>792.7</v>
      </c>
      <c r="G204" s="4">
        <v>4.96</v>
      </c>
      <c r="H204" t="s">
        <v>15</v>
      </c>
      <c r="I204" s="4">
        <v>1187.5</v>
      </c>
      <c r="J204" s="4">
        <v>65048.800000000003</v>
      </c>
      <c r="K204">
        <v>2</v>
      </c>
      <c r="L204">
        <v>8</v>
      </c>
      <c r="M204" s="21">
        <f>(ProductionData[[#This Row],[Actual_Production_t]]/ProductionData[[#This Row],[Target_Production_t]])</f>
        <v>0.77639569049951029</v>
      </c>
      <c r="N204" s="5">
        <f>ProductionData[[#This Row],[Actual_Production_t]]/(ProductionData[[#This Row],[Target_Production_t]]*((8-ProductionData[[#This Row],[Downtime_hr]])/8))</f>
        <v>2.0431465539460798</v>
      </c>
      <c r="O204" s="4">
        <f>ProductionData[[#This Row],[Raw_Material_t]]/ProductionData[[#This Row],[Actual_Production_t]]</f>
        <v>1.4980446574996846</v>
      </c>
      <c r="P204" s="22">
        <f>ProductionData[[#This Row],[Energy_kWh]]/ProductionData[[#This Row],[Actual_Production_t]]</f>
        <v>82.059795635170929</v>
      </c>
      <c r="Q204" s="23">
        <f>ProductionData[[#This Row],[Defects_t]]/ProductionData[[#This Row],[Actual_Production_t]]</f>
        <v>2.5230225810521003E-3</v>
      </c>
      <c r="R204" t="str">
        <f>IF(ProductionData[[#This Row],[Achievement%]]&gt;=100%,"On Target",IF(ProductionData[[#This Row],[Achievement%]]&lt;90%,"Significantly Below Target","Below Target"))</f>
        <v>Significantly Below Target</v>
      </c>
    </row>
    <row r="205" spans="1:18" x14ac:dyDescent="0.25">
      <c r="A205">
        <v>201</v>
      </c>
      <c r="B205" s="3">
        <v>46089</v>
      </c>
      <c r="C205" t="s">
        <v>18</v>
      </c>
      <c r="D205" t="s">
        <v>17</v>
      </c>
      <c r="E205" s="4">
        <v>1015</v>
      </c>
      <c r="F205" s="4">
        <v>813.5</v>
      </c>
      <c r="G205" s="4">
        <v>2.06</v>
      </c>
      <c r="H205" t="s">
        <v>22</v>
      </c>
      <c r="I205" s="4">
        <v>1198.3</v>
      </c>
      <c r="J205" s="4">
        <v>64045</v>
      </c>
      <c r="K205">
        <v>4</v>
      </c>
      <c r="L205">
        <v>7</v>
      </c>
      <c r="M205" s="21">
        <f>(ProductionData[[#This Row],[Actual_Production_t]]/ProductionData[[#This Row],[Target_Production_t]])</f>
        <v>0.8014778325123153</v>
      </c>
      <c r="N205" s="5">
        <f>ProductionData[[#This Row],[Actual_Production_t]]/(ProductionData[[#This Row],[Target_Production_t]]*((8-ProductionData[[#This Row],[Downtime_hr]])/8))</f>
        <v>1.0794314242590106</v>
      </c>
      <c r="O205" s="4">
        <f>ProductionData[[#This Row],[Raw_Material_t]]/ProductionData[[#This Row],[Actual_Production_t]]</f>
        <v>1.473017824216349</v>
      </c>
      <c r="P205" s="22">
        <f>ProductionData[[#This Row],[Energy_kWh]]/ProductionData[[#This Row],[Actual_Production_t]]</f>
        <v>78.727719729563617</v>
      </c>
      <c r="Q205" s="23">
        <f>ProductionData[[#This Row],[Defects_t]]/ProductionData[[#This Row],[Actual_Production_t]]</f>
        <v>4.9170251997541483E-3</v>
      </c>
      <c r="R205" t="str">
        <f>IF(ProductionData[[#This Row],[Achievement%]]&gt;=100%,"On Target",IF(ProductionData[[#This Row],[Achievement%]]&lt;90%,"Significantly Below Target","Below Target"))</f>
        <v>Significantly Below Target</v>
      </c>
    </row>
    <row r="206" spans="1:18" x14ac:dyDescent="0.25">
      <c r="A206">
        <v>202</v>
      </c>
      <c r="B206" s="3">
        <v>46090</v>
      </c>
      <c r="C206" t="s">
        <v>13</v>
      </c>
      <c r="D206" t="s">
        <v>14</v>
      </c>
      <c r="E206" s="4">
        <v>1165</v>
      </c>
      <c r="F206" s="4">
        <v>1165.7</v>
      </c>
      <c r="G206" s="4">
        <v>2.09</v>
      </c>
      <c r="H206" t="s">
        <v>24</v>
      </c>
      <c r="I206" s="4">
        <v>1829.9</v>
      </c>
      <c r="J206" s="4">
        <v>99905.600000000006</v>
      </c>
      <c r="K206">
        <v>0</v>
      </c>
      <c r="L206">
        <v>11</v>
      </c>
      <c r="M206" s="21">
        <f>(ProductionData[[#This Row],[Actual_Production_t]]/ProductionData[[#This Row],[Target_Production_t]])</f>
        <v>1.0006008583690988</v>
      </c>
      <c r="N206" s="5">
        <f>ProductionData[[#This Row],[Actual_Production_t]]/(ProductionData[[#This Row],[Target_Production_t]]*((8-ProductionData[[#This Row],[Downtime_hr]])/8))</f>
        <v>1.3544512465233147</v>
      </c>
      <c r="O206" s="4">
        <f>ProductionData[[#This Row],[Raw_Material_t]]/ProductionData[[#This Row],[Actual_Production_t]]</f>
        <v>1.5697863944411083</v>
      </c>
      <c r="P206" s="22">
        <f>ProductionData[[#This Row],[Energy_kWh]]/ProductionData[[#This Row],[Actual_Production_t]]</f>
        <v>85.704383632152357</v>
      </c>
      <c r="Q206" s="23">
        <f>ProductionData[[#This Row],[Defects_t]]/ProductionData[[#This Row],[Actual_Production_t]]</f>
        <v>0</v>
      </c>
      <c r="R206" t="str">
        <f>IF(ProductionData[[#This Row],[Achievement%]]&gt;=100%,"On Target",IF(ProductionData[[#This Row],[Achievement%]]&lt;90%,"Significantly Below Target","Below Target"))</f>
        <v>On Target</v>
      </c>
    </row>
    <row r="207" spans="1:18" x14ac:dyDescent="0.25">
      <c r="A207">
        <v>203</v>
      </c>
      <c r="B207" s="3">
        <v>46090</v>
      </c>
      <c r="C207" t="s">
        <v>16</v>
      </c>
      <c r="D207" t="s">
        <v>17</v>
      </c>
      <c r="E207" s="4">
        <v>1022</v>
      </c>
      <c r="F207" s="4">
        <v>754.1</v>
      </c>
      <c r="G207" s="4">
        <v>5.22</v>
      </c>
      <c r="H207" t="s">
        <v>15</v>
      </c>
      <c r="I207" s="4">
        <v>1205.4000000000001</v>
      </c>
      <c r="J207" s="4">
        <v>60597.1</v>
      </c>
      <c r="K207">
        <v>2</v>
      </c>
      <c r="L207">
        <v>10</v>
      </c>
      <c r="M207" s="21">
        <f>(ProductionData[[#This Row],[Actual_Production_t]]/ProductionData[[#This Row],[Target_Production_t]])</f>
        <v>0.73786692759295502</v>
      </c>
      <c r="N207" s="5">
        <f>ProductionData[[#This Row],[Actual_Production_t]]/(ProductionData[[#This Row],[Target_Production_t]]*((8-ProductionData[[#This Row],[Downtime_hr]])/8))</f>
        <v>2.1233580650156978</v>
      </c>
      <c r="O207" s="4">
        <f>ProductionData[[#This Row],[Raw_Material_t]]/ProductionData[[#This Row],[Actual_Production_t]]</f>
        <v>1.5984617424744729</v>
      </c>
      <c r="P207" s="22">
        <f>ProductionData[[#This Row],[Energy_kWh]]/ProductionData[[#This Row],[Actual_Production_t]]</f>
        <v>80.356849224240818</v>
      </c>
      <c r="Q207" s="23">
        <f>ProductionData[[#This Row],[Defects_t]]/ProductionData[[#This Row],[Actual_Production_t]]</f>
        <v>2.6521681474605489E-3</v>
      </c>
      <c r="R207" t="str">
        <f>IF(ProductionData[[#This Row],[Achievement%]]&gt;=100%,"On Target",IF(ProductionData[[#This Row],[Achievement%]]&lt;90%,"Significantly Below Target","Below Target"))</f>
        <v>Significantly Below Target</v>
      </c>
    </row>
    <row r="208" spans="1:18" x14ac:dyDescent="0.25">
      <c r="A208">
        <v>204</v>
      </c>
      <c r="B208" s="3">
        <v>46090</v>
      </c>
      <c r="C208" t="s">
        <v>18</v>
      </c>
      <c r="D208" t="s">
        <v>19</v>
      </c>
      <c r="E208" s="4">
        <v>986</v>
      </c>
      <c r="F208" s="4">
        <v>868.4</v>
      </c>
      <c r="G208" s="4">
        <v>0</v>
      </c>
      <c r="H208" t="s">
        <v>23</v>
      </c>
      <c r="I208" s="4">
        <v>1311.3</v>
      </c>
      <c r="J208" s="4">
        <v>72348.7</v>
      </c>
      <c r="K208">
        <v>3</v>
      </c>
      <c r="L208">
        <v>12</v>
      </c>
      <c r="M208" s="21">
        <f>(ProductionData[[#This Row],[Actual_Production_t]]/ProductionData[[#This Row],[Target_Production_t]])</f>
        <v>0.88073022312373228</v>
      </c>
      <c r="N208" s="5">
        <f>ProductionData[[#This Row],[Actual_Production_t]]/(ProductionData[[#This Row],[Target_Production_t]]*((8-ProductionData[[#This Row],[Downtime_hr]])/8))</f>
        <v>0.88073022312373228</v>
      </c>
      <c r="O208" s="4">
        <f>ProductionData[[#This Row],[Raw_Material_t]]/ProductionData[[#This Row],[Actual_Production_t]]</f>
        <v>1.5100184246890833</v>
      </c>
      <c r="P208" s="22">
        <f>ProductionData[[#This Row],[Energy_kWh]]/ProductionData[[#This Row],[Actual_Production_t]]</f>
        <v>83.312643942883469</v>
      </c>
      <c r="Q208" s="23">
        <f>ProductionData[[#This Row],[Defects_t]]/ProductionData[[#This Row],[Actual_Production_t]]</f>
        <v>3.4546292031321971E-3</v>
      </c>
      <c r="R208" t="str">
        <f>IF(ProductionData[[#This Row],[Achievement%]]&gt;=100%,"On Target",IF(ProductionData[[#This Row],[Achievement%]]&lt;90%,"Significantly Below Target","Below Target"))</f>
        <v>Significantly Below Target</v>
      </c>
    </row>
    <row r="209" spans="1:18" x14ac:dyDescent="0.25">
      <c r="A209">
        <v>205</v>
      </c>
      <c r="B209" s="3">
        <v>46091</v>
      </c>
      <c r="C209" t="s">
        <v>13</v>
      </c>
      <c r="D209" t="s">
        <v>17</v>
      </c>
      <c r="E209" s="4">
        <v>1065</v>
      </c>
      <c r="F209" s="4">
        <v>1106.9000000000001</v>
      </c>
      <c r="G209" s="4">
        <v>0.02</v>
      </c>
      <c r="H209" t="s">
        <v>23</v>
      </c>
      <c r="I209" s="4">
        <v>1708.5</v>
      </c>
      <c r="J209" s="4">
        <v>90033.8</v>
      </c>
      <c r="K209">
        <v>3</v>
      </c>
      <c r="L209">
        <v>10</v>
      </c>
      <c r="M209" s="21">
        <f>(ProductionData[[#This Row],[Actual_Production_t]]/ProductionData[[#This Row],[Target_Production_t]])</f>
        <v>1.039342723004695</v>
      </c>
      <c r="N209" s="5">
        <f>ProductionData[[#This Row],[Actual_Production_t]]/(ProductionData[[#This Row],[Target_Production_t]]*((8-ProductionData[[#This Row],[Downtime_hr]])/8))</f>
        <v>1.0419475919846564</v>
      </c>
      <c r="O209" s="4">
        <f>ProductionData[[#This Row],[Raw_Material_t]]/ProductionData[[#This Row],[Actual_Production_t]]</f>
        <v>1.5434998644864033</v>
      </c>
      <c r="P209" s="22">
        <f>ProductionData[[#This Row],[Energy_kWh]]/ProductionData[[#This Row],[Actual_Production_t]]</f>
        <v>81.338693648929436</v>
      </c>
      <c r="Q209" s="23">
        <f>ProductionData[[#This Row],[Defects_t]]/ProductionData[[#This Row],[Actual_Production_t]]</f>
        <v>2.7102719306170385E-3</v>
      </c>
      <c r="R209" t="str">
        <f>IF(ProductionData[[#This Row],[Achievement%]]&gt;=100%,"On Target",IF(ProductionData[[#This Row],[Achievement%]]&lt;90%,"Significantly Below Target","Below Target"))</f>
        <v>On Target</v>
      </c>
    </row>
    <row r="210" spans="1:18" x14ac:dyDescent="0.25">
      <c r="A210">
        <v>206</v>
      </c>
      <c r="B210" s="3">
        <v>46091</v>
      </c>
      <c r="C210" t="s">
        <v>16</v>
      </c>
      <c r="D210" t="s">
        <v>17</v>
      </c>
      <c r="E210" s="4">
        <v>1063</v>
      </c>
      <c r="F210" s="4">
        <v>823.2</v>
      </c>
      <c r="G210" s="4">
        <v>5.17</v>
      </c>
      <c r="H210" t="s">
        <v>15</v>
      </c>
      <c r="I210" s="4">
        <v>1266</v>
      </c>
      <c r="J210" s="4">
        <v>69441.7</v>
      </c>
      <c r="K210">
        <v>1</v>
      </c>
      <c r="L210">
        <v>8</v>
      </c>
      <c r="M210" s="21">
        <f>(ProductionData[[#This Row],[Actual_Production_t]]/ProductionData[[#This Row],[Target_Production_t]])</f>
        <v>0.77441204139228603</v>
      </c>
      <c r="N210" s="5">
        <f>ProductionData[[#This Row],[Actual_Production_t]]/(ProductionData[[#This Row],[Target_Production_t]]*((8-ProductionData[[#This Row],[Downtime_hr]])/8))</f>
        <v>2.1891506470453317</v>
      </c>
      <c r="O210" s="4">
        <f>ProductionData[[#This Row],[Raw_Material_t]]/ProductionData[[#This Row],[Actual_Production_t]]</f>
        <v>1.5379008746355685</v>
      </c>
      <c r="P210" s="22">
        <f>ProductionData[[#This Row],[Energy_kWh]]/ProductionData[[#This Row],[Actual_Production_t]]</f>
        <v>84.355806608357625</v>
      </c>
      <c r="Q210" s="23">
        <f>ProductionData[[#This Row],[Defects_t]]/ProductionData[[#This Row],[Actual_Production_t]]</f>
        <v>1.2147716229348883E-3</v>
      </c>
      <c r="R210" t="str">
        <f>IF(ProductionData[[#This Row],[Achievement%]]&gt;=100%,"On Target",IF(ProductionData[[#This Row],[Achievement%]]&lt;90%,"Significantly Below Target","Below Target"))</f>
        <v>Significantly Below Target</v>
      </c>
    </row>
    <row r="211" spans="1:18" x14ac:dyDescent="0.25">
      <c r="A211">
        <v>207</v>
      </c>
      <c r="B211" s="3">
        <v>46091</v>
      </c>
      <c r="C211" t="s">
        <v>18</v>
      </c>
      <c r="D211" t="s">
        <v>14</v>
      </c>
      <c r="E211" s="4">
        <v>1146</v>
      </c>
      <c r="F211" s="4">
        <v>805</v>
      </c>
      <c r="G211" s="4">
        <v>5.55</v>
      </c>
      <c r="H211" t="s">
        <v>15</v>
      </c>
      <c r="I211" s="4">
        <v>1242.2</v>
      </c>
      <c r="J211" s="4">
        <v>65126.1</v>
      </c>
      <c r="K211">
        <v>3</v>
      </c>
      <c r="L211">
        <v>8</v>
      </c>
      <c r="M211" s="21">
        <f>(ProductionData[[#This Row],[Actual_Production_t]]/ProductionData[[#This Row],[Target_Production_t]])</f>
        <v>0.70244328097731235</v>
      </c>
      <c r="N211" s="5">
        <f>ProductionData[[#This Row],[Actual_Production_t]]/(ProductionData[[#This Row],[Target_Production_t]]*((8-ProductionData[[#This Row],[Downtime_hr]])/8))</f>
        <v>2.2936923460483669</v>
      </c>
      <c r="O211" s="4">
        <f>ProductionData[[#This Row],[Raw_Material_t]]/ProductionData[[#This Row],[Actual_Production_t]]</f>
        <v>1.5431055900621118</v>
      </c>
      <c r="P211" s="22">
        <f>ProductionData[[#This Row],[Energy_kWh]]/ProductionData[[#This Row],[Actual_Production_t]]</f>
        <v>80.901987577639744</v>
      </c>
      <c r="Q211" s="23">
        <f>ProductionData[[#This Row],[Defects_t]]/ProductionData[[#This Row],[Actual_Production_t]]</f>
        <v>3.7267080745341614E-3</v>
      </c>
      <c r="R211" t="str">
        <f>IF(ProductionData[[#This Row],[Achievement%]]&gt;=100%,"On Target",IF(ProductionData[[#This Row],[Achievement%]]&lt;90%,"Significantly Below Target","Below Target"))</f>
        <v>Significantly Below Target</v>
      </c>
    </row>
    <row r="212" spans="1:18" x14ac:dyDescent="0.25">
      <c r="A212">
        <v>208</v>
      </c>
      <c r="B212" s="3">
        <v>46092</v>
      </c>
      <c r="C212" t="s">
        <v>13</v>
      </c>
      <c r="D212" t="s">
        <v>17</v>
      </c>
      <c r="E212" s="4">
        <v>1037</v>
      </c>
      <c r="F212" s="4">
        <v>757.8</v>
      </c>
      <c r="G212" s="4">
        <v>6.21</v>
      </c>
      <c r="H212" t="s">
        <v>15</v>
      </c>
      <c r="I212" s="4">
        <v>1131.5999999999999</v>
      </c>
      <c r="J212" s="4">
        <v>62547.7</v>
      </c>
      <c r="K212">
        <v>2</v>
      </c>
      <c r="L212">
        <v>11</v>
      </c>
      <c r="M212" s="21">
        <f>(ProductionData[[#This Row],[Actual_Production_t]]/ProductionData[[#This Row],[Target_Production_t]])</f>
        <v>0.73076181292189002</v>
      </c>
      <c r="N212" s="5">
        <f>ProductionData[[#This Row],[Actual_Production_t]]/(ProductionData[[#This Row],[Target_Production_t]]*((8-ProductionData[[#This Row],[Downtime_hr]])/8))</f>
        <v>3.2659745828911286</v>
      </c>
      <c r="O212" s="4">
        <f>ProductionData[[#This Row],[Raw_Material_t]]/ProductionData[[#This Row],[Actual_Production_t]]</f>
        <v>1.4932699920823436</v>
      </c>
      <c r="P212" s="22">
        <f>ProductionData[[#This Row],[Energy_kWh]]/ProductionData[[#This Row],[Actual_Production_t]]</f>
        <v>82.538532594352077</v>
      </c>
      <c r="Q212" s="23">
        <f>ProductionData[[#This Row],[Defects_t]]/ProductionData[[#This Row],[Actual_Production_t]]</f>
        <v>2.6392187912377936E-3</v>
      </c>
      <c r="R212" t="str">
        <f>IF(ProductionData[[#This Row],[Achievement%]]&gt;=100%,"On Target",IF(ProductionData[[#This Row],[Achievement%]]&lt;90%,"Significantly Below Target","Below Target"))</f>
        <v>Significantly Below Target</v>
      </c>
    </row>
    <row r="213" spans="1:18" x14ac:dyDescent="0.25">
      <c r="A213">
        <v>209</v>
      </c>
      <c r="B213" s="3">
        <v>46092</v>
      </c>
      <c r="C213" t="s">
        <v>16</v>
      </c>
      <c r="D213" t="s">
        <v>14</v>
      </c>
      <c r="E213" s="4">
        <v>1164</v>
      </c>
      <c r="F213" s="4">
        <v>1151.0999999999999</v>
      </c>
      <c r="G213" s="4">
        <v>0</v>
      </c>
      <c r="H213" t="s">
        <v>24</v>
      </c>
      <c r="I213" s="4">
        <v>1756.4</v>
      </c>
      <c r="J213" s="4">
        <v>94627.1</v>
      </c>
      <c r="K213">
        <v>1</v>
      </c>
      <c r="L213">
        <v>9</v>
      </c>
      <c r="M213" s="21">
        <f>(ProductionData[[#This Row],[Actual_Production_t]]/ProductionData[[#This Row],[Target_Production_t]])</f>
        <v>0.9889175257731958</v>
      </c>
      <c r="N213" s="5">
        <f>ProductionData[[#This Row],[Actual_Production_t]]/(ProductionData[[#This Row],[Target_Production_t]]*((8-ProductionData[[#This Row],[Downtime_hr]])/8))</f>
        <v>0.9889175257731958</v>
      </c>
      <c r="O213" s="4">
        <f>ProductionData[[#This Row],[Raw_Material_t]]/ProductionData[[#This Row],[Actual_Production_t]]</f>
        <v>1.5258448440622017</v>
      </c>
      <c r="P213" s="22">
        <f>ProductionData[[#This Row],[Energy_kWh]]/ProductionData[[#This Row],[Actual_Production_t]]</f>
        <v>82.205803144818006</v>
      </c>
      <c r="Q213" s="23">
        <f>ProductionData[[#This Row],[Defects_t]]/ProductionData[[#This Row],[Actual_Production_t]]</f>
        <v>8.687342541916428E-4</v>
      </c>
      <c r="R213" t="str">
        <f>IF(ProductionData[[#This Row],[Achievement%]]&gt;=100%,"On Target",IF(ProductionData[[#This Row],[Achievement%]]&lt;90%,"Significantly Below Target","Below Target"))</f>
        <v>Below Target</v>
      </c>
    </row>
    <row r="214" spans="1:18" x14ac:dyDescent="0.25">
      <c r="A214">
        <v>210</v>
      </c>
      <c r="B214" s="3">
        <v>46092</v>
      </c>
      <c r="C214" t="s">
        <v>18</v>
      </c>
      <c r="D214" t="s">
        <v>19</v>
      </c>
      <c r="E214" s="4">
        <v>1011</v>
      </c>
      <c r="F214" s="4">
        <v>892.3</v>
      </c>
      <c r="G214" s="4">
        <v>0.36</v>
      </c>
      <c r="H214" t="s">
        <v>23</v>
      </c>
      <c r="I214" s="4">
        <v>1361</v>
      </c>
      <c r="J214" s="4">
        <v>75440.399999999994</v>
      </c>
      <c r="K214">
        <v>1</v>
      </c>
      <c r="L214">
        <v>10</v>
      </c>
      <c r="M214" s="21">
        <f>(ProductionData[[#This Row],[Actual_Production_t]]/ProductionData[[#This Row],[Target_Production_t]])</f>
        <v>0.88259149357072197</v>
      </c>
      <c r="N214" s="5">
        <f>ProductionData[[#This Row],[Actual_Production_t]]/(ProductionData[[#This Row],[Target_Production_t]]*((8-ProductionData[[#This Row],[Downtime_hr]])/8))</f>
        <v>0.92417957441960419</v>
      </c>
      <c r="O214" s="4">
        <f>ProductionData[[#This Row],[Raw_Material_t]]/ProductionData[[#This Row],[Actual_Production_t]]</f>
        <v>1.5252717695842206</v>
      </c>
      <c r="P214" s="22">
        <f>ProductionData[[#This Row],[Energy_kWh]]/ProductionData[[#This Row],[Actual_Production_t]]</f>
        <v>84.546004706937126</v>
      </c>
      <c r="Q214" s="23">
        <f>ProductionData[[#This Row],[Defects_t]]/ProductionData[[#This Row],[Actual_Production_t]]</f>
        <v>1.120699316373417E-3</v>
      </c>
      <c r="R214" t="str">
        <f>IF(ProductionData[[#This Row],[Achievement%]]&gt;=100%,"On Target",IF(ProductionData[[#This Row],[Achievement%]]&lt;90%,"Significantly Below Target","Below Target"))</f>
        <v>Significantly Below Target</v>
      </c>
    </row>
    <row r="215" spans="1:18" x14ac:dyDescent="0.25">
      <c r="A215">
        <v>211</v>
      </c>
      <c r="B215" s="3">
        <v>46093</v>
      </c>
      <c r="C215" t="s">
        <v>13</v>
      </c>
      <c r="D215" t="s">
        <v>14</v>
      </c>
      <c r="E215" s="4">
        <v>1118</v>
      </c>
      <c r="F215" s="4">
        <v>875.8</v>
      </c>
      <c r="G215" s="4">
        <v>4.26</v>
      </c>
      <c r="H215" t="s">
        <v>20</v>
      </c>
      <c r="I215" s="4">
        <v>1376.2</v>
      </c>
      <c r="J215" s="4">
        <v>72953.2</v>
      </c>
      <c r="K215">
        <v>4</v>
      </c>
      <c r="L215">
        <v>9</v>
      </c>
      <c r="M215" s="21">
        <f>(ProductionData[[#This Row],[Actual_Production_t]]/ProductionData[[#This Row],[Target_Production_t]])</f>
        <v>0.78336314847942756</v>
      </c>
      <c r="N215" s="5">
        <f>ProductionData[[#This Row],[Actual_Production_t]]/(ProductionData[[#This Row],[Target_Production_t]]*((8-ProductionData[[#This Row],[Downtime_hr]])/8))</f>
        <v>1.6756430983517163</v>
      </c>
      <c r="O215" s="4">
        <f>ProductionData[[#This Row],[Raw_Material_t]]/ProductionData[[#This Row],[Actual_Production_t]]</f>
        <v>1.5713633249600367</v>
      </c>
      <c r="P215" s="22">
        <f>ProductionData[[#This Row],[Energy_kWh]]/ProductionData[[#This Row],[Actual_Production_t]]</f>
        <v>83.298926695592598</v>
      </c>
      <c r="Q215" s="23">
        <f>ProductionData[[#This Row],[Defects_t]]/ProductionData[[#This Row],[Actual_Production_t]]</f>
        <v>4.5672527974423387E-3</v>
      </c>
      <c r="R215" t="str">
        <f>IF(ProductionData[[#This Row],[Achievement%]]&gt;=100%,"On Target",IF(ProductionData[[#This Row],[Achievement%]]&lt;90%,"Significantly Below Target","Below Target"))</f>
        <v>Significantly Below Target</v>
      </c>
    </row>
    <row r="216" spans="1:18" x14ac:dyDescent="0.25">
      <c r="A216">
        <v>212</v>
      </c>
      <c r="B216" s="3">
        <v>46093</v>
      </c>
      <c r="C216" t="s">
        <v>16</v>
      </c>
      <c r="D216" t="s">
        <v>17</v>
      </c>
      <c r="E216" s="4">
        <v>1020</v>
      </c>
      <c r="F216" s="4">
        <v>1009.7</v>
      </c>
      <c r="G216" s="4">
        <v>0.08</v>
      </c>
      <c r="H216" t="s">
        <v>23</v>
      </c>
      <c r="I216" s="4">
        <v>1574.4</v>
      </c>
      <c r="J216" s="4">
        <v>84883.3</v>
      </c>
      <c r="K216">
        <v>4</v>
      </c>
      <c r="L216">
        <v>12</v>
      </c>
      <c r="M216" s="21">
        <f>(ProductionData[[#This Row],[Actual_Production_t]]/ProductionData[[#This Row],[Target_Production_t]])</f>
        <v>0.98990196078431381</v>
      </c>
      <c r="N216" s="5">
        <f>ProductionData[[#This Row],[Actual_Production_t]]/(ProductionData[[#This Row],[Target_Production_t]]*((8-ProductionData[[#This Row],[Downtime_hr]])/8))</f>
        <v>0.9999009704892059</v>
      </c>
      <c r="O216" s="4">
        <f>ProductionData[[#This Row],[Raw_Material_t]]/ProductionData[[#This Row],[Actual_Production_t]]</f>
        <v>1.5592750321877786</v>
      </c>
      <c r="P216" s="22">
        <f>ProductionData[[#This Row],[Energy_kWh]]/ProductionData[[#This Row],[Actual_Production_t]]</f>
        <v>84.067841933247493</v>
      </c>
      <c r="Q216" s="23">
        <f>ProductionData[[#This Row],[Defects_t]]/ProductionData[[#This Row],[Actual_Production_t]]</f>
        <v>3.9615727443795181E-3</v>
      </c>
      <c r="R216" t="str">
        <f>IF(ProductionData[[#This Row],[Achievement%]]&gt;=100%,"On Target",IF(ProductionData[[#This Row],[Achievement%]]&lt;90%,"Significantly Below Target","Below Target"))</f>
        <v>Below Target</v>
      </c>
    </row>
    <row r="217" spans="1:18" x14ac:dyDescent="0.25">
      <c r="A217">
        <v>213</v>
      </c>
      <c r="B217" s="3">
        <v>46093</v>
      </c>
      <c r="C217" t="s">
        <v>18</v>
      </c>
      <c r="D217" t="s">
        <v>14</v>
      </c>
      <c r="E217" s="4">
        <v>1114</v>
      </c>
      <c r="F217" s="4">
        <v>853.2</v>
      </c>
      <c r="G217" s="4">
        <v>3.79</v>
      </c>
      <c r="H217" t="s">
        <v>15</v>
      </c>
      <c r="I217" s="4">
        <v>1327.8</v>
      </c>
      <c r="J217" s="4">
        <v>67281.899999999994</v>
      </c>
      <c r="K217">
        <v>7</v>
      </c>
      <c r="L217">
        <v>12</v>
      </c>
      <c r="M217" s="21">
        <f>(ProductionData[[#This Row],[Actual_Production_t]]/ProductionData[[#This Row],[Target_Production_t]])</f>
        <v>0.7658886894075404</v>
      </c>
      <c r="N217" s="5">
        <f>ProductionData[[#This Row],[Actual_Production_t]]/(ProductionData[[#This Row],[Target_Production_t]]*((8-ProductionData[[#This Row],[Downtime_hr]])/8))</f>
        <v>1.4553704311782243</v>
      </c>
      <c r="O217" s="4">
        <f>ProductionData[[#This Row],[Raw_Material_t]]/ProductionData[[#This Row],[Actual_Production_t]]</f>
        <v>1.5562587904360055</v>
      </c>
      <c r="P217" s="22">
        <f>ProductionData[[#This Row],[Energy_kWh]]/ProductionData[[#This Row],[Actual_Production_t]]</f>
        <v>78.858298171589297</v>
      </c>
      <c r="Q217" s="23">
        <f>ProductionData[[#This Row],[Defects_t]]/ProductionData[[#This Row],[Actual_Production_t]]</f>
        <v>8.204406938584154E-3</v>
      </c>
      <c r="R217" t="str">
        <f>IF(ProductionData[[#This Row],[Achievement%]]&gt;=100%,"On Target",IF(ProductionData[[#This Row],[Achievement%]]&lt;90%,"Significantly Below Target","Below Target"))</f>
        <v>Significantly Below Target</v>
      </c>
    </row>
    <row r="218" spans="1:18" x14ac:dyDescent="0.25">
      <c r="A218">
        <v>214</v>
      </c>
      <c r="B218" s="3">
        <v>46094</v>
      </c>
      <c r="C218" t="s">
        <v>13</v>
      </c>
      <c r="D218" t="s">
        <v>17</v>
      </c>
      <c r="E218" s="4">
        <v>1015</v>
      </c>
      <c r="F218" s="4">
        <v>761</v>
      </c>
      <c r="G218" s="4">
        <v>6.14</v>
      </c>
      <c r="H218" t="s">
        <v>15</v>
      </c>
      <c r="I218" s="4">
        <v>1145.2</v>
      </c>
      <c r="J218" s="4">
        <v>64190.2</v>
      </c>
      <c r="K218">
        <v>6</v>
      </c>
      <c r="L218">
        <v>9</v>
      </c>
      <c r="M218" s="21">
        <f>(ProductionData[[#This Row],[Actual_Production_t]]/ProductionData[[#This Row],[Target_Production_t]])</f>
        <v>0.74975369458128083</v>
      </c>
      <c r="N218" s="5">
        <f>ProductionData[[#This Row],[Actual_Production_t]]/(ProductionData[[#This Row],[Target_Production_t]]*((8-ProductionData[[#This Row],[Downtime_hr]])/8))</f>
        <v>3.2247470734678738</v>
      </c>
      <c r="O218" s="4">
        <f>ProductionData[[#This Row],[Raw_Material_t]]/ProductionData[[#This Row],[Actual_Production_t]]</f>
        <v>1.5048620236530881</v>
      </c>
      <c r="P218" s="22">
        <f>ProductionData[[#This Row],[Energy_kWh]]/ProductionData[[#This Row],[Actual_Production_t]]</f>
        <v>84.349802890932978</v>
      </c>
      <c r="Q218" s="23">
        <f>ProductionData[[#This Row],[Defects_t]]/ProductionData[[#This Row],[Actual_Production_t]]</f>
        <v>7.8843626806833107E-3</v>
      </c>
      <c r="R218" t="str">
        <f>IF(ProductionData[[#This Row],[Achievement%]]&gt;=100%,"On Target",IF(ProductionData[[#This Row],[Achievement%]]&lt;90%,"Significantly Below Target","Below Target"))</f>
        <v>Significantly Below Target</v>
      </c>
    </row>
    <row r="219" spans="1:18" x14ac:dyDescent="0.25">
      <c r="A219">
        <v>215</v>
      </c>
      <c r="B219" s="3">
        <v>46094</v>
      </c>
      <c r="C219" t="s">
        <v>16</v>
      </c>
      <c r="D219" t="s">
        <v>17</v>
      </c>
      <c r="E219" s="4">
        <v>1027</v>
      </c>
      <c r="F219" s="4">
        <v>784.2</v>
      </c>
      <c r="G219" s="4">
        <v>5.43</v>
      </c>
      <c r="H219" t="s">
        <v>20</v>
      </c>
      <c r="I219" s="4">
        <v>1207.0999999999999</v>
      </c>
      <c r="J219" s="4">
        <v>62483.1</v>
      </c>
      <c r="K219">
        <v>6</v>
      </c>
      <c r="L219">
        <v>12</v>
      </c>
      <c r="M219" s="21">
        <f>(ProductionData[[#This Row],[Actual_Production_t]]/ProductionData[[#This Row],[Target_Production_t]])</f>
        <v>0.76358325219084722</v>
      </c>
      <c r="N219" s="5">
        <f>ProductionData[[#This Row],[Actual_Production_t]]/(ProductionData[[#This Row],[Target_Production_t]]*((8-ProductionData[[#This Row],[Downtime_hr]])/8))</f>
        <v>2.3769128472866834</v>
      </c>
      <c r="O219" s="4">
        <f>ProductionData[[#This Row],[Raw_Material_t]]/ProductionData[[#This Row],[Actual_Production_t]]</f>
        <v>1.5392756949757713</v>
      </c>
      <c r="P219" s="22">
        <f>ProductionData[[#This Row],[Energy_kWh]]/ProductionData[[#This Row],[Actual_Production_t]]</f>
        <v>79.677505738332059</v>
      </c>
      <c r="Q219" s="23">
        <f>ProductionData[[#This Row],[Defects_t]]/ProductionData[[#This Row],[Actual_Production_t]]</f>
        <v>7.6511094108645747E-3</v>
      </c>
      <c r="R219" t="str">
        <f>IF(ProductionData[[#This Row],[Achievement%]]&gt;=100%,"On Target",IF(ProductionData[[#This Row],[Achievement%]]&lt;90%,"Significantly Below Target","Below Target"))</f>
        <v>Significantly Below Target</v>
      </c>
    </row>
    <row r="220" spans="1:18" x14ac:dyDescent="0.25">
      <c r="A220">
        <v>216</v>
      </c>
      <c r="B220" s="3">
        <v>46094</v>
      </c>
      <c r="C220" t="s">
        <v>18</v>
      </c>
      <c r="D220" t="s">
        <v>17</v>
      </c>
      <c r="E220" s="4">
        <v>1074</v>
      </c>
      <c r="F220" s="4">
        <v>953.5</v>
      </c>
      <c r="G220" s="4">
        <v>0.38</v>
      </c>
      <c r="H220" t="s">
        <v>23</v>
      </c>
      <c r="I220" s="4">
        <v>1459.5</v>
      </c>
      <c r="J220" s="4">
        <v>82209.600000000006</v>
      </c>
      <c r="K220">
        <v>5</v>
      </c>
      <c r="L220">
        <v>8</v>
      </c>
      <c r="M220" s="21">
        <f>(ProductionData[[#This Row],[Actual_Production_t]]/ProductionData[[#This Row],[Target_Production_t]])</f>
        <v>0.88780260707635006</v>
      </c>
      <c r="N220" s="5">
        <f>ProductionData[[#This Row],[Actual_Production_t]]/(ProductionData[[#This Row],[Target_Production_t]]*((8-ProductionData[[#This Row],[Downtime_hr]])/8))</f>
        <v>0.93207622790167988</v>
      </c>
      <c r="O220" s="4">
        <f>ProductionData[[#This Row],[Raw_Material_t]]/ProductionData[[#This Row],[Actual_Production_t]]</f>
        <v>1.5306764551651808</v>
      </c>
      <c r="P220" s="22">
        <f>ProductionData[[#This Row],[Energy_kWh]]/ProductionData[[#This Row],[Actual_Production_t]]</f>
        <v>86.218772941793404</v>
      </c>
      <c r="Q220" s="23">
        <f>ProductionData[[#This Row],[Defects_t]]/ProductionData[[#This Row],[Actual_Production_t]]</f>
        <v>5.243838489774515E-3</v>
      </c>
      <c r="R220" t="str">
        <f>IF(ProductionData[[#This Row],[Achievement%]]&gt;=100%,"On Target",IF(ProductionData[[#This Row],[Achievement%]]&lt;90%,"Significantly Below Target","Below Target"))</f>
        <v>Significantly Below Target</v>
      </c>
    </row>
    <row r="221" spans="1:18" x14ac:dyDescent="0.25">
      <c r="A221">
        <v>217</v>
      </c>
      <c r="B221" s="3">
        <v>46095</v>
      </c>
      <c r="C221" t="s">
        <v>13</v>
      </c>
      <c r="D221" t="s">
        <v>14</v>
      </c>
      <c r="E221" s="4">
        <v>1175</v>
      </c>
      <c r="F221" s="4">
        <v>1058.8</v>
      </c>
      <c r="G221" s="4">
        <v>2.85</v>
      </c>
      <c r="H221" t="s">
        <v>22</v>
      </c>
      <c r="I221" s="4">
        <v>1642.1</v>
      </c>
      <c r="J221" s="4">
        <v>85899.199999999997</v>
      </c>
      <c r="K221">
        <v>0</v>
      </c>
      <c r="L221">
        <v>10</v>
      </c>
      <c r="M221" s="21">
        <f>(ProductionData[[#This Row],[Actual_Production_t]]/ProductionData[[#This Row],[Target_Production_t]])</f>
        <v>0.90110638297872336</v>
      </c>
      <c r="N221" s="5">
        <f>ProductionData[[#This Row],[Actual_Production_t]]/(ProductionData[[#This Row],[Target_Production_t]]*((8-ProductionData[[#This Row],[Downtime_hr]])/8))</f>
        <v>1.3997769055980169</v>
      </c>
      <c r="O221" s="4">
        <f>ProductionData[[#This Row],[Raw_Material_t]]/ProductionData[[#This Row],[Actual_Production_t]]</f>
        <v>1.5509066868152626</v>
      </c>
      <c r="P221" s="22">
        <f>ProductionData[[#This Row],[Energy_kWh]]/ProductionData[[#This Row],[Actual_Production_t]]</f>
        <v>81.128825085001893</v>
      </c>
      <c r="Q221" s="23">
        <f>ProductionData[[#This Row],[Defects_t]]/ProductionData[[#This Row],[Actual_Production_t]]</f>
        <v>0</v>
      </c>
      <c r="R221" t="str">
        <f>IF(ProductionData[[#This Row],[Achievement%]]&gt;=100%,"On Target",IF(ProductionData[[#This Row],[Achievement%]]&lt;90%,"Significantly Below Target","Below Target"))</f>
        <v>Below Target</v>
      </c>
    </row>
    <row r="222" spans="1:18" x14ac:dyDescent="0.25">
      <c r="A222">
        <v>218</v>
      </c>
      <c r="B222" s="3">
        <v>46095</v>
      </c>
      <c r="C222" t="s">
        <v>16</v>
      </c>
      <c r="D222" t="s">
        <v>14</v>
      </c>
      <c r="E222" s="4">
        <v>1136</v>
      </c>
      <c r="F222" s="4">
        <v>1036.3</v>
      </c>
      <c r="G222" s="4">
        <v>2.19</v>
      </c>
      <c r="H222" t="s">
        <v>21</v>
      </c>
      <c r="I222" s="4">
        <v>1657</v>
      </c>
      <c r="J222" s="4">
        <v>83698.3</v>
      </c>
      <c r="K222">
        <v>1</v>
      </c>
      <c r="L222">
        <v>9</v>
      </c>
      <c r="M222" s="21">
        <f>(ProductionData[[#This Row],[Actual_Production_t]]/ProductionData[[#This Row],[Target_Production_t]])</f>
        <v>0.91223591549295768</v>
      </c>
      <c r="N222" s="5">
        <f>ProductionData[[#This Row],[Actual_Production_t]]/(ProductionData[[#This Row],[Target_Production_t]]*((8-ProductionData[[#This Row],[Downtime_hr]])/8))</f>
        <v>1.2560907614360861</v>
      </c>
      <c r="O222" s="4">
        <f>ProductionData[[#This Row],[Raw_Material_t]]/ProductionData[[#This Row],[Actual_Production_t]]</f>
        <v>1.5989578307439931</v>
      </c>
      <c r="P222" s="22">
        <f>ProductionData[[#This Row],[Energy_kWh]]/ProductionData[[#This Row],[Actual_Production_t]]</f>
        <v>80.766476888931777</v>
      </c>
      <c r="Q222" s="23">
        <f>ProductionData[[#This Row],[Defects_t]]/ProductionData[[#This Row],[Actual_Production_t]]</f>
        <v>9.6497153333976657E-4</v>
      </c>
      <c r="R222" t="str">
        <f>IF(ProductionData[[#This Row],[Achievement%]]&gt;=100%,"On Target",IF(ProductionData[[#This Row],[Achievement%]]&lt;90%,"Significantly Below Target","Below Target"))</f>
        <v>Below Target</v>
      </c>
    </row>
    <row r="223" spans="1:18" x14ac:dyDescent="0.25">
      <c r="A223">
        <v>219</v>
      </c>
      <c r="B223" s="3">
        <v>46095</v>
      </c>
      <c r="C223" t="s">
        <v>18</v>
      </c>
      <c r="D223" t="s">
        <v>19</v>
      </c>
      <c r="E223" s="4">
        <v>1017</v>
      </c>
      <c r="F223" s="4">
        <v>690.8</v>
      </c>
      <c r="G223" s="4">
        <v>4.32</v>
      </c>
      <c r="H223" t="s">
        <v>24</v>
      </c>
      <c r="I223" s="4">
        <v>1030.5999999999999</v>
      </c>
      <c r="J223" s="4">
        <v>58710.2</v>
      </c>
      <c r="K223">
        <v>2</v>
      </c>
      <c r="L223">
        <v>7</v>
      </c>
      <c r="M223" s="21">
        <f>(ProductionData[[#This Row],[Actual_Production_t]]/ProductionData[[#This Row],[Target_Production_t]])</f>
        <v>0.67925270403146509</v>
      </c>
      <c r="N223" s="5">
        <f>ProductionData[[#This Row],[Actual_Production_t]]/(ProductionData[[#This Row],[Target_Production_t]]*((8-ProductionData[[#This Row],[Downtime_hr]])/8))</f>
        <v>1.4766363131118807</v>
      </c>
      <c r="O223" s="4">
        <f>ProductionData[[#This Row],[Raw_Material_t]]/ProductionData[[#This Row],[Actual_Production_t]]</f>
        <v>1.4918934568616098</v>
      </c>
      <c r="P223" s="22">
        <f>ProductionData[[#This Row],[Energy_kWh]]/ProductionData[[#This Row],[Actual_Production_t]]</f>
        <v>84.988708743485816</v>
      </c>
      <c r="Q223" s="23">
        <f>ProductionData[[#This Row],[Defects_t]]/ProductionData[[#This Row],[Actual_Production_t]]</f>
        <v>2.8951939779965261E-3</v>
      </c>
      <c r="R223" t="str">
        <f>IF(ProductionData[[#This Row],[Achievement%]]&gt;=100%,"On Target",IF(ProductionData[[#This Row],[Achievement%]]&lt;90%,"Significantly Below Target","Below Target"))</f>
        <v>Significantly Below Target</v>
      </c>
    </row>
    <row r="224" spans="1:18" x14ac:dyDescent="0.25">
      <c r="A224">
        <v>220</v>
      </c>
      <c r="B224" s="3">
        <v>46096</v>
      </c>
      <c r="C224" t="s">
        <v>13</v>
      </c>
      <c r="D224" t="s">
        <v>19</v>
      </c>
      <c r="E224" s="4">
        <v>1008</v>
      </c>
      <c r="F224" s="4">
        <v>958.1</v>
      </c>
      <c r="G224" s="4">
        <v>3.04</v>
      </c>
      <c r="H224" t="s">
        <v>24</v>
      </c>
      <c r="I224" s="4">
        <v>1487.4</v>
      </c>
      <c r="J224" s="4">
        <v>76752.800000000003</v>
      </c>
      <c r="K224">
        <v>2</v>
      </c>
      <c r="L224">
        <v>8</v>
      </c>
      <c r="M224" s="21">
        <f>(ProductionData[[#This Row],[Actual_Production_t]]/ProductionData[[#This Row],[Target_Production_t]])</f>
        <v>0.95049603174603181</v>
      </c>
      <c r="N224" s="5">
        <f>ProductionData[[#This Row],[Actual_Production_t]]/(ProductionData[[#This Row],[Target_Production_t]]*((8-ProductionData[[#This Row],[Downtime_hr]])/8))</f>
        <v>1.5330581157194061</v>
      </c>
      <c r="O224" s="4">
        <f>ProductionData[[#This Row],[Raw_Material_t]]/ProductionData[[#This Row],[Actual_Production_t]]</f>
        <v>1.5524475524475525</v>
      </c>
      <c r="P224" s="22">
        <f>ProductionData[[#This Row],[Energy_kWh]]/ProductionData[[#This Row],[Actual_Production_t]]</f>
        <v>80.109383154159275</v>
      </c>
      <c r="Q224" s="23">
        <f>ProductionData[[#This Row],[Defects_t]]/ProductionData[[#This Row],[Actual_Production_t]]</f>
        <v>2.0874647740319382E-3</v>
      </c>
      <c r="R224" t="str">
        <f>IF(ProductionData[[#This Row],[Achievement%]]&gt;=100%,"On Target",IF(ProductionData[[#This Row],[Achievement%]]&lt;90%,"Significantly Below Target","Below Target"))</f>
        <v>Below Target</v>
      </c>
    </row>
    <row r="225" spans="1:18" x14ac:dyDescent="0.25">
      <c r="A225">
        <v>221</v>
      </c>
      <c r="B225" s="3">
        <v>46096</v>
      </c>
      <c r="C225" t="s">
        <v>16</v>
      </c>
      <c r="D225" t="s">
        <v>19</v>
      </c>
      <c r="E225" s="4">
        <v>960</v>
      </c>
      <c r="F225" s="4">
        <v>948.2</v>
      </c>
      <c r="G225" s="4">
        <v>0.27</v>
      </c>
      <c r="H225" t="s">
        <v>23</v>
      </c>
      <c r="I225" s="4">
        <v>1419.5</v>
      </c>
      <c r="J225" s="4">
        <v>74748.800000000003</v>
      </c>
      <c r="K225">
        <v>2</v>
      </c>
      <c r="L225">
        <v>12</v>
      </c>
      <c r="M225" s="21">
        <f>(ProductionData[[#This Row],[Actual_Production_t]]/ProductionData[[#This Row],[Target_Production_t]])</f>
        <v>0.98770833333333341</v>
      </c>
      <c r="N225" s="5">
        <f>ProductionData[[#This Row],[Actual_Production_t]]/(ProductionData[[#This Row],[Target_Production_t]]*((8-ProductionData[[#This Row],[Downtime_hr]])/8))</f>
        <v>1.0222078482104355</v>
      </c>
      <c r="O225" s="4">
        <f>ProductionData[[#This Row],[Raw_Material_t]]/ProductionData[[#This Row],[Actual_Production_t]]</f>
        <v>1.4970470364901918</v>
      </c>
      <c r="P225" s="22">
        <f>ProductionData[[#This Row],[Energy_kWh]]/ProductionData[[#This Row],[Actual_Production_t]]</f>
        <v>78.832313857835899</v>
      </c>
      <c r="Q225" s="23">
        <f>ProductionData[[#This Row],[Defects_t]]/ProductionData[[#This Row],[Actual_Production_t]]</f>
        <v>2.1092596498628979E-3</v>
      </c>
      <c r="R225" t="str">
        <f>IF(ProductionData[[#This Row],[Achievement%]]&gt;=100%,"On Target",IF(ProductionData[[#This Row],[Achievement%]]&lt;90%,"Significantly Below Target","Below Target"))</f>
        <v>Below Target</v>
      </c>
    </row>
    <row r="226" spans="1:18" x14ac:dyDescent="0.25">
      <c r="A226">
        <v>222</v>
      </c>
      <c r="B226" s="3">
        <v>46096</v>
      </c>
      <c r="C226" t="s">
        <v>18</v>
      </c>
      <c r="D226" t="s">
        <v>14</v>
      </c>
      <c r="E226" s="4">
        <v>1177</v>
      </c>
      <c r="F226" s="4">
        <v>906.5</v>
      </c>
      <c r="G226" s="4">
        <v>3.35</v>
      </c>
      <c r="H226" t="s">
        <v>21</v>
      </c>
      <c r="I226" s="4">
        <v>1357.1</v>
      </c>
      <c r="J226" s="4">
        <v>78729.5</v>
      </c>
      <c r="K226">
        <v>3</v>
      </c>
      <c r="L226">
        <v>10</v>
      </c>
      <c r="M226" s="21">
        <f>(ProductionData[[#This Row],[Actual_Production_t]]/ProductionData[[#This Row],[Target_Production_t]])</f>
        <v>0.77017841971112999</v>
      </c>
      <c r="N226" s="5">
        <f>ProductionData[[#This Row],[Actual_Production_t]]/(ProductionData[[#This Row],[Target_Production_t]]*((8-ProductionData[[#This Row],[Downtime_hr]])/8))</f>
        <v>1.3250381414385031</v>
      </c>
      <c r="O226" s="4">
        <f>ProductionData[[#This Row],[Raw_Material_t]]/ProductionData[[#This Row],[Actual_Production_t]]</f>
        <v>1.4970766685052399</v>
      </c>
      <c r="P226" s="22">
        <f>ProductionData[[#This Row],[Energy_kWh]]/ProductionData[[#This Row],[Actual_Production_t]]</f>
        <v>86.849972421400992</v>
      </c>
      <c r="Q226" s="23">
        <f>ProductionData[[#This Row],[Defects_t]]/ProductionData[[#This Row],[Actual_Production_t]]</f>
        <v>3.3094318808604521E-3</v>
      </c>
      <c r="R226" t="str">
        <f>IF(ProductionData[[#This Row],[Achievement%]]&gt;=100%,"On Target",IF(ProductionData[[#This Row],[Achievement%]]&lt;90%,"Significantly Below Target","Below Target"))</f>
        <v>Significantly Below Target</v>
      </c>
    </row>
    <row r="227" spans="1:18" x14ac:dyDescent="0.25">
      <c r="A227">
        <v>223</v>
      </c>
      <c r="B227" s="3">
        <v>46097</v>
      </c>
      <c r="C227" t="s">
        <v>13</v>
      </c>
      <c r="D227" t="s">
        <v>14</v>
      </c>
      <c r="E227" s="4">
        <v>1178</v>
      </c>
      <c r="F227" s="4">
        <v>919.3</v>
      </c>
      <c r="G227" s="4">
        <v>3.82</v>
      </c>
      <c r="H227" t="s">
        <v>21</v>
      </c>
      <c r="I227" s="4">
        <v>1376.4</v>
      </c>
      <c r="J227" s="4">
        <v>75874.100000000006</v>
      </c>
      <c r="K227">
        <v>2</v>
      </c>
      <c r="L227">
        <v>12</v>
      </c>
      <c r="M227" s="21">
        <f>(ProductionData[[#This Row],[Actual_Production_t]]/ProductionData[[#This Row],[Target_Production_t]])</f>
        <v>0.78039049235993208</v>
      </c>
      <c r="N227" s="5">
        <f>ProductionData[[#This Row],[Actual_Production_t]]/(ProductionData[[#This Row],[Target_Production_t]]*((8-ProductionData[[#This Row],[Downtime_hr]])/8))</f>
        <v>1.4935703203060902</v>
      </c>
      <c r="O227" s="4">
        <f>ProductionData[[#This Row],[Raw_Material_t]]/ProductionData[[#This Row],[Actual_Production_t]]</f>
        <v>1.4972261503317743</v>
      </c>
      <c r="P227" s="22">
        <f>ProductionData[[#This Row],[Energy_kWh]]/ProductionData[[#This Row],[Actual_Production_t]]</f>
        <v>82.534645926248245</v>
      </c>
      <c r="Q227" s="23">
        <f>ProductionData[[#This Row],[Defects_t]]/ProductionData[[#This Row],[Actual_Production_t]]</f>
        <v>2.1755683672359406E-3</v>
      </c>
      <c r="R227" t="str">
        <f>IF(ProductionData[[#This Row],[Achievement%]]&gt;=100%,"On Target",IF(ProductionData[[#This Row],[Achievement%]]&lt;90%,"Significantly Below Target","Below Target"))</f>
        <v>Significantly Below Target</v>
      </c>
    </row>
    <row r="228" spans="1:18" x14ac:dyDescent="0.25">
      <c r="A228">
        <v>224</v>
      </c>
      <c r="B228" s="3">
        <v>46097</v>
      </c>
      <c r="C228" t="s">
        <v>16</v>
      </c>
      <c r="D228" t="s">
        <v>14</v>
      </c>
      <c r="E228" s="4">
        <v>1112</v>
      </c>
      <c r="F228" s="4">
        <v>1037.5999999999999</v>
      </c>
      <c r="G228" s="4">
        <v>0.32</v>
      </c>
      <c r="H228" t="s">
        <v>23</v>
      </c>
      <c r="I228" s="4">
        <v>1631</v>
      </c>
      <c r="J228" s="4">
        <v>83088.800000000003</v>
      </c>
      <c r="K228">
        <v>4</v>
      </c>
      <c r="L228">
        <v>7</v>
      </c>
      <c r="M228" s="21">
        <f>(ProductionData[[#This Row],[Actual_Production_t]]/ProductionData[[#This Row],[Target_Production_t]])</f>
        <v>0.933093525179856</v>
      </c>
      <c r="N228" s="5">
        <f>ProductionData[[#This Row],[Actual_Production_t]]/(ProductionData[[#This Row],[Target_Production_t]]*((8-ProductionData[[#This Row],[Downtime_hr]])/8))</f>
        <v>0.97197242206235002</v>
      </c>
      <c r="O228" s="4">
        <f>ProductionData[[#This Row],[Raw_Material_t]]/ProductionData[[#This Row],[Actual_Production_t]]</f>
        <v>1.5718966846569007</v>
      </c>
      <c r="P228" s="22">
        <f>ProductionData[[#This Row],[Energy_kWh]]/ProductionData[[#This Row],[Actual_Production_t]]</f>
        <v>80.077872012336172</v>
      </c>
      <c r="Q228" s="23">
        <f>ProductionData[[#This Row],[Defects_t]]/ProductionData[[#This Row],[Actual_Production_t]]</f>
        <v>3.8550501156515036E-3</v>
      </c>
      <c r="R228" t="str">
        <f>IF(ProductionData[[#This Row],[Achievement%]]&gt;=100%,"On Target",IF(ProductionData[[#This Row],[Achievement%]]&lt;90%,"Significantly Below Target","Below Target"))</f>
        <v>Below Target</v>
      </c>
    </row>
    <row r="229" spans="1:18" x14ac:dyDescent="0.25">
      <c r="A229">
        <v>225</v>
      </c>
      <c r="B229" s="3">
        <v>46097</v>
      </c>
      <c r="C229" t="s">
        <v>18</v>
      </c>
      <c r="D229" t="s">
        <v>14</v>
      </c>
      <c r="E229" s="4">
        <v>1156</v>
      </c>
      <c r="F229" s="4">
        <v>920.4</v>
      </c>
      <c r="G229" s="4">
        <v>4.3099999999999996</v>
      </c>
      <c r="H229" t="s">
        <v>20</v>
      </c>
      <c r="I229" s="4">
        <v>1401.8</v>
      </c>
      <c r="J229" s="4">
        <v>72500.2</v>
      </c>
      <c r="K229">
        <v>3</v>
      </c>
      <c r="L229">
        <v>9</v>
      </c>
      <c r="M229" s="21">
        <f>(ProductionData[[#This Row],[Actual_Production_t]]/ProductionData[[#This Row],[Target_Production_t]])</f>
        <v>0.79619377162629756</v>
      </c>
      <c r="N229" s="5">
        <f>ProductionData[[#This Row],[Actual_Production_t]]/(ProductionData[[#This Row],[Target_Production_t]]*((8-ProductionData[[#This Row],[Downtime_hr]])/8))</f>
        <v>1.7261653585393983</v>
      </c>
      <c r="O229" s="4">
        <f>ProductionData[[#This Row],[Raw_Material_t]]/ProductionData[[#This Row],[Actual_Production_t]]</f>
        <v>1.5230334637114298</v>
      </c>
      <c r="P229" s="22">
        <f>ProductionData[[#This Row],[Energy_kWh]]/ProductionData[[#This Row],[Actual_Production_t]]</f>
        <v>78.770317253368106</v>
      </c>
      <c r="Q229" s="23">
        <f>ProductionData[[#This Row],[Defects_t]]/ProductionData[[#This Row],[Actual_Production_t]]</f>
        <v>3.259452411994785E-3</v>
      </c>
      <c r="R229" t="str">
        <f>IF(ProductionData[[#This Row],[Achievement%]]&gt;=100%,"On Target",IF(ProductionData[[#This Row],[Achievement%]]&lt;90%,"Significantly Below Target","Below Target"))</f>
        <v>Significantly Below Target</v>
      </c>
    </row>
    <row r="230" spans="1:18" x14ac:dyDescent="0.25">
      <c r="A230">
        <v>226</v>
      </c>
      <c r="B230" s="3">
        <v>46098</v>
      </c>
      <c r="C230" t="s">
        <v>13</v>
      </c>
      <c r="D230" t="s">
        <v>17</v>
      </c>
      <c r="E230" s="4">
        <v>1026</v>
      </c>
      <c r="F230" s="4">
        <v>1058.4000000000001</v>
      </c>
      <c r="G230" s="4">
        <v>0.38</v>
      </c>
      <c r="H230" t="s">
        <v>23</v>
      </c>
      <c r="I230" s="4">
        <v>1610.1</v>
      </c>
      <c r="J230" s="4">
        <v>82744.3</v>
      </c>
      <c r="K230">
        <v>6</v>
      </c>
      <c r="L230">
        <v>7</v>
      </c>
      <c r="M230" s="21">
        <f>(ProductionData[[#This Row],[Actual_Production_t]]/ProductionData[[#This Row],[Target_Production_t]])</f>
        <v>1.0315789473684212</v>
      </c>
      <c r="N230" s="5">
        <f>ProductionData[[#This Row],[Actual_Production_t]]/(ProductionData[[#This Row],[Target_Production_t]]*((8-ProductionData[[#This Row],[Downtime_hr]])/8))</f>
        <v>1.083022516922227</v>
      </c>
      <c r="O230" s="4">
        <f>ProductionData[[#This Row],[Raw_Material_t]]/ProductionData[[#This Row],[Actual_Production_t]]</f>
        <v>1.5212585034013604</v>
      </c>
      <c r="P230" s="22">
        <f>ProductionData[[#This Row],[Energy_kWh]]/ProductionData[[#This Row],[Actual_Production_t]]</f>
        <v>78.17866591080876</v>
      </c>
      <c r="Q230" s="23">
        <f>ProductionData[[#This Row],[Defects_t]]/ProductionData[[#This Row],[Actual_Production_t]]</f>
        <v>5.6689342403628117E-3</v>
      </c>
      <c r="R230" t="str">
        <f>IF(ProductionData[[#This Row],[Achievement%]]&gt;=100%,"On Target",IF(ProductionData[[#This Row],[Achievement%]]&lt;90%,"Significantly Below Target","Below Target"))</f>
        <v>On Target</v>
      </c>
    </row>
    <row r="231" spans="1:18" x14ac:dyDescent="0.25">
      <c r="A231">
        <v>227</v>
      </c>
      <c r="B231" s="3">
        <v>46098</v>
      </c>
      <c r="C231" t="s">
        <v>16</v>
      </c>
      <c r="D231" t="s">
        <v>14</v>
      </c>
      <c r="E231" s="4">
        <v>1148</v>
      </c>
      <c r="F231" s="4">
        <v>1079.2</v>
      </c>
      <c r="G231" s="4">
        <v>1.79</v>
      </c>
      <c r="H231" t="s">
        <v>15</v>
      </c>
      <c r="I231" s="4">
        <v>1626.5</v>
      </c>
      <c r="J231" s="4">
        <v>86510.2</v>
      </c>
      <c r="K231">
        <v>2</v>
      </c>
      <c r="L231">
        <v>7</v>
      </c>
      <c r="M231" s="21">
        <f>(ProductionData[[#This Row],[Actual_Production_t]]/ProductionData[[#This Row],[Target_Production_t]])</f>
        <v>0.94006968641114985</v>
      </c>
      <c r="N231" s="5">
        <f>ProductionData[[#This Row],[Actual_Production_t]]/(ProductionData[[#This Row],[Target_Production_t]]*((8-ProductionData[[#This Row],[Downtime_hr]])/8))</f>
        <v>1.2110398536697582</v>
      </c>
      <c r="O231" s="4">
        <f>ProductionData[[#This Row],[Raw_Material_t]]/ProductionData[[#This Row],[Actual_Production_t]]</f>
        <v>1.5071349147516679</v>
      </c>
      <c r="P231" s="22">
        <f>ProductionData[[#This Row],[Energy_kWh]]/ProductionData[[#This Row],[Actual_Production_t]]</f>
        <v>80.161415863602656</v>
      </c>
      <c r="Q231" s="23">
        <f>ProductionData[[#This Row],[Defects_t]]/ProductionData[[#This Row],[Actual_Production_t]]</f>
        <v>1.8532246108228317E-3</v>
      </c>
      <c r="R231" t="str">
        <f>IF(ProductionData[[#This Row],[Achievement%]]&gt;=100%,"On Target",IF(ProductionData[[#This Row],[Achievement%]]&lt;90%,"Significantly Below Target","Below Target"))</f>
        <v>Below Target</v>
      </c>
    </row>
    <row r="232" spans="1:18" x14ac:dyDescent="0.25">
      <c r="A232">
        <v>228</v>
      </c>
      <c r="B232" s="3">
        <v>46098</v>
      </c>
      <c r="C232" t="s">
        <v>18</v>
      </c>
      <c r="D232" t="s">
        <v>17</v>
      </c>
      <c r="E232" s="4">
        <v>1056</v>
      </c>
      <c r="F232" s="4">
        <v>715.4</v>
      </c>
      <c r="G232" s="4">
        <v>4.1500000000000004</v>
      </c>
      <c r="H232" t="s">
        <v>22</v>
      </c>
      <c r="I232" s="4">
        <v>1026.5</v>
      </c>
      <c r="J232" s="4">
        <v>59077.2</v>
      </c>
      <c r="K232">
        <v>1</v>
      </c>
      <c r="L232">
        <v>9</v>
      </c>
      <c r="M232" s="21">
        <f>(ProductionData[[#This Row],[Actual_Production_t]]/ProductionData[[#This Row],[Target_Production_t]])</f>
        <v>0.67746212121212124</v>
      </c>
      <c r="N232" s="5">
        <f>ProductionData[[#This Row],[Actual_Production_t]]/(ProductionData[[#This Row],[Target_Production_t]]*((8-ProductionData[[#This Row],[Downtime_hr]])/8))</f>
        <v>1.4077134986225897</v>
      </c>
      <c r="O232" s="4">
        <f>ProductionData[[#This Row],[Raw_Material_t]]/ProductionData[[#This Row],[Actual_Production_t]]</f>
        <v>1.4348616158792284</v>
      </c>
      <c r="P232" s="22">
        <f>ProductionData[[#This Row],[Energy_kWh]]/ProductionData[[#This Row],[Actual_Production_t]]</f>
        <v>82.579256360078276</v>
      </c>
      <c r="Q232" s="23">
        <f>ProductionData[[#This Row],[Defects_t]]/ProductionData[[#This Row],[Actual_Production_t]]</f>
        <v>1.3978194017332962E-3</v>
      </c>
      <c r="R232" t="str">
        <f>IF(ProductionData[[#This Row],[Achievement%]]&gt;=100%,"On Target",IF(ProductionData[[#This Row],[Achievement%]]&lt;90%,"Significantly Below Target","Below Target"))</f>
        <v>Significantly Below Target</v>
      </c>
    </row>
    <row r="233" spans="1:18" x14ac:dyDescent="0.25">
      <c r="A233">
        <v>229</v>
      </c>
      <c r="B233" s="3">
        <v>46099</v>
      </c>
      <c r="C233" t="s">
        <v>13</v>
      </c>
      <c r="D233" t="s">
        <v>19</v>
      </c>
      <c r="E233" s="4">
        <v>1017</v>
      </c>
      <c r="F233" s="4">
        <v>1007</v>
      </c>
      <c r="G233" s="4">
        <v>0.41</v>
      </c>
      <c r="H233" t="s">
        <v>23</v>
      </c>
      <c r="I233" s="4">
        <v>1548.2</v>
      </c>
      <c r="J233" s="4">
        <v>82772.2</v>
      </c>
      <c r="K233">
        <v>1</v>
      </c>
      <c r="L233">
        <v>9</v>
      </c>
      <c r="M233" s="21">
        <f>(ProductionData[[#This Row],[Actual_Production_t]]/ProductionData[[#This Row],[Target_Production_t]])</f>
        <v>0.99016715830875124</v>
      </c>
      <c r="N233" s="5">
        <f>ProductionData[[#This Row],[Actual_Production_t]]/(ProductionData[[#This Row],[Target_Production_t]]*((8-ProductionData[[#This Row],[Downtime_hr]])/8))</f>
        <v>1.0436544488102779</v>
      </c>
      <c r="O233" s="4">
        <f>ProductionData[[#This Row],[Raw_Material_t]]/ProductionData[[#This Row],[Actual_Production_t]]</f>
        <v>1.5374379344587885</v>
      </c>
      <c r="P233" s="22">
        <f>ProductionData[[#This Row],[Energy_kWh]]/ProductionData[[#This Row],[Actual_Production_t]]</f>
        <v>82.196822244289962</v>
      </c>
      <c r="Q233" s="23">
        <f>ProductionData[[#This Row],[Defects_t]]/ProductionData[[#This Row],[Actual_Production_t]]</f>
        <v>9.930486593843098E-4</v>
      </c>
      <c r="R233" t="str">
        <f>IF(ProductionData[[#This Row],[Achievement%]]&gt;=100%,"On Target",IF(ProductionData[[#This Row],[Achievement%]]&lt;90%,"Significantly Below Target","Below Target"))</f>
        <v>Below Target</v>
      </c>
    </row>
    <row r="234" spans="1:18" x14ac:dyDescent="0.25">
      <c r="A234">
        <v>230</v>
      </c>
      <c r="B234" s="3">
        <v>46099</v>
      </c>
      <c r="C234" t="s">
        <v>16</v>
      </c>
      <c r="D234" t="s">
        <v>17</v>
      </c>
      <c r="E234" s="4">
        <v>1022</v>
      </c>
      <c r="F234" s="4">
        <v>835</v>
      </c>
      <c r="G234" s="4">
        <v>4.1900000000000004</v>
      </c>
      <c r="H234" t="s">
        <v>20</v>
      </c>
      <c r="I234" s="4">
        <v>1297.5</v>
      </c>
      <c r="J234" s="4">
        <v>66598.8</v>
      </c>
      <c r="K234">
        <v>1</v>
      </c>
      <c r="L234">
        <v>12</v>
      </c>
      <c r="M234" s="21">
        <f>(ProductionData[[#This Row],[Actual_Production_t]]/ProductionData[[#This Row],[Target_Production_t]])</f>
        <v>0.81702544031311153</v>
      </c>
      <c r="N234" s="5">
        <f>ProductionData[[#This Row],[Actual_Production_t]]/(ProductionData[[#This Row],[Target_Production_t]]*((8-ProductionData[[#This Row],[Downtime_hr]])/8))</f>
        <v>1.7155389822847489</v>
      </c>
      <c r="O234" s="4">
        <f>ProductionData[[#This Row],[Raw_Material_t]]/ProductionData[[#This Row],[Actual_Production_t]]</f>
        <v>1.5538922155688624</v>
      </c>
      <c r="P234" s="22">
        <f>ProductionData[[#This Row],[Energy_kWh]]/ProductionData[[#This Row],[Actual_Production_t]]</f>
        <v>79.759041916167675</v>
      </c>
      <c r="Q234" s="23">
        <f>ProductionData[[#This Row],[Defects_t]]/ProductionData[[#This Row],[Actual_Production_t]]</f>
        <v>1.1976047904191617E-3</v>
      </c>
      <c r="R234" t="str">
        <f>IF(ProductionData[[#This Row],[Achievement%]]&gt;=100%,"On Target",IF(ProductionData[[#This Row],[Achievement%]]&lt;90%,"Significantly Below Target","Below Target"))</f>
        <v>Significantly Below Target</v>
      </c>
    </row>
    <row r="235" spans="1:18" x14ac:dyDescent="0.25">
      <c r="A235">
        <v>231</v>
      </c>
      <c r="B235" s="3">
        <v>46099</v>
      </c>
      <c r="C235" t="s">
        <v>18</v>
      </c>
      <c r="D235" t="s">
        <v>17</v>
      </c>
      <c r="E235" s="4">
        <v>1076</v>
      </c>
      <c r="F235" s="4">
        <v>901.7</v>
      </c>
      <c r="G235" s="4">
        <v>2.5299999999999998</v>
      </c>
      <c r="H235" t="s">
        <v>15</v>
      </c>
      <c r="I235" s="4">
        <v>1368.9</v>
      </c>
      <c r="J235" s="4">
        <v>73074.7</v>
      </c>
      <c r="K235">
        <v>3</v>
      </c>
      <c r="L235">
        <v>10</v>
      </c>
      <c r="M235" s="21">
        <f>(ProductionData[[#This Row],[Actual_Production_t]]/ProductionData[[#This Row],[Target_Production_t]])</f>
        <v>0.83801115241635693</v>
      </c>
      <c r="N235" s="5">
        <f>ProductionData[[#This Row],[Actual_Production_t]]/(ProductionData[[#This Row],[Target_Production_t]]*((8-ProductionData[[#This Row],[Downtime_hr]])/8))</f>
        <v>1.2256104605723683</v>
      </c>
      <c r="O235" s="4">
        <f>ProductionData[[#This Row],[Raw_Material_t]]/ProductionData[[#This Row],[Actual_Production_t]]</f>
        <v>1.5181324165465233</v>
      </c>
      <c r="P235" s="22">
        <f>ProductionData[[#This Row],[Energy_kWh]]/ProductionData[[#This Row],[Actual_Production_t]]</f>
        <v>81.041033603193966</v>
      </c>
      <c r="Q235" s="23">
        <f>ProductionData[[#This Row],[Defects_t]]/ProductionData[[#This Row],[Actual_Production_t]]</f>
        <v>3.3270489076189418E-3</v>
      </c>
      <c r="R235" t="str">
        <f>IF(ProductionData[[#This Row],[Achievement%]]&gt;=100%,"On Target",IF(ProductionData[[#This Row],[Achievement%]]&lt;90%,"Significantly Below Target","Below Target"))</f>
        <v>Significantly Below Target</v>
      </c>
    </row>
    <row r="236" spans="1:18" x14ac:dyDescent="0.25">
      <c r="A236">
        <v>232</v>
      </c>
      <c r="B236" s="3">
        <v>46100</v>
      </c>
      <c r="C236" t="s">
        <v>13</v>
      </c>
      <c r="D236" t="s">
        <v>14</v>
      </c>
      <c r="E236" s="4">
        <v>1168</v>
      </c>
      <c r="F236" s="4">
        <v>922.4</v>
      </c>
      <c r="G236" s="4">
        <v>5.23</v>
      </c>
      <c r="H236" t="s">
        <v>22</v>
      </c>
      <c r="I236" s="4">
        <v>1407.3</v>
      </c>
      <c r="J236" s="4">
        <v>75485.5</v>
      </c>
      <c r="K236">
        <v>3</v>
      </c>
      <c r="L236">
        <v>12</v>
      </c>
      <c r="M236" s="21">
        <f>(ProductionData[[#This Row],[Actual_Production_t]]/ProductionData[[#This Row],[Target_Production_t]])</f>
        <v>0.78972602739726028</v>
      </c>
      <c r="N236" s="5">
        <f>ProductionData[[#This Row],[Actual_Production_t]]/(ProductionData[[#This Row],[Target_Production_t]]*((8-ProductionData[[#This Row],[Downtime_hr]])/8))</f>
        <v>2.280797191039019</v>
      </c>
      <c r="O236" s="4">
        <f>ProductionData[[#This Row],[Raw_Material_t]]/ProductionData[[#This Row],[Actual_Production_t]]</f>
        <v>1.5256938421509108</v>
      </c>
      <c r="P236" s="22">
        <f>ProductionData[[#This Row],[Energy_kWh]]/ProductionData[[#This Row],[Actual_Production_t]]</f>
        <v>81.835971379011283</v>
      </c>
      <c r="Q236" s="23">
        <f>ProductionData[[#This Row],[Defects_t]]/ProductionData[[#This Row],[Actual_Production_t]]</f>
        <v>3.2523850823937554E-3</v>
      </c>
      <c r="R236" t="str">
        <f>IF(ProductionData[[#This Row],[Achievement%]]&gt;=100%,"On Target",IF(ProductionData[[#This Row],[Achievement%]]&lt;90%,"Significantly Below Target","Below Target"))</f>
        <v>Significantly Below Target</v>
      </c>
    </row>
    <row r="237" spans="1:18" x14ac:dyDescent="0.25">
      <c r="A237">
        <v>233</v>
      </c>
      <c r="B237" s="3">
        <v>46100</v>
      </c>
      <c r="C237" t="s">
        <v>16</v>
      </c>
      <c r="D237" t="s">
        <v>17</v>
      </c>
      <c r="E237" s="4">
        <v>1029</v>
      </c>
      <c r="F237" s="4">
        <v>950.4</v>
      </c>
      <c r="G237" s="4">
        <v>0.56000000000000005</v>
      </c>
      <c r="H237" t="s">
        <v>24</v>
      </c>
      <c r="I237" s="4">
        <v>1400.4</v>
      </c>
      <c r="J237" s="4">
        <v>78223.3</v>
      </c>
      <c r="K237">
        <v>2</v>
      </c>
      <c r="L237">
        <v>11</v>
      </c>
      <c r="M237" s="21">
        <f>(ProductionData[[#This Row],[Actual_Production_t]]/ProductionData[[#This Row],[Target_Production_t]])</f>
        <v>0.92361516034985425</v>
      </c>
      <c r="N237" s="5">
        <f>ProductionData[[#This Row],[Actual_Production_t]]/(ProductionData[[#This Row],[Target_Production_t]]*((8-ProductionData[[#This Row],[Downtime_hr]])/8))</f>
        <v>0.99313458102134866</v>
      </c>
      <c r="O237" s="4">
        <f>ProductionData[[#This Row],[Raw_Material_t]]/ProductionData[[#This Row],[Actual_Production_t]]</f>
        <v>1.4734848484848486</v>
      </c>
      <c r="P237" s="22">
        <f>ProductionData[[#This Row],[Energy_kWh]]/ProductionData[[#This Row],[Actual_Production_t]]</f>
        <v>82.305660774410782</v>
      </c>
      <c r="Q237" s="23">
        <f>ProductionData[[#This Row],[Defects_t]]/ProductionData[[#This Row],[Actual_Production_t]]</f>
        <v>2.1043771043771043E-3</v>
      </c>
      <c r="R237" t="str">
        <f>IF(ProductionData[[#This Row],[Achievement%]]&gt;=100%,"On Target",IF(ProductionData[[#This Row],[Achievement%]]&lt;90%,"Significantly Below Target","Below Target"))</f>
        <v>Below Target</v>
      </c>
    </row>
    <row r="238" spans="1:18" x14ac:dyDescent="0.25">
      <c r="A238">
        <v>234</v>
      </c>
      <c r="B238" s="3">
        <v>46100</v>
      </c>
      <c r="C238" t="s">
        <v>18</v>
      </c>
      <c r="D238" t="s">
        <v>14</v>
      </c>
      <c r="E238" s="4">
        <v>1150</v>
      </c>
      <c r="F238" s="4">
        <v>777.8</v>
      </c>
      <c r="G238" s="4">
        <v>4.83</v>
      </c>
      <c r="H238" t="s">
        <v>15</v>
      </c>
      <c r="I238" s="4">
        <v>1228.5999999999999</v>
      </c>
      <c r="J238" s="4">
        <v>64148</v>
      </c>
      <c r="K238">
        <v>3</v>
      </c>
      <c r="L238">
        <v>9</v>
      </c>
      <c r="M238" s="21">
        <f>(ProductionData[[#This Row],[Actual_Production_t]]/ProductionData[[#This Row],[Target_Production_t]])</f>
        <v>0.67634782608695643</v>
      </c>
      <c r="N238" s="5">
        <f>ProductionData[[#This Row],[Actual_Production_t]]/(ProductionData[[#This Row],[Target_Production_t]]*((8-ProductionData[[#This Row],[Downtime_hr]])/8))</f>
        <v>1.7068714853929501</v>
      </c>
      <c r="O238" s="4">
        <f>ProductionData[[#This Row],[Raw_Material_t]]/ProductionData[[#This Row],[Actual_Production_t]]</f>
        <v>1.5795834404731293</v>
      </c>
      <c r="P238" s="22">
        <f>ProductionData[[#This Row],[Energy_kWh]]/ProductionData[[#This Row],[Actual_Production_t]]</f>
        <v>82.473643610182577</v>
      </c>
      <c r="Q238" s="23">
        <f>ProductionData[[#This Row],[Defects_t]]/ProductionData[[#This Row],[Actual_Production_t]]</f>
        <v>3.8570326562098228E-3</v>
      </c>
      <c r="R238" t="str">
        <f>IF(ProductionData[[#This Row],[Achievement%]]&gt;=100%,"On Target",IF(ProductionData[[#This Row],[Achievement%]]&lt;90%,"Significantly Below Target","Below Target"))</f>
        <v>Significantly Below Target</v>
      </c>
    </row>
    <row r="239" spans="1:18" x14ac:dyDescent="0.25">
      <c r="A239">
        <v>235</v>
      </c>
      <c r="B239" s="3">
        <v>46101</v>
      </c>
      <c r="C239" t="s">
        <v>13</v>
      </c>
      <c r="D239" t="s">
        <v>14</v>
      </c>
      <c r="E239" s="4">
        <v>1129</v>
      </c>
      <c r="F239" s="4">
        <v>940.1</v>
      </c>
      <c r="G239" s="4">
        <v>4.18</v>
      </c>
      <c r="H239" t="s">
        <v>20</v>
      </c>
      <c r="I239" s="4">
        <v>1386.3</v>
      </c>
      <c r="J239" s="4">
        <v>80212.2</v>
      </c>
      <c r="K239">
        <v>0</v>
      </c>
      <c r="L239">
        <v>9</v>
      </c>
      <c r="M239" s="21">
        <f>(ProductionData[[#This Row],[Actual_Production_t]]/ProductionData[[#This Row],[Target_Production_t]])</f>
        <v>0.83268379096545619</v>
      </c>
      <c r="N239" s="5">
        <f>ProductionData[[#This Row],[Actual_Production_t]]/(ProductionData[[#This Row],[Target_Production_t]]*((8-ProductionData[[#This Row],[Downtime_hr]])/8))</f>
        <v>1.7438403999276566</v>
      </c>
      <c r="O239" s="4">
        <f>ProductionData[[#This Row],[Raw_Material_t]]/ProductionData[[#This Row],[Actual_Production_t]]</f>
        <v>1.4746303584725029</v>
      </c>
      <c r="P239" s="22">
        <f>ProductionData[[#This Row],[Energy_kWh]]/ProductionData[[#This Row],[Actual_Production_t]]</f>
        <v>85.323050739283048</v>
      </c>
      <c r="Q239" s="23">
        <f>ProductionData[[#This Row],[Defects_t]]/ProductionData[[#This Row],[Actual_Production_t]]</f>
        <v>0</v>
      </c>
      <c r="R239" t="str">
        <f>IF(ProductionData[[#This Row],[Achievement%]]&gt;=100%,"On Target",IF(ProductionData[[#This Row],[Achievement%]]&lt;90%,"Significantly Below Target","Below Target"))</f>
        <v>Significantly Below Target</v>
      </c>
    </row>
    <row r="240" spans="1:18" x14ac:dyDescent="0.25">
      <c r="A240">
        <v>236</v>
      </c>
      <c r="B240" s="3">
        <v>46101</v>
      </c>
      <c r="C240" t="s">
        <v>16</v>
      </c>
      <c r="D240" t="s">
        <v>14</v>
      </c>
      <c r="E240" s="4">
        <v>1136</v>
      </c>
      <c r="F240" s="4">
        <v>1010</v>
      </c>
      <c r="G240" s="4">
        <v>3.1</v>
      </c>
      <c r="H240" t="s">
        <v>20</v>
      </c>
      <c r="I240" s="4">
        <v>1558.4</v>
      </c>
      <c r="J240" s="4">
        <v>76613.100000000006</v>
      </c>
      <c r="K240">
        <v>3</v>
      </c>
      <c r="L240">
        <v>9</v>
      </c>
      <c r="M240" s="21">
        <f>(ProductionData[[#This Row],[Actual_Production_t]]/ProductionData[[#This Row],[Target_Production_t]])</f>
        <v>0.8890845070422535</v>
      </c>
      <c r="N240" s="5">
        <f>ProductionData[[#This Row],[Actual_Production_t]]/(ProductionData[[#This Row],[Target_Production_t]]*((8-ProductionData[[#This Row],[Downtime_hr]])/8))</f>
        <v>1.4515665421098016</v>
      </c>
      <c r="O240" s="4">
        <f>ProductionData[[#This Row],[Raw_Material_t]]/ProductionData[[#This Row],[Actual_Production_t]]</f>
        <v>1.542970297029703</v>
      </c>
      <c r="P240" s="22">
        <f>ProductionData[[#This Row],[Energy_kWh]]/ProductionData[[#This Row],[Actual_Production_t]]</f>
        <v>75.854554455445552</v>
      </c>
      <c r="Q240" s="23">
        <f>ProductionData[[#This Row],[Defects_t]]/ProductionData[[#This Row],[Actual_Production_t]]</f>
        <v>2.9702970297029703E-3</v>
      </c>
      <c r="R240" t="str">
        <f>IF(ProductionData[[#This Row],[Achievement%]]&gt;=100%,"On Target",IF(ProductionData[[#This Row],[Achievement%]]&lt;90%,"Significantly Below Target","Below Target"))</f>
        <v>Significantly Below Target</v>
      </c>
    </row>
    <row r="241" spans="1:18" x14ac:dyDescent="0.25">
      <c r="A241">
        <v>237</v>
      </c>
      <c r="B241" s="3">
        <v>46101</v>
      </c>
      <c r="C241" t="s">
        <v>18</v>
      </c>
      <c r="D241" t="s">
        <v>17</v>
      </c>
      <c r="E241" s="4">
        <v>1057</v>
      </c>
      <c r="F241" s="4">
        <v>816.4</v>
      </c>
      <c r="G241" s="4">
        <v>4.95</v>
      </c>
      <c r="H241" t="s">
        <v>15</v>
      </c>
      <c r="I241" s="4">
        <v>1258.5999999999999</v>
      </c>
      <c r="J241" s="4">
        <v>66409.100000000006</v>
      </c>
      <c r="K241">
        <v>3</v>
      </c>
      <c r="L241">
        <v>12</v>
      </c>
      <c r="M241" s="21">
        <f>(ProductionData[[#This Row],[Actual_Production_t]]/ProductionData[[#This Row],[Target_Production_t]])</f>
        <v>0.77237464522232735</v>
      </c>
      <c r="N241" s="5">
        <f>ProductionData[[#This Row],[Actual_Production_t]]/(ProductionData[[#This Row],[Target_Production_t]]*((8-ProductionData[[#This Row],[Downtime_hr]])/8))</f>
        <v>2.0259007087798748</v>
      </c>
      <c r="O241" s="4">
        <f>ProductionData[[#This Row],[Raw_Material_t]]/ProductionData[[#This Row],[Actual_Production_t]]</f>
        <v>1.5416462518373346</v>
      </c>
      <c r="P241" s="22">
        <f>ProductionData[[#This Row],[Energy_kWh]]/ProductionData[[#This Row],[Actual_Production_t]]</f>
        <v>81.343826555610008</v>
      </c>
      <c r="Q241" s="23">
        <f>ProductionData[[#This Row],[Defects_t]]/ProductionData[[#This Row],[Actual_Production_t]]</f>
        <v>3.6746692797648213E-3</v>
      </c>
      <c r="R241" t="str">
        <f>IF(ProductionData[[#This Row],[Achievement%]]&gt;=100%,"On Target",IF(ProductionData[[#This Row],[Achievement%]]&lt;90%,"Significantly Below Target","Below Target"))</f>
        <v>Significantly Below Target</v>
      </c>
    </row>
    <row r="242" spans="1:18" x14ac:dyDescent="0.25">
      <c r="A242">
        <v>238</v>
      </c>
      <c r="B242" s="3">
        <v>46102</v>
      </c>
      <c r="C242" t="s">
        <v>13</v>
      </c>
      <c r="D242" t="s">
        <v>14</v>
      </c>
      <c r="E242" s="4">
        <v>1141</v>
      </c>
      <c r="F242" s="4">
        <v>959.2</v>
      </c>
      <c r="G242" s="4">
        <v>3.3</v>
      </c>
      <c r="H242" t="s">
        <v>21</v>
      </c>
      <c r="I242" s="4">
        <v>1430</v>
      </c>
      <c r="J242" s="4">
        <v>83151</v>
      </c>
      <c r="K242">
        <v>3</v>
      </c>
      <c r="L242">
        <v>10</v>
      </c>
      <c r="M242" s="21">
        <f>(ProductionData[[#This Row],[Actual_Production_t]]/ProductionData[[#This Row],[Target_Production_t]])</f>
        <v>0.84066608238387386</v>
      </c>
      <c r="N242" s="5">
        <f>ProductionData[[#This Row],[Actual_Production_t]]/(ProductionData[[#This Row],[Target_Production_t]]*((8-ProductionData[[#This Row],[Downtime_hr]])/8))</f>
        <v>1.4309209912917003</v>
      </c>
      <c r="O242" s="4">
        <f>ProductionData[[#This Row],[Raw_Material_t]]/ProductionData[[#This Row],[Actual_Production_t]]</f>
        <v>1.4908256880733943</v>
      </c>
      <c r="P242" s="22">
        <f>ProductionData[[#This Row],[Energy_kWh]]/ProductionData[[#This Row],[Actual_Production_t]]</f>
        <v>86.687864887406164</v>
      </c>
      <c r="Q242" s="23">
        <f>ProductionData[[#This Row],[Defects_t]]/ProductionData[[#This Row],[Actual_Production_t]]</f>
        <v>3.1276063386155126E-3</v>
      </c>
      <c r="R242" t="str">
        <f>IF(ProductionData[[#This Row],[Achievement%]]&gt;=100%,"On Target",IF(ProductionData[[#This Row],[Achievement%]]&lt;90%,"Significantly Below Target","Below Target"))</f>
        <v>Significantly Below Target</v>
      </c>
    </row>
    <row r="243" spans="1:18" x14ac:dyDescent="0.25">
      <c r="A243">
        <v>239</v>
      </c>
      <c r="B243" s="3">
        <v>46102</v>
      </c>
      <c r="C243" t="s">
        <v>16</v>
      </c>
      <c r="D243" t="s">
        <v>14</v>
      </c>
      <c r="E243" s="4">
        <v>1182</v>
      </c>
      <c r="F243" s="4">
        <v>880.4</v>
      </c>
      <c r="G243" s="4">
        <v>4.45</v>
      </c>
      <c r="H243" t="s">
        <v>20</v>
      </c>
      <c r="I243" s="4">
        <v>1356.3</v>
      </c>
      <c r="J243" s="4">
        <v>68216.399999999994</v>
      </c>
      <c r="K243">
        <v>1</v>
      </c>
      <c r="L243">
        <v>10</v>
      </c>
      <c r="M243" s="21">
        <f>(ProductionData[[#This Row],[Actual_Production_t]]/ProductionData[[#This Row],[Target_Production_t]])</f>
        <v>0.74483925549915397</v>
      </c>
      <c r="N243" s="5">
        <f>ProductionData[[#This Row],[Actual_Production_t]]/(ProductionData[[#This Row],[Target_Production_t]]*((8-ProductionData[[#This Row],[Downtime_hr]])/8))</f>
        <v>1.6785109983079527</v>
      </c>
      <c r="O243" s="4">
        <f>ProductionData[[#This Row],[Raw_Material_t]]/ProductionData[[#This Row],[Actual_Production_t]]</f>
        <v>1.5405497501135847</v>
      </c>
      <c r="P243" s="22">
        <f>ProductionData[[#This Row],[Energy_kWh]]/ProductionData[[#This Row],[Actual_Production_t]]</f>
        <v>77.483416628805088</v>
      </c>
      <c r="Q243" s="23">
        <f>ProductionData[[#This Row],[Defects_t]]/ProductionData[[#This Row],[Actual_Production_t]]</f>
        <v>1.1358473421172195E-3</v>
      </c>
      <c r="R243" t="str">
        <f>IF(ProductionData[[#This Row],[Achievement%]]&gt;=100%,"On Target",IF(ProductionData[[#This Row],[Achievement%]]&lt;90%,"Significantly Below Target","Below Target"))</f>
        <v>Significantly Below Target</v>
      </c>
    </row>
    <row r="244" spans="1:18" x14ac:dyDescent="0.25">
      <c r="A244">
        <v>240</v>
      </c>
      <c r="B244" s="3">
        <v>46102</v>
      </c>
      <c r="C244" t="s">
        <v>18</v>
      </c>
      <c r="D244" t="s">
        <v>14</v>
      </c>
      <c r="E244" s="4">
        <v>1172</v>
      </c>
      <c r="F244" s="4">
        <v>776.9</v>
      </c>
      <c r="G244" s="4">
        <v>4.78</v>
      </c>
      <c r="H244" t="s">
        <v>15</v>
      </c>
      <c r="I244" s="4">
        <v>1134.2</v>
      </c>
      <c r="J244" s="4">
        <v>67669.100000000006</v>
      </c>
      <c r="K244">
        <v>3</v>
      </c>
      <c r="L244">
        <v>11</v>
      </c>
      <c r="M244" s="21">
        <f>(ProductionData[[#This Row],[Actual_Production_t]]/ProductionData[[#This Row],[Target_Production_t]])</f>
        <v>0.66288395904436859</v>
      </c>
      <c r="N244" s="5">
        <f>ProductionData[[#This Row],[Actual_Production_t]]/(ProductionData[[#This Row],[Target_Production_t]]*((8-ProductionData[[#This Row],[Downtime_hr]])/8))</f>
        <v>1.6469166684332139</v>
      </c>
      <c r="O244" s="4">
        <f>ProductionData[[#This Row],[Raw_Material_t]]/ProductionData[[#This Row],[Actual_Production_t]]</f>
        <v>1.4599047496460291</v>
      </c>
      <c r="P244" s="22">
        <f>ProductionData[[#This Row],[Energy_kWh]]/ProductionData[[#This Row],[Actual_Production_t]]</f>
        <v>87.10142875530957</v>
      </c>
      <c r="Q244" s="23">
        <f>ProductionData[[#This Row],[Defects_t]]/ProductionData[[#This Row],[Actual_Production_t]]</f>
        <v>3.8615008366585145E-3</v>
      </c>
      <c r="R244" t="str">
        <f>IF(ProductionData[[#This Row],[Achievement%]]&gt;=100%,"On Target",IF(ProductionData[[#This Row],[Achievement%]]&lt;90%,"Significantly Below Target","Below Target"))</f>
        <v>Significantly Below Target</v>
      </c>
    </row>
    <row r="245" spans="1:18" x14ac:dyDescent="0.25">
      <c r="A245">
        <v>241</v>
      </c>
      <c r="B245" s="3">
        <v>46103</v>
      </c>
      <c r="C245" t="s">
        <v>13</v>
      </c>
      <c r="D245" t="s">
        <v>17</v>
      </c>
      <c r="E245" s="4">
        <v>1012</v>
      </c>
      <c r="F245" s="4">
        <v>1045.2</v>
      </c>
      <c r="G245" s="4">
        <v>0.26</v>
      </c>
      <c r="H245" t="s">
        <v>23</v>
      </c>
      <c r="I245" s="4">
        <v>1581.9</v>
      </c>
      <c r="J245" s="4">
        <v>83112.899999999994</v>
      </c>
      <c r="K245">
        <v>4</v>
      </c>
      <c r="L245">
        <v>12</v>
      </c>
      <c r="M245" s="21">
        <f>(ProductionData[[#This Row],[Actual_Production_t]]/ProductionData[[#This Row],[Target_Production_t]])</f>
        <v>1.032806324110672</v>
      </c>
      <c r="N245" s="5">
        <f>ProductionData[[#This Row],[Actual_Production_t]]/(ProductionData[[#This Row],[Target_Production_t]]*((8-ProductionData[[#This Row],[Downtime_hr]])/8))</f>
        <v>1.0675000766001776</v>
      </c>
      <c r="O245" s="4">
        <f>ProductionData[[#This Row],[Raw_Material_t]]/ProductionData[[#This Row],[Actual_Production_t]]</f>
        <v>1.5134902411021813</v>
      </c>
      <c r="P245" s="22">
        <f>ProductionData[[#This Row],[Energy_kWh]]/ProductionData[[#This Row],[Actual_Production_t]]</f>
        <v>79.518656716417908</v>
      </c>
      <c r="Q245" s="23">
        <f>ProductionData[[#This Row],[Defects_t]]/ProductionData[[#This Row],[Actual_Production_t]]</f>
        <v>3.8270187523918864E-3</v>
      </c>
      <c r="R245" t="str">
        <f>IF(ProductionData[[#This Row],[Achievement%]]&gt;=100%,"On Target",IF(ProductionData[[#This Row],[Achievement%]]&lt;90%,"Significantly Below Target","Below Target"))</f>
        <v>On Target</v>
      </c>
    </row>
    <row r="246" spans="1:18" x14ac:dyDescent="0.25">
      <c r="A246">
        <v>242</v>
      </c>
      <c r="B246" s="3">
        <v>46103</v>
      </c>
      <c r="C246" t="s">
        <v>16</v>
      </c>
      <c r="D246" t="s">
        <v>19</v>
      </c>
      <c r="E246" s="4">
        <v>995</v>
      </c>
      <c r="F246" s="4">
        <v>1009.6</v>
      </c>
      <c r="G246" s="4">
        <v>0.32</v>
      </c>
      <c r="H246" t="s">
        <v>23</v>
      </c>
      <c r="I246" s="4">
        <v>1534.5</v>
      </c>
      <c r="J246" s="4">
        <v>87923.7</v>
      </c>
      <c r="K246">
        <v>3</v>
      </c>
      <c r="L246">
        <v>12</v>
      </c>
      <c r="M246" s="21">
        <f>(ProductionData[[#This Row],[Actual_Production_t]]/ProductionData[[#This Row],[Target_Production_t]])</f>
        <v>1.014673366834171</v>
      </c>
      <c r="N246" s="5">
        <f>ProductionData[[#This Row],[Actual_Production_t]]/(ProductionData[[#This Row],[Target_Production_t]]*((8-ProductionData[[#This Row],[Downtime_hr]])/8))</f>
        <v>1.0569514237855948</v>
      </c>
      <c r="O246" s="4">
        <f>ProductionData[[#This Row],[Raw_Material_t]]/ProductionData[[#This Row],[Actual_Production_t]]</f>
        <v>1.5199088748019016</v>
      </c>
      <c r="P246" s="22">
        <f>ProductionData[[#This Row],[Energy_kWh]]/ProductionData[[#This Row],[Actual_Production_t]]</f>
        <v>87.087658478605377</v>
      </c>
      <c r="Q246" s="23">
        <f>ProductionData[[#This Row],[Defects_t]]/ProductionData[[#This Row],[Actual_Production_t]]</f>
        <v>2.971473851030111E-3</v>
      </c>
      <c r="R246" t="str">
        <f>IF(ProductionData[[#This Row],[Achievement%]]&gt;=100%,"On Target",IF(ProductionData[[#This Row],[Achievement%]]&lt;90%,"Significantly Below Target","Below Target"))</f>
        <v>On Target</v>
      </c>
    </row>
    <row r="247" spans="1:18" x14ac:dyDescent="0.25">
      <c r="A247">
        <v>243</v>
      </c>
      <c r="B247" s="3">
        <v>46103</v>
      </c>
      <c r="C247" t="s">
        <v>18</v>
      </c>
      <c r="D247" t="s">
        <v>17</v>
      </c>
      <c r="E247" s="4">
        <v>1067</v>
      </c>
      <c r="F247" s="4">
        <v>929.6</v>
      </c>
      <c r="G247" s="4">
        <v>1.03</v>
      </c>
      <c r="H247" t="s">
        <v>21</v>
      </c>
      <c r="I247" s="4">
        <v>1396.9</v>
      </c>
      <c r="J247" s="4">
        <v>81595.199999999997</v>
      </c>
      <c r="K247">
        <v>2</v>
      </c>
      <c r="L247">
        <v>11</v>
      </c>
      <c r="M247" s="21">
        <f>(ProductionData[[#This Row],[Actual_Production_t]]/ProductionData[[#This Row],[Target_Production_t]])</f>
        <v>0.87122774133083414</v>
      </c>
      <c r="N247" s="5">
        <f>ProductionData[[#This Row],[Actual_Production_t]]/(ProductionData[[#This Row],[Target_Production_t]]*((8-ProductionData[[#This Row],[Downtime_hr]])/8))</f>
        <v>0.99997445202965185</v>
      </c>
      <c r="O247" s="4">
        <f>ProductionData[[#This Row],[Raw_Material_t]]/ProductionData[[#This Row],[Actual_Production_t]]</f>
        <v>1.5026893287435457</v>
      </c>
      <c r="P247" s="22">
        <f>ProductionData[[#This Row],[Energy_kWh]]/ProductionData[[#This Row],[Actual_Production_t]]</f>
        <v>87.774526678141129</v>
      </c>
      <c r="Q247" s="23">
        <f>ProductionData[[#This Row],[Defects_t]]/ProductionData[[#This Row],[Actual_Production_t]]</f>
        <v>2.1514629948364886E-3</v>
      </c>
      <c r="R247" t="str">
        <f>IF(ProductionData[[#This Row],[Achievement%]]&gt;=100%,"On Target",IF(ProductionData[[#This Row],[Achievement%]]&lt;90%,"Significantly Below Target","Below Target"))</f>
        <v>Significantly Below Target</v>
      </c>
    </row>
    <row r="248" spans="1:18" x14ac:dyDescent="0.25">
      <c r="A248">
        <v>244</v>
      </c>
      <c r="B248" s="3">
        <v>46104</v>
      </c>
      <c r="C248" t="s">
        <v>13</v>
      </c>
      <c r="D248" t="s">
        <v>14</v>
      </c>
      <c r="E248" s="4">
        <v>1183</v>
      </c>
      <c r="F248" s="4">
        <v>1049.5</v>
      </c>
      <c r="G248" s="4">
        <v>3.58</v>
      </c>
      <c r="H248" t="s">
        <v>24</v>
      </c>
      <c r="I248" s="4">
        <v>1591.5</v>
      </c>
      <c r="J248" s="4">
        <v>89335.7</v>
      </c>
      <c r="K248">
        <v>3</v>
      </c>
      <c r="L248">
        <v>7</v>
      </c>
      <c r="M248" s="21">
        <f>(ProductionData[[#This Row],[Actual_Production_t]]/ProductionData[[#This Row],[Target_Production_t]])</f>
        <v>0.88715131022823335</v>
      </c>
      <c r="N248" s="5">
        <f>ProductionData[[#This Row],[Actual_Production_t]]/(ProductionData[[#This Row],[Target_Production_t]]*((8-ProductionData[[#This Row],[Downtime_hr]])/8))</f>
        <v>1.6057037289198794</v>
      </c>
      <c r="O248" s="4">
        <f>ProductionData[[#This Row],[Raw_Material_t]]/ProductionData[[#This Row],[Actual_Production_t]]</f>
        <v>1.5164363982848976</v>
      </c>
      <c r="P248" s="22">
        <f>ProductionData[[#This Row],[Energy_kWh]]/ProductionData[[#This Row],[Actual_Production_t]]</f>
        <v>85.122153406383987</v>
      </c>
      <c r="Q248" s="23">
        <f>ProductionData[[#This Row],[Defects_t]]/ProductionData[[#This Row],[Actual_Production_t]]</f>
        <v>2.8585040495474035E-3</v>
      </c>
      <c r="R248" t="str">
        <f>IF(ProductionData[[#This Row],[Achievement%]]&gt;=100%,"On Target",IF(ProductionData[[#This Row],[Achievement%]]&lt;90%,"Significantly Below Target","Below Target"))</f>
        <v>Significantly Below Target</v>
      </c>
    </row>
    <row r="249" spans="1:18" x14ac:dyDescent="0.25">
      <c r="A249">
        <v>245</v>
      </c>
      <c r="B249" s="3">
        <v>46104</v>
      </c>
      <c r="C249" t="s">
        <v>16</v>
      </c>
      <c r="D249" t="s">
        <v>19</v>
      </c>
      <c r="E249" s="4">
        <v>985</v>
      </c>
      <c r="F249" s="4">
        <v>908.1</v>
      </c>
      <c r="G249" s="4">
        <v>0.25</v>
      </c>
      <c r="H249" t="s">
        <v>21</v>
      </c>
      <c r="I249" s="4">
        <v>1373.1</v>
      </c>
      <c r="J249" s="4">
        <v>71374.600000000006</v>
      </c>
      <c r="K249">
        <v>2</v>
      </c>
      <c r="L249">
        <v>12</v>
      </c>
      <c r="M249" s="21">
        <f>(ProductionData[[#This Row],[Actual_Production_t]]/ProductionData[[#This Row],[Target_Production_t]])</f>
        <v>0.9219289340101523</v>
      </c>
      <c r="N249" s="5">
        <f>ProductionData[[#This Row],[Actual_Production_t]]/(ProductionData[[#This Row],[Target_Production_t]]*((8-ProductionData[[#This Row],[Downtime_hr]])/8))</f>
        <v>0.95166857704273788</v>
      </c>
      <c r="O249" s="4">
        <f>ProductionData[[#This Row],[Raw_Material_t]]/ProductionData[[#This Row],[Actual_Production_t]]</f>
        <v>1.5120581433762801</v>
      </c>
      <c r="P249" s="22">
        <f>ProductionData[[#This Row],[Energy_kWh]]/ProductionData[[#This Row],[Actual_Production_t]]</f>
        <v>78.597731527364829</v>
      </c>
      <c r="Q249" s="23">
        <f>ProductionData[[#This Row],[Defects_t]]/ProductionData[[#This Row],[Actual_Production_t]]</f>
        <v>2.2024006166721727E-3</v>
      </c>
      <c r="R249" t="str">
        <f>IF(ProductionData[[#This Row],[Achievement%]]&gt;=100%,"On Target",IF(ProductionData[[#This Row],[Achievement%]]&lt;90%,"Significantly Below Target","Below Target"))</f>
        <v>Below Target</v>
      </c>
    </row>
    <row r="250" spans="1:18" x14ac:dyDescent="0.25">
      <c r="A250">
        <v>246</v>
      </c>
      <c r="B250" s="3">
        <v>46104</v>
      </c>
      <c r="C250" t="s">
        <v>18</v>
      </c>
      <c r="D250" t="s">
        <v>17</v>
      </c>
      <c r="E250" s="4">
        <v>1090</v>
      </c>
      <c r="F250" s="4">
        <v>857.7</v>
      </c>
      <c r="G250" s="4">
        <v>1.33</v>
      </c>
      <c r="H250" t="s">
        <v>24</v>
      </c>
      <c r="I250" s="4">
        <v>1234</v>
      </c>
      <c r="J250" s="4">
        <v>66673</v>
      </c>
      <c r="K250">
        <v>3</v>
      </c>
      <c r="L250">
        <v>11</v>
      </c>
      <c r="M250" s="21">
        <f>(ProductionData[[#This Row],[Actual_Production_t]]/ProductionData[[#This Row],[Target_Production_t]])</f>
        <v>0.78688073394495417</v>
      </c>
      <c r="N250" s="5">
        <f>ProductionData[[#This Row],[Actual_Production_t]]/(ProductionData[[#This Row],[Target_Production_t]]*((8-ProductionData[[#This Row],[Downtime_hr]])/8))</f>
        <v>0.94378498823982504</v>
      </c>
      <c r="O250" s="4">
        <f>ProductionData[[#This Row],[Raw_Material_t]]/ProductionData[[#This Row],[Actual_Production_t]]</f>
        <v>1.4387314911973883</v>
      </c>
      <c r="P250" s="22">
        <f>ProductionData[[#This Row],[Energy_kWh]]/ProductionData[[#This Row],[Actual_Production_t]]</f>
        <v>77.734639151218374</v>
      </c>
      <c r="Q250" s="23">
        <f>ProductionData[[#This Row],[Defects_t]]/ProductionData[[#This Row],[Actual_Production_t]]</f>
        <v>3.4977264777894365E-3</v>
      </c>
      <c r="R250" t="str">
        <f>IF(ProductionData[[#This Row],[Achievement%]]&gt;=100%,"On Target",IF(ProductionData[[#This Row],[Achievement%]]&lt;90%,"Significantly Below Target","Below Target"))</f>
        <v>Significantly Below Target</v>
      </c>
    </row>
    <row r="251" spans="1:18" x14ac:dyDescent="0.25">
      <c r="A251">
        <v>247</v>
      </c>
      <c r="B251" s="3">
        <v>46105</v>
      </c>
      <c r="C251" t="s">
        <v>13</v>
      </c>
      <c r="D251" t="s">
        <v>17</v>
      </c>
      <c r="E251" s="4">
        <v>1015</v>
      </c>
      <c r="F251" s="4">
        <v>1024.2</v>
      </c>
      <c r="G251" s="4">
        <v>1.05</v>
      </c>
      <c r="H251" t="s">
        <v>21</v>
      </c>
      <c r="I251" s="4">
        <v>1521.4</v>
      </c>
      <c r="J251" s="4">
        <v>76682</v>
      </c>
      <c r="K251">
        <v>4</v>
      </c>
      <c r="L251">
        <v>8</v>
      </c>
      <c r="M251" s="21">
        <f>(ProductionData[[#This Row],[Actual_Production_t]]/ProductionData[[#This Row],[Target_Production_t]])</f>
        <v>1.009064039408867</v>
      </c>
      <c r="N251" s="5">
        <f>ProductionData[[#This Row],[Actual_Production_t]]/(ProductionData[[#This Row],[Target_Production_t]]*((8-ProductionData[[#This Row],[Downtime_hr]])/8))</f>
        <v>1.1615125633483361</v>
      </c>
      <c r="O251" s="4">
        <f>ProductionData[[#This Row],[Raw_Material_t]]/ProductionData[[#This Row],[Actual_Production_t]]</f>
        <v>1.4854520601445032</v>
      </c>
      <c r="P251" s="22">
        <f>ProductionData[[#This Row],[Energy_kWh]]/ProductionData[[#This Row],[Actual_Production_t]]</f>
        <v>74.870142550283148</v>
      </c>
      <c r="Q251" s="23">
        <f>ProductionData[[#This Row],[Defects_t]]/ProductionData[[#This Row],[Actual_Production_t]]</f>
        <v>3.9054872095293887E-3</v>
      </c>
      <c r="R251" t="str">
        <f>IF(ProductionData[[#This Row],[Achievement%]]&gt;=100%,"On Target",IF(ProductionData[[#This Row],[Achievement%]]&lt;90%,"Significantly Below Target","Below Target"))</f>
        <v>On Target</v>
      </c>
    </row>
    <row r="252" spans="1:18" x14ac:dyDescent="0.25">
      <c r="A252">
        <v>248</v>
      </c>
      <c r="B252" s="3">
        <v>46105</v>
      </c>
      <c r="C252" t="s">
        <v>16</v>
      </c>
      <c r="D252" t="s">
        <v>17</v>
      </c>
      <c r="E252" s="4">
        <v>1037</v>
      </c>
      <c r="F252" s="4">
        <v>871.9</v>
      </c>
      <c r="G252" s="4">
        <v>2.97</v>
      </c>
      <c r="H252" t="s">
        <v>22</v>
      </c>
      <c r="I252" s="4">
        <v>1361.9</v>
      </c>
      <c r="J252" s="4">
        <v>68742.5</v>
      </c>
      <c r="K252">
        <v>6</v>
      </c>
      <c r="L252">
        <v>8</v>
      </c>
      <c r="M252" s="21">
        <f>(ProductionData[[#This Row],[Actual_Production_t]]/ProductionData[[#This Row],[Target_Production_t]])</f>
        <v>0.84079074252651875</v>
      </c>
      <c r="N252" s="5">
        <f>ProductionData[[#This Row],[Actual_Production_t]]/(ProductionData[[#This Row],[Target_Production_t]]*((8-ProductionData[[#This Row],[Downtime_hr]])/8))</f>
        <v>1.3372417376167298</v>
      </c>
      <c r="O252" s="4">
        <f>ProductionData[[#This Row],[Raw_Material_t]]/ProductionData[[#This Row],[Actual_Production_t]]</f>
        <v>1.5619910540199566</v>
      </c>
      <c r="P252" s="22">
        <f>ProductionData[[#This Row],[Energy_kWh]]/ProductionData[[#This Row],[Actual_Production_t]]</f>
        <v>78.842183736667053</v>
      </c>
      <c r="Q252" s="23">
        <f>ProductionData[[#This Row],[Defects_t]]/ProductionData[[#This Row],[Actual_Production_t]]</f>
        <v>6.881523110448446E-3</v>
      </c>
      <c r="R252" t="str">
        <f>IF(ProductionData[[#This Row],[Achievement%]]&gt;=100%,"On Target",IF(ProductionData[[#This Row],[Achievement%]]&lt;90%,"Significantly Below Target","Below Target"))</f>
        <v>Significantly Below Target</v>
      </c>
    </row>
    <row r="253" spans="1:18" x14ac:dyDescent="0.25">
      <c r="A253">
        <v>249</v>
      </c>
      <c r="B253" s="3">
        <v>46105</v>
      </c>
      <c r="C253" t="s">
        <v>18</v>
      </c>
      <c r="D253" t="s">
        <v>14</v>
      </c>
      <c r="E253" s="4">
        <v>1159</v>
      </c>
      <c r="F253" s="4">
        <v>883.9</v>
      </c>
      <c r="G253" s="4">
        <v>2.08</v>
      </c>
      <c r="H253" t="s">
        <v>20</v>
      </c>
      <c r="I253" s="4">
        <v>1347.7</v>
      </c>
      <c r="J253" s="4">
        <v>73549.600000000006</v>
      </c>
      <c r="K253">
        <v>5</v>
      </c>
      <c r="L253">
        <v>8</v>
      </c>
      <c r="M253" s="21">
        <f>(ProductionData[[#This Row],[Actual_Production_t]]/ProductionData[[#This Row],[Target_Production_t]])</f>
        <v>0.76264020707506475</v>
      </c>
      <c r="N253" s="5">
        <f>ProductionData[[#This Row],[Actual_Production_t]]/(ProductionData[[#This Row],[Target_Production_t]]*((8-ProductionData[[#This Row],[Downtime_hr]])/8))</f>
        <v>1.0305948744257631</v>
      </c>
      <c r="O253" s="4">
        <f>ProductionData[[#This Row],[Raw_Material_t]]/ProductionData[[#This Row],[Actual_Production_t]]</f>
        <v>1.5247199909492024</v>
      </c>
      <c r="P253" s="22">
        <f>ProductionData[[#This Row],[Energy_kWh]]/ProductionData[[#This Row],[Actual_Production_t]]</f>
        <v>83.210317909265768</v>
      </c>
      <c r="Q253" s="23">
        <f>ProductionData[[#This Row],[Defects_t]]/ProductionData[[#This Row],[Actual_Production_t]]</f>
        <v>5.6567485009616477E-3</v>
      </c>
      <c r="R253" t="str">
        <f>IF(ProductionData[[#This Row],[Achievement%]]&gt;=100%,"On Target",IF(ProductionData[[#This Row],[Achievement%]]&lt;90%,"Significantly Below Target","Below Target"))</f>
        <v>Significantly Below Target</v>
      </c>
    </row>
    <row r="254" spans="1:18" x14ac:dyDescent="0.25">
      <c r="A254">
        <v>250</v>
      </c>
      <c r="B254" s="3">
        <v>46106</v>
      </c>
      <c r="C254" t="s">
        <v>13</v>
      </c>
      <c r="D254" t="s">
        <v>19</v>
      </c>
      <c r="E254" s="4">
        <v>946</v>
      </c>
      <c r="F254" s="4">
        <v>995.6</v>
      </c>
      <c r="G254" s="4">
        <v>0.34</v>
      </c>
      <c r="H254" t="s">
        <v>23</v>
      </c>
      <c r="I254" s="4">
        <v>1545.9</v>
      </c>
      <c r="J254" s="4">
        <v>80747</v>
      </c>
      <c r="K254">
        <v>6</v>
      </c>
      <c r="L254">
        <v>12</v>
      </c>
      <c r="M254" s="21">
        <f>(ProductionData[[#This Row],[Actual_Production_t]]/ProductionData[[#This Row],[Target_Production_t]])</f>
        <v>1.0524312896405921</v>
      </c>
      <c r="N254" s="5">
        <f>ProductionData[[#This Row],[Actual_Production_t]]/(ProductionData[[#This Row],[Target_Production_t]]*((8-ProductionData[[#This Row],[Downtime_hr]])/8))</f>
        <v>1.099144950016284</v>
      </c>
      <c r="O254" s="4">
        <f>ProductionData[[#This Row],[Raw_Material_t]]/ProductionData[[#This Row],[Actual_Production_t]]</f>
        <v>1.5527320208919244</v>
      </c>
      <c r="P254" s="22">
        <f>ProductionData[[#This Row],[Energy_kWh]]/ProductionData[[#This Row],[Actual_Production_t]]</f>
        <v>81.103856970670947</v>
      </c>
      <c r="Q254" s="23">
        <f>ProductionData[[#This Row],[Defects_t]]/ProductionData[[#This Row],[Actual_Production_t]]</f>
        <v>6.0265166733627961E-3</v>
      </c>
      <c r="R254" t="str">
        <f>IF(ProductionData[[#This Row],[Achievement%]]&gt;=100%,"On Target",IF(ProductionData[[#This Row],[Achievement%]]&lt;90%,"Significantly Below Target","Below Target"))</f>
        <v>On Target</v>
      </c>
    </row>
    <row r="255" spans="1:18" x14ac:dyDescent="0.25">
      <c r="A255">
        <v>251</v>
      </c>
      <c r="B255" s="3">
        <v>46106</v>
      </c>
      <c r="C255" t="s">
        <v>16</v>
      </c>
      <c r="D255" t="s">
        <v>19</v>
      </c>
      <c r="E255" s="4">
        <v>990</v>
      </c>
      <c r="F255" s="4">
        <v>800.3</v>
      </c>
      <c r="G255" s="4">
        <v>2.65</v>
      </c>
      <c r="H255" t="s">
        <v>21</v>
      </c>
      <c r="I255" s="4">
        <v>1206.3</v>
      </c>
      <c r="J255" s="4">
        <v>69514.399999999994</v>
      </c>
      <c r="K255">
        <v>1</v>
      </c>
      <c r="L255">
        <v>12</v>
      </c>
      <c r="M255" s="21">
        <f>(ProductionData[[#This Row],[Actual_Production_t]]/ProductionData[[#This Row],[Target_Production_t]])</f>
        <v>0.80838383838383832</v>
      </c>
      <c r="N255" s="5">
        <f>ProductionData[[#This Row],[Actual_Production_t]]/(ProductionData[[#This Row],[Target_Production_t]]*((8-ProductionData[[#This Row],[Downtime_hr]])/8))</f>
        <v>1.2087982630038705</v>
      </c>
      <c r="O255" s="4">
        <f>ProductionData[[#This Row],[Raw_Material_t]]/ProductionData[[#This Row],[Actual_Production_t]]</f>
        <v>1.5073097588404349</v>
      </c>
      <c r="P255" s="22">
        <f>ProductionData[[#This Row],[Energy_kWh]]/ProductionData[[#This Row],[Actual_Production_t]]</f>
        <v>86.860427339747588</v>
      </c>
      <c r="Q255" s="23">
        <f>ProductionData[[#This Row],[Defects_t]]/ProductionData[[#This Row],[Actual_Production_t]]</f>
        <v>1.2495314257153568E-3</v>
      </c>
      <c r="R255" t="str">
        <f>IF(ProductionData[[#This Row],[Achievement%]]&gt;=100%,"On Target",IF(ProductionData[[#This Row],[Achievement%]]&lt;90%,"Significantly Below Target","Below Target"))</f>
        <v>Significantly Below Target</v>
      </c>
    </row>
    <row r="256" spans="1:18" x14ac:dyDescent="0.25">
      <c r="A256">
        <v>252</v>
      </c>
      <c r="B256" s="3">
        <v>46106</v>
      </c>
      <c r="C256" t="s">
        <v>18</v>
      </c>
      <c r="D256" t="s">
        <v>14</v>
      </c>
      <c r="E256" s="4">
        <v>1127</v>
      </c>
      <c r="F256" s="4">
        <v>757.6</v>
      </c>
      <c r="G256" s="4">
        <v>6.33</v>
      </c>
      <c r="H256" t="s">
        <v>15</v>
      </c>
      <c r="I256" s="4">
        <v>1174</v>
      </c>
      <c r="J256" s="4">
        <v>55311.3</v>
      </c>
      <c r="K256">
        <v>1</v>
      </c>
      <c r="L256">
        <v>7</v>
      </c>
      <c r="M256" s="21">
        <f>(ProductionData[[#This Row],[Actual_Production_t]]/ProductionData[[#This Row],[Target_Production_t]])</f>
        <v>0.67222715173025738</v>
      </c>
      <c r="N256" s="5">
        <f>ProductionData[[#This Row],[Actual_Production_t]]/(ProductionData[[#This Row],[Target_Production_t]]*((8-ProductionData[[#This Row],[Downtime_hr]])/8))</f>
        <v>3.2202498286479395</v>
      </c>
      <c r="O256" s="4">
        <f>ProductionData[[#This Row],[Raw_Material_t]]/ProductionData[[#This Row],[Actual_Production_t]]</f>
        <v>1.5496304118268216</v>
      </c>
      <c r="P256" s="22">
        <f>ProductionData[[#This Row],[Energy_kWh]]/ProductionData[[#This Row],[Actual_Production_t]]</f>
        <v>73.008579725448783</v>
      </c>
      <c r="Q256" s="23">
        <f>ProductionData[[#This Row],[Defects_t]]/ProductionData[[#This Row],[Actual_Production_t]]</f>
        <v>1.3199577613516368E-3</v>
      </c>
      <c r="R256" t="str">
        <f>IF(ProductionData[[#This Row],[Achievement%]]&gt;=100%,"On Target",IF(ProductionData[[#This Row],[Achievement%]]&lt;90%,"Significantly Below Target","Below Target"))</f>
        <v>Significantly Below Target</v>
      </c>
    </row>
    <row r="257" spans="1:18" x14ac:dyDescent="0.25">
      <c r="A257">
        <v>253</v>
      </c>
      <c r="B257" s="3">
        <v>46107</v>
      </c>
      <c r="C257" t="s">
        <v>13</v>
      </c>
      <c r="D257" t="s">
        <v>19</v>
      </c>
      <c r="E257" s="4">
        <v>1005</v>
      </c>
      <c r="F257" s="4">
        <v>739.9</v>
      </c>
      <c r="G257" s="4">
        <v>6.68</v>
      </c>
      <c r="H257" t="s">
        <v>22</v>
      </c>
      <c r="I257" s="4">
        <v>1122.9000000000001</v>
      </c>
      <c r="J257" s="4">
        <v>58980</v>
      </c>
      <c r="K257">
        <v>0</v>
      </c>
      <c r="L257">
        <v>12</v>
      </c>
      <c r="M257" s="21">
        <f>(ProductionData[[#This Row],[Actual_Production_t]]/ProductionData[[#This Row],[Target_Production_t]])</f>
        <v>0.7362189054726368</v>
      </c>
      <c r="N257" s="5">
        <f>ProductionData[[#This Row],[Actual_Production_t]]/(ProductionData[[#This Row],[Target_Production_t]]*((8-ProductionData[[#This Row],[Downtime_hr]])/8))</f>
        <v>4.4619327604402219</v>
      </c>
      <c r="O257" s="4">
        <f>ProductionData[[#This Row],[Raw_Material_t]]/ProductionData[[#This Row],[Actual_Production_t]]</f>
        <v>1.5176375185835926</v>
      </c>
      <c r="P257" s="22">
        <f>ProductionData[[#This Row],[Energy_kWh]]/ProductionData[[#This Row],[Actual_Production_t]]</f>
        <v>79.713474793891066</v>
      </c>
      <c r="Q257" s="23">
        <f>ProductionData[[#This Row],[Defects_t]]/ProductionData[[#This Row],[Actual_Production_t]]</f>
        <v>0</v>
      </c>
      <c r="R257" t="str">
        <f>IF(ProductionData[[#This Row],[Achievement%]]&gt;=100%,"On Target",IF(ProductionData[[#This Row],[Achievement%]]&lt;90%,"Significantly Below Target","Below Target"))</f>
        <v>Significantly Below Target</v>
      </c>
    </row>
    <row r="258" spans="1:18" x14ac:dyDescent="0.25">
      <c r="A258">
        <v>254</v>
      </c>
      <c r="B258" s="3">
        <v>46107</v>
      </c>
      <c r="C258" t="s">
        <v>16</v>
      </c>
      <c r="D258" t="s">
        <v>14</v>
      </c>
      <c r="E258" s="4">
        <v>1168</v>
      </c>
      <c r="F258" s="4">
        <v>1171</v>
      </c>
      <c r="G258" s="4">
        <v>0.7</v>
      </c>
      <c r="H258" t="s">
        <v>24</v>
      </c>
      <c r="I258" s="4">
        <v>1774.6</v>
      </c>
      <c r="J258" s="4">
        <v>94173.8</v>
      </c>
      <c r="K258">
        <v>6</v>
      </c>
      <c r="L258">
        <v>7</v>
      </c>
      <c r="M258" s="21">
        <f>(ProductionData[[#This Row],[Actual_Production_t]]/ProductionData[[#This Row],[Target_Production_t]])</f>
        <v>1.0025684931506849</v>
      </c>
      <c r="N258" s="5">
        <f>ProductionData[[#This Row],[Actual_Production_t]]/(ProductionData[[#This Row],[Target_Production_t]]*((8-ProductionData[[#This Row],[Downtime_hr]])/8))</f>
        <v>1.0987051979733533</v>
      </c>
      <c r="O258" s="4">
        <f>ProductionData[[#This Row],[Raw_Material_t]]/ProductionData[[#This Row],[Actual_Production_t]]</f>
        <v>1.515456874466268</v>
      </c>
      <c r="P258" s="22">
        <f>ProductionData[[#This Row],[Energy_kWh]]/ProductionData[[#This Row],[Actual_Production_t]]</f>
        <v>80.421690862510673</v>
      </c>
      <c r="Q258" s="23">
        <f>ProductionData[[#This Row],[Defects_t]]/ProductionData[[#This Row],[Actual_Production_t]]</f>
        <v>5.1238257899231428E-3</v>
      </c>
      <c r="R258" t="str">
        <f>IF(ProductionData[[#This Row],[Achievement%]]&gt;=100%,"On Target",IF(ProductionData[[#This Row],[Achievement%]]&lt;90%,"Significantly Below Target","Below Target"))</f>
        <v>On Target</v>
      </c>
    </row>
    <row r="259" spans="1:18" x14ac:dyDescent="0.25">
      <c r="A259">
        <v>255</v>
      </c>
      <c r="B259" s="3">
        <v>46107</v>
      </c>
      <c r="C259" t="s">
        <v>18</v>
      </c>
      <c r="D259" t="s">
        <v>17</v>
      </c>
      <c r="E259" s="4">
        <v>1082</v>
      </c>
      <c r="F259" s="4">
        <v>983.9</v>
      </c>
      <c r="G259" s="4">
        <v>0.4</v>
      </c>
      <c r="H259" t="s">
        <v>23</v>
      </c>
      <c r="I259" s="4">
        <v>1456.1</v>
      </c>
      <c r="J259" s="4">
        <v>80901.2</v>
      </c>
      <c r="K259">
        <v>4</v>
      </c>
      <c r="L259">
        <v>10</v>
      </c>
      <c r="M259" s="21">
        <f>(ProductionData[[#This Row],[Actual_Production_t]]/ProductionData[[#This Row],[Target_Production_t]])</f>
        <v>0.90933456561922366</v>
      </c>
      <c r="N259" s="5">
        <f>ProductionData[[#This Row],[Actual_Production_t]]/(ProductionData[[#This Row],[Target_Production_t]]*((8-ProductionData[[#This Row],[Downtime_hr]])/8))</f>
        <v>0.95719427959918291</v>
      </c>
      <c r="O259" s="4">
        <f>ProductionData[[#This Row],[Raw_Material_t]]/ProductionData[[#This Row],[Actual_Production_t]]</f>
        <v>1.4799268218314869</v>
      </c>
      <c r="P259" s="22">
        <f>ProductionData[[#This Row],[Energy_kWh]]/ProductionData[[#This Row],[Actual_Production_t]]</f>
        <v>82.22502286817766</v>
      </c>
      <c r="Q259" s="23">
        <f>ProductionData[[#This Row],[Defects_t]]/ProductionData[[#This Row],[Actual_Production_t]]</f>
        <v>4.0654538062811262E-3</v>
      </c>
      <c r="R259" t="str">
        <f>IF(ProductionData[[#This Row],[Achievement%]]&gt;=100%,"On Target",IF(ProductionData[[#This Row],[Achievement%]]&lt;90%,"Significantly Below Target","Below Target"))</f>
        <v>Below Target</v>
      </c>
    </row>
    <row r="260" spans="1:18" x14ac:dyDescent="0.25">
      <c r="A260">
        <v>256</v>
      </c>
      <c r="B260" s="3">
        <v>46108</v>
      </c>
      <c r="C260" t="s">
        <v>13</v>
      </c>
      <c r="D260" t="s">
        <v>14</v>
      </c>
      <c r="E260" s="4">
        <v>1167</v>
      </c>
      <c r="F260" s="4">
        <v>990.3</v>
      </c>
      <c r="G260" s="4">
        <v>4.29</v>
      </c>
      <c r="H260" t="s">
        <v>20</v>
      </c>
      <c r="I260" s="4">
        <v>1511.9</v>
      </c>
      <c r="J260" s="4">
        <v>84934.1</v>
      </c>
      <c r="K260">
        <v>2</v>
      </c>
      <c r="L260">
        <v>11</v>
      </c>
      <c r="M260" s="21">
        <f>(ProductionData[[#This Row],[Actual_Production_t]]/ProductionData[[#This Row],[Target_Production_t]])</f>
        <v>0.84858611825192798</v>
      </c>
      <c r="N260" s="5">
        <f>ProductionData[[#This Row],[Actual_Production_t]]/(ProductionData[[#This Row],[Target_Production_t]]*((8-ProductionData[[#This Row],[Downtime_hr]])/8))</f>
        <v>1.8298352954219472</v>
      </c>
      <c r="O260" s="4">
        <f>ProductionData[[#This Row],[Raw_Material_t]]/ProductionData[[#This Row],[Actual_Production_t]]</f>
        <v>1.5267090780571546</v>
      </c>
      <c r="P260" s="22">
        <f>ProductionData[[#This Row],[Energy_kWh]]/ProductionData[[#This Row],[Actual_Production_t]]</f>
        <v>85.76603049580936</v>
      </c>
      <c r="Q260" s="23">
        <f>ProductionData[[#This Row],[Defects_t]]/ProductionData[[#This Row],[Actual_Production_t]]</f>
        <v>2.0195900232252853E-3</v>
      </c>
      <c r="R260" t="str">
        <f>IF(ProductionData[[#This Row],[Achievement%]]&gt;=100%,"On Target",IF(ProductionData[[#This Row],[Achievement%]]&lt;90%,"Significantly Below Target","Below Target"))</f>
        <v>Significantly Below Target</v>
      </c>
    </row>
    <row r="261" spans="1:18" x14ac:dyDescent="0.25">
      <c r="A261">
        <v>257</v>
      </c>
      <c r="B261" s="3">
        <v>46108</v>
      </c>
      <c r="C261" t="s">
        <v>16</v>
      </c>
      <c r="D261" t="s">
        <v>17</v>
      </c>
      <c r="E261" s="4">
        <v>1025</v>
      </c>
      <c r="F261" s="4">
        <v>856.1</v>
      </c>
      <c r="G261" s="4">
        <v>2.68</v>
      </c>
      <c r="H261" t="s">
        <v>22</v>
      </c>
      <c r="I261" s="4">
        <v>1326.7</v>
      </c>
      <c r="J261" s="4">
        <v>69662</v>
      </c>
      <c r="K261">
        <v>2</v>
      </c>
      <c r="L261">
        <v>8</v>
      </c>
      <c r="M261" s="21">
        <f>(ProductionData[[#This Row],[Actual_Production_t]]/ProductionData[[#This Row],[Target_Production_t]])</f>
        <v>0.83521951219512203</v>
      </c>
      <c r="N261" s="5">
        <f>ProductionData[[#This Row],[Actual_Production_t]]/(ProductionData[[#This Row],[Target_Production_t]]*((8-ProductionData[[#This Row],[Downtime_hr]])/8))</f>
        <v>1.2559691912708602</v>
      </c>
      <c r="O261" s="4">
        <f>ProductionData[[#This Row],[Raw_Material_t]]/ProductionData[[#This Row],[Actual_Production_t]]</f>
        <v>1.5497021376007476</v>
      </c>
      <c r="P261" s="22">
        <f>ProductionData[[#This Row],[Energy_kWh]]/ProductionData[[#This Row],[Actual_Production_t]]</f>
        <v>81.371335124401355</v>
      </c>
      <c r="Q261" s="23">
        <f>ProductionData[[#This Row],[Defects_t]]/ProductionData[[#This Row],[Actual_Production_t]]</f>
        <v>2.3361756804111669E-3</v>
      </c>
      <c r="R261" t="str">
        <f>IF(ProductionData[[#This Row],[Achievement%]]&gt;=100%,"On Target",IF(ProductionData[[#This Row],[Achievement%]]&lt;90%,"Significantly Below Target","Below Target"))</f>
        <v>Significantly Below Target</v>
      </c>
    </row>
    <row r="262" spans="1:18" x14ac:dyDescent="0.25">
      <c r="A262">
        <v>258</v>
      </c>
      <c r="B262" s="3">
        <v>46108</v>
      </c>
      <c r="C262" t="s">
        <v>18</v>
      </c>
      <c r="D262" t="s">
        <v>14</v>
      </c>
      <c r="E262" s="4">
        <v>1132</v>
      </c>
      <c r="F262" s="4">
        <v>825.9</v>
      </c>
      <c r="G262" s="4">
        <v>5.31</v>
      </c>
      <c r="H262" t="s">
        <v>22</v>
      </c>
      <c r="I262" s="4">
        <v>1258.3</v>
      </c>
      <c r="J262" s="4">
        <v>67552.3</v>
      </c>
      <c r="K262">
        <v>2</v>
      </c>
      <c r="L262">
        <v>10</v>
      </c>
      <c r="M262" s="21">
        <f>(ProductionData[[#This Row],[Actual_Production_t]]/ProductionData[[#This Row],[Target_Production_t]])</f>
        <v>0.72959363957597168</v>
      </c>
      <c r="N262" s="5">
        <f>ProductionData[[#This Row],[Actual_Production_t]]/(ProductionData[[#This Row],[Target_Production_t]]*((8-ProductionData[[#This Row],[Downtime_hr]])/8))</f>
        <v>2.1697952106348599</v>
      </c>
      <c r="O262" s="4">
        <f>ProductionData[[#This Row],[Raw_Material_t]]/ProductionData[[#This Row],[Actual_Production_t]]</f>
        <v>1.5235500665940187</v>
      </c>
      <c r="P262" s="22">
        <f>ProductionData[[#This Row],[Energy_kWh]]/ProductionData[[#This Row],[Actual_Production_t]]</f>
        <v>81.79234774185737</v>
      </c>
      <c r="Q262" s="23">
        <f>ProductionData[[#This Row],[Defects_t]]/ProductionData[[#This Row],[Actual_Production_t]]</f>
        <v>2.42160067804819E-3</v>
      </c>
      <c r="R262" t="str">
        <f>IF(ProductionData[[#This Row],[Achievement%]]&gt;=100%,"On Target",IF(ProductionData[[#This Row],[Achievement%]]&lt;90%,"Significantly Below Target","Below Target"))</f>
        <v>Significantly Below Target</v>
      </c>
    </row>
    <row r="263" spans="1:18" x14ac:dyDescent="0.25">
      <c r="A263">
        <v>259</v>
      </c>
      <c r="B263" s="3">
        <v>46109</v>
      </c>
      <c r="C263" t="s">
        <v>13</v>
      </c>
      <c r="D263" t="s">
        <v>17</v>
      </c>
      <c r="E263" s="4">
        <v>1022</v>
      </c>
      <c r="F263" s="4">
        <v>809.5</v>
      </c>
      <c r="G263" s="4">
        <v>5.77</v>
      </c>
      <c r="H263" t="s">
        <v>15</v>
      </c>
      <c r="I263" s="4">
        <v>1226</v>
      </c>
      <c r="J263" s="4">
        <v>70613.899999999994</v>
      </c>
      <c r="K263">
        <v>4</v>
      </c>
      <c r="L263">
        <v>7</v>
      </c>
      <c r="M263" s="21">
        <f>(ProductionData[[#This Row],[Actual_Production_t]]/ProductionData[[#This Row],[Target_Production_t]])</f>
        <v>0.79207436399217224</v>
      </c>
      <c r="N263" s="5">
        <f>ProductionData[[#This Row],[Actual_Production_t]]/(ProductionData[[#This Row],[Target_Production_t]]*((8-ProductionData[[#This Row],[Downtime_hr]])/8))</f>
        <v>2.841522382034698</v>
      </c>
      <c r="O263" s="4">
        <f>ProductionData[[#This Row],[Raw_Material_t]]/ProductionData[[#This Row],[Actual_Production_t]]</f>
        <v>1.5145151327980235</v>
      </c>
      <c r="P263" s="22">
        <f>ProductionData[[#This Row],[Energy_kWh]]/ProductionData[[#This Row],[Actual_Production_t]]</f>
        <v>87.23150092649783</v>
      </c>
      <c r="Q263" s="23">
        <f>ProductionData[[#This Row],[Defects_t]]/ProductionData[[#This Row],[Actual_Production_t]]</f>
        <v>4.9413218035824586E-3</v>
      </c>
      <c r="R263" t="str">
        <f>IF(ProductionData[[#This Row],[Achievement%]]&gt;=100%,"On Target",IF(ProductionData[[#This Row],[Achievement%]]&lt;90%,"Significantly Below Target","Below Target"))</f>
        <v>Significantly Below Target</v>
      </c>
    </row>
    <row r="264" spans="1:18" x14ac:dyDescent="0.25">
      <c r="A264">
        <v>260</v>
      </c>
      <c r="B264" s="3">
        <v>46109</v>
      </c>
      <c r="C264" t="s">
        <v>16</v>
      </c>
      <c r="D264" t="s">
        <v>17</v>
      </c>
      <c r="E264" s="4">
        <v>1031</v>
      </c>
      <c r="F264" s="4">
        <v>736.4</v>
      </c>
      <c r="G264" s="4">
        <v>5.17</v>
      </c>
      <c r="H264" t="s">
        <v>15</v>
      </c>
      <c r="I264" s="4">
        <v>1136.8</v>
      </c>
      <c r="J264" s="4">
        <v>59491.9</v>
      </c>
      <c r="K264">
        <v>6</v>
      </c>
      <c r="L264">
        <v>12</v>
      </c>
      <c r="M264" s="21">
        <f>(ProductionData[[#This Row],[Actual_Production_t]]/ProductionData[[#This Row],[Target_Production_t]])</f>
        <v>0.71425800193986422</v>
      </c>
      <c r="N264" s="5">
        <f>ProductionData[[#This Row],[Actual_Production_t]]/(ProductionData[[#This Row],[Target_Production_t]]*((8-ProductionData[[#This Row],[Downtime_hr]])/8))</f>
        <v>2.0191038924095102</v>
      </c>
      <c r="O264" s="4">
        <f>ProductionData[[#This Row],[Raw_Material_t]]/ProductionData[[#This Row],[Actual_Production_t]]</f>
        <v>1.543726235741445</v>
      </c>
      <c r="P264" s="22">
        <f>ProductionData[[#This Row],[Energy_kWh]]/ProductionData[[#This Row],[Actual_Production_t]]</f>
        <v>80.787479630635531</v>
      </c>
      <c r="Q264" s="23">
        <f>ProductionData[[#This Row],[Defects_t]]/ProductionData[[#This Row],[Actual_Production_t]]</f>
        <v>8.1477457903313417E-3</v>
      </c>
      <c r="R264" t="str">
        <f>IF(ProductionData[[#This Row],[Achievement%]]&gt;=100%,"On Target",IF(ProductionData[[#This Row],[Achievement%]]&lt;90%,"Significantly Below Target","Below Target"))</f>
        <v>Significantly Below Target</v>
      </c>
    </row>
    <row r="265" spans="1:18" x14ac:dyDescent="0.25">
      <c r="A265">
        <v>261</v>
      </c>
      <c r="B265" s="3">
        <v>46109</v>
      </c>
      <c r="C265" t="s">
        <v>18</v>
      </c>
      <c r="D265" t="s">
        <v>17</v>
      </c>
      <c r="E265" s="4">
        <v>1047</v>
      </c>
      <c r="F265" s="4">
        <v>906</v>
      </c>
      <c r="G265" s="4">
        <v>0.43</v>
      </c>
      <c r="H265" t="s">
        <v>23</v>
      </c>
      <c r="I265" s="4">
        <v>1374</v>
      </c>
      <c r="J265" s="4">
        <v>72467.100000000006</v>
      </c>
      <c r="K265">
        <v>1</v>
      </c>
      <c r="L265">
        <v>9</v>
      </c>
      <c r="M265" s="21">
        <f>(ProductionData[[#This Row],[Actual_Production_t]]/ProductionData[[#This Row],[Target_Production_t]])</f>
        <v>0.86532951289398286</v>
      </c>
      <c r="N265" s="5">
        <f>ProductionData[[#This Row],[Actual_Production_t]]/(ProductionData[[#This Row],[Target_Production_t]]*((8-ProductionData[[#This Row],[Downtime_hr]])/8))</f>
        <v>0.91448297267527912</v>
      </c>
      <c r="O265" s="4">
        <f>ProductionData[[#This Row],[Raw_Material_t]]/ProductionData[[#This Row],[Actual_Production_t]]</f>
        <v>1.5165562913907285</v>
      </c>
      <c r="P265" s="22">
        <f>ProductionData[[#This Row],[Energy_kWh]]/ProductionData[[#This Row],[Actual_Production_t]]</f>
        <v>79.985761589403978</v>
      </c>
      <c r="Q265" s="23">
        <f>ProductionData[[#This Row],[Defects_t]]/ProductionData[[#This Row],[Actual_Production_t]]</f>
        <v>1.1037527593818985E-3</v>
      </c>
      <c r="R265" t="str">
        <f>IF(ProductionData[[#This Row],[Achievement%]]&gt;=100%,"On Target",IF(ProductionData[[#This Row],[Achievement%]]&lt;90%,"Significantly Below Target","Below Target"))</f>
        <v>Significantly Below Target</v>
      </c>
    </row>
    <row r="266" spans="1:18" x14ac:dyDescent="0.25">
      <c r="A266">
        <v>262</v>
      </c>
      <c r="B266" s="3">
        <v>46110</v>
      </c>
      <c r="C266" t="s">
        <v>13</v>
      </c>
      <c r="D266" t="s">
        <v>19</v>
      </c>
      <c r="E266" s="4">
        <v>993</v>
      </c>
      <c r="F266" s="4">
        <v>916.4</v>
      </c>
      <c r="G266" s="4">
        <v>2.81</v>
      </c>
      <c r="H266" t="s">
        <v>20</v>
      </c>
      <c r="I266" s="4">
        <v>1435.8</v>
      </c>
      <c r="J266" s="4">
        <v>77457.100000000006</v>
      </c>
      <c r="K266">
        <v>0</v>
      </c>
      <c r="L266">
        <v>9</v>
      </c>
      <c r="M266" s="21">
        <f>(ProductionData[[#This Row],[Actual_Production_t]]/ProductionData[[#This Row],[Target_Production_t]])</f>
        <v>0.92286002014098689</v>
      </c>
      <c r="N266" s="5">
        <f>ProductionData[[#This Row],[Actual_Production_t]]/(ProductionData[[#This Row],[Target_Production_t]]*((8-ProductionData[[#This Row],[Downtime_hr]])/8))</f>
        <v>1.4225202622597102</v>
      </c>
      <c r="O266" s="4">
        <f>ProductionData[[#This Row],[Raw_Material_t]]/ProductionData[[#This Row],[Actual_Production_t]]</f>
        <v>1.5667830641641205</v>
      </c>
      <c r="P266" s="22">
        <f>ProductionData[[#This Row],[Energy_kWh]]/ProductionData[[#This Row],[Actual_Production_t]]</f>
        <v>84.523243125272813</v>
      </c>
      <c r="Q266" s="23">
        <f>ProductionData[[#This Row],[Defects_t]]/ProductionData[[#This Row],[Actual_Production_t]]</f>
        <v>0</v>
      </c>
      <c r="R266" t="str">
        <f>IF(ProductionData[[#This Row],[Achievement%]]&gt;=100%,"On Target",IF(ProductionData[[#This Row],[Achievement%]]&lt;90%,"Significantly Below Target","Below Target"))</f>
        <v>Below Target</v>
      </c>
    </row>
    <row r="267" spans="1:18" x14ac:dyDescent="0.25">
      <c r="A267">
        <v>263</v>
      </c>
      <c r="B267" s="3">
        <v>46110</v>
      </c>
      <c r="C267" t="s">
        <v>16</v>
      </c>
      <c r="D267" t="s">
        <v>14</v>
      </c>
      <c r="E267" s="4">
        <v>1112</v>
      </c>
      <c r="F267" s="4">
        <v>919.5</v>
      </c>
      <c r="G267" s="4">
        <v>4.03</v>
      </c>
      <c r="H267" t="s">
        <v>20</v>
      </c>
      <c r="I267" s="4">
        <v>1454.5</v>
      </c>
      <c r="J267" s="4">
        <v>73587.8</v>
      </c>
      <c r="K267">
        <v>2</v>
      </c>
      <c r="L267">
        <v>9</v>
      </c>
      <c r="M267" s="21">
        <f>(ProductionData[[#This Row],[Actual_Production_t]]/ProductionData[[#This Row],[Target_Production_t]])</f>
        <v>0.82688848920863312</v>
      </c>
      <c r="N267" s="5">
        <f>ProductionData[[#This Row],[Actual_Production_t]]/(ProductionData[[#This Row],[Target_Production_t]]*((8-ProductionData[[#This Row],[Downtime_hr]])/8))</f>
        <v>1.6662740336697899</v>
      </c>
      <c r="O267" s="4">
        <f>ProductionData[[#This Row],[Raw_Material_t]]/ProductionData[[#This Row],[Actual_Production_t]]</f>
        <v>1.5818379554105493</v>
      </c>
      <c r="P267" s="22">
        <f>ProductionData[[#This Row],[Energy_kWh]]/ProductionData[[#This Row],[Actual_Production_t]]</f>
        <v>80.030233822729741</v>
      </c>
      <c r="Q267" s="23">
        <f>ProductionData[[#This Row],[Defects_t]]/ProductionData[[#This Row],[Actual_Production_t]]</f>
        <v>2.1750951604132679E-3</v>
      </c>
      <c r="R267" t="str">
        <f>IF(ProductionData[[#This Row],[Achievement%]]&gt;=100%,"On Target",IF(ProductionData[[#This Row],[Achievement%]]&lt;90%,"Significantly Below Target","Below Target"))</f>
        <v>Significantly Below Target</v>
      </c>
    </row>
    <row r="268" spans="1:18" x14ac:dyDescent="0.25">
      <c r="A268">
        <v>264</v>
      </c>
      <c r="B268" s="3">
        <v>46110</v>
      </c>
      <c r="C268" t="s">
        <v>18</v>
      </c>
      <c r="D268" t="s">
        <v>19</v>
      </c>
      <c r="E268" s="4">
        <v>994</v>
      </c>
      <c r="F268" s="4">
        <v>771.4</v>
      </c>
      <c r="G268" s="4">
        <v>4.78</v>
      </c>
      <c r="H268" t="s">
        <v>21</v>
      </c>
      <c r="I268" s="4">
        <v>1164.5</v>
      </c>
      <c r="J268" s="4">
        <v>54219.8</v>
      </c>
      <c r="K268">
        <v>6</v>
      </c>
      <c r="L268">
        <v>12</v>
      </c>
      <c r="M268" s="21">
        <f>(ProductionData[[#This Row],[Actual_Production_t]]/ProductionData[[#This Row],[Target_Production_t]])</f>
        <v>0.77605633802816898</v>
      </c>
      <c r="N268" s="5">
        <f>ProductionData[[#This Row],[Actual_Production_t]]/(ProductionData[[#This Row],[Target_Production_t]]*((8-ProductionData[[#This Row],[Downtime_hr]])/8))</f>
        <v>1.9280902808153269</v>
      </c>
      <c r="O268" s="4">
        <f>ProductionData[[#This Row],[Raw_Material_t]]/ProductionData[[#This Row],[Actual_Production_t]]</f>
        <v>1.5095929478869587</v>
      </c>
      <c r="P268" s="22">
        <f>ProductionData[[#This Row],[Energy_kWh]]/ProductionData[[#This Row],[Actual_Production_t]]</f>
        <v>70.287529167746953</v>
      </c>
      <c r="Q268" s="23">
        <f>ProductionData[[#This Row],[Defects_t]]/ProductionData[[#This Row],[Actual_Production_t]]</f>
        <v>7.7780658542909E-3</v>
      </c>
      <c r="R268" t="str">
        <f>IF(ProductionData[[#This Row],[Achievement%]]&gt;=100%,"On Target",IF(ProductionData[[#This Row],[Achievement%]]&lt;90%,"Significantly Below Target","Below Target"))</f>
        <v>Significantly Below Target</v>
      </c>
    </row>
    <row r="269" spans="1:18" x14ac:dyDescent="0.25">
      <c r="A269">
        <v>265</v>
      </c>
      <c r="B269" s="3">
        <v>46111</v>
      </c>
      <c r="C269" t="s">
        <v>13</v>
      </c>
      <c r="D269" t="s">
        <v>14</v>
      </c>
      <c r="E269" s="4">
        <v>1184</v>
      </c>
      <c r="F269" s="4">
        <v>931.4</v>
      </c>
      <c r="G269" s="4">
        <v>4.4400000000000004</v>
      </c>
      <c r="H269" t="s">
        <v>20</v>
      </c>
      <c r="I269" s="4">
        <v>1372.9</v>
      </c>
      <c r="J269" s="4">
        <v>79603.100000000006</v>
      </c>
      <c r="K269">
        <v>2</v>
      </c>
      <c r="L269">
        <v>10</v>
      </c>
      <c r="M269" s="21">
        <f>(ProductionData[[#This Row],[Actual_Production_t]]/ProductionData[[#This Row],[Target_Production_t]])</f>
        <v>0.78665540540540535</v>
      </c>
      <c r="N269" s="5">
        <f>ProductionData[[#This Row],[Actual_Production_t]]/(ProductionData[[#This Row],[Target_Production_t]]*((8-ProductionData[[#This Row],[Downtime_hr]])/8))</f>
        <v>1.7677649559672031</v>
      </c>
      <c r="O269" s="4">
        <f>ProductionData[[#This Row],[Raw_Material_t]]/ProductionData[[#This Row],[Actual_Production_t]]</f>
        <v>1.474017607902083</v>
      </c>
      <c r="P269" s="22">
        <f>ProductionData[[#This Row],[Energy_kWh]]/ProductionData[[#This Row],[Actual_Production_t]]</f>
        <v>85.466072578913469</v>
      </c>
      <c r="Q269" s="23">
        <f>ProductionData[[#This Row],[Defects_t]]/ProductionData[[#This Row],[Actual_Production_t]]</f>
        <v>2.1473051320592658E-3</v>
      </c>
      <c r="R269" t="str">
        <f>IF(ProductionData[[#This Row],[Achievement%]]&gt;=100%,"On Target",IF(ProductionData[[#This Row],[Achievement%]]&lt;90%,"Significantly Below Target","Below Target"))</f>
        <v>Significantly Below Target</v>
      </c>
    </row>
    <row r="270" spans="1:18" x14ac:dyDescent="0.25">
      <c r="A270">
        <v>266</v>
      </c>
      <c r="B270" s="3">
        <v>46111</v>
      </c>
      <c r="C270" t="s">
        <v>16</v>
      </c>
      <c r="D270" t="s">
        <v>14</v>
      </c>
      <c r="E270" s="4">
        <v>1156</v>
      </c>
      <c r="F270" s="4">
        <v>881.4</v>
      </c>
      <c r="G270" s="4">
        <v>5.27</v>
      </c>
      <c r="H270" t="s">
        <v>15</v>
      </c>
      <c r="I270" s="4">
        <v>1278.3</v>
      </c>
      <c r="J270" s="4">
        <v>65048.1</v>
      </c>
      <c r="K270">
        <v>8</v>
      </c>
      <c r="L270">
        <v>9</v>
      </c>
      <c r="M270" s="21">
        <f>(ProductionData[[#This Row],[Actual_Production_t]]/ProductionData[[#This Row],[Target_Production_t]])</f>
        <v>0.76245674740484426</v>
      </c>
      <c r="N270" s="5">
        <f>ProductionData[[#This Row],[Actual_Production_t]]/(ProductionData[[#This Row],[Target_Production_t]]*((8-ProductionData[[#This Row],[Downtime_hr]])/8))</f>
        <v>2.234305486900642</v>
      </c>
      <c r="O270" s="4">
        <f>ProductionData[[#This Row],[Raw_Material_t]]/ProductionData[[#This Row],[Actual_Production_t]]</f>
        <v>1.4503063308373043</v>
      </c>
      <c r="P270" s="22">
        <f>ProductionData[[#This Row],[Energy_kWh]]/ProductionData[[#This Row],[Actual_Production_t]]</f>
        <v>73.80088495575221</v>
      </c>
      <c r="Q270" s="23">
        <f>ProductionData[[#This Row],[Defects_t]]/ProductionData[[#This Row],[Actual_Production_t]]</f>
        <v>9.0764692534604039E-3</v>
      </c>
      <c r="R270" t="str">
        <f>IF(ProductionData[[#This Row],[Achievement%]]&gt;=100%,"On Target",IF(ProductionData[[#This Row],[Achievement%]]&lt;90%,"Significantly Below Target","Below Target"))</f>
        <v>Significantly Below Target</v>
      </c>
    </row>
    <row r="271" spans="1:18" x14ac:dyDescent="0.25">
      <c r="A271">
        <v>267</v>
      </c>
      <c r="B271" s="3">
        <v>46111</v>
      </c>
      <c r="C271" t="s">
        <v>18</v>
      </c>
      <c r="D271" t="s">
        <v>17</v>
      </c>
      <c r="E271" s="4">
        <v>1049</v>
      </c>
      <c r="F271" s="4">
        <v>872.2</v>
      </c>
      <c r="G271" s="4">
        <v>2.77</v>
      </c>
      <c r="H271" t="s">
        <v>15</v>
      </c>
      <c r="I271" s="4">
        <v>1332</v>
      </c>
      <c r="J271" s="4">
        <v>74096.3</v>
      </c>
      <c r="K271">
        <v>3</v>
      </c>
      <c r="L271">
        <v>9</v>
      </c>
      <c r="M271" s="21">
        <f>(ProductionData[[#This Row],[Actual_Production_t]]/ProductionData[[#This Row],[Target_Production_t]])</f>
        <v>0.83145853193517638</v>
      </c>
      <c r="N271" s="5">
        <f>ProductionData[[#This Row],[Actual_Production_t]]/(ProductionData[[#This Row],[Target_Production_t]]*((8-ProductionData[[#This Row],[Downtime_hr]])/8))</f>
        <v>1.2718294943559103</v>
      </c>
      <c r="O271" s="4">
        <f>ProductionData[[#This Row],[Raw_Material_t]]/ProductionData[[#This Row],[Actual_Production_t]]</f>
        <v>1.5271726668195367</v>
      </c>
      <c r="P271" s="22">
        <f>ProductionData[[#This Row],[Energy_kWh]]/ProductionData[[#This Row],[Actual_Production_t]]</f>
        <v>84.953336390736069</v>
      </c>
      <c r="Q271" s="23">
        <f>ProductionData[[#This Row],[Defects_t]]/ProductionData[[#This Row],[Actual_Production_t]]</f>
        <v>3.4395780784223801E-3</v>
      </c>
      <c r="R271" t="str">
        <f>IF(ProductionData[[#This Row],[Achievement%]]&gt;=100%,"On Target",IF(ProductionData[[#This Row],[Achievement%]]&lt;90%,"Significantly Below Target","Below Target"))</f>
        <v>Significantly Below Target</v>
      </c>
    </row>
    <row r="272" spans="1:18" x14ac:dyDescent="0.25">
      <c r="A272">
        <v>268</v>
      </c>
      <c r="B272" s="3">
        <v>46112</v>
      </c>
      <c r="C272" t="s">
        <v>13</v>
      </c>
      <c r="D272" t="s">
        <v>19</v>
      </c>
      <c r="E272" s="4">
        <v>987</v>
      </c>
      <c r="F272" s="4">
        <v>986.7</v>
      </c>
      <c r="G272" s="4">
        <v>0.06</v>
      </c>
      <c r="H272" t="s">
        <v>23</v>
      </c>
      <c r="I272" s="4">
        <v>1479</v>
      </c>
      <c r="J272" s="4">
        <v>78398.899999999994</v>
      </c>
      <c r="K272">
        <v>5</v>
      </c>
      <c r="L272">
        <v>10</v>
      </c>
      <c r="M272" s="21">
        <f>(ProductionData[[#This Row],[Actual_Production_t]]/ProductionData[[#This Row],[Target_Production_t]])</f>
        <v>0.99969604863221884</v>
      </c>
      <c r="N272" s="5">
        <f>ProductionData[[#This Row],[Actual_Production_t]]/(ProductionData[[#This Row],[Target_Production_t]]*((8-ProductionData[[#This Row],[Downtime_hr]])/8))</f>
        <v>1.0072504268334699</v>
      </c>
      <c r="O272" s="4">
        <f>ProductionData[[#This Row],[Raw_Material_t]]/ProductionData[[#This Row],[Actual_Production_t]]</f>
        <v>1.4989358467619336</v>
      </c>
      <c r="P272" s="22">
        <f>ProductionData[[#This Row],[Energy_kWh]]/ProductionData[[#This Row],[Actual_Production_t]]</f>
        <v>79.455660281747228</v>
      </c>
      <c r="Q272" s="23">
        <f>ProductionData[[#This Row],[Defects_t]]/ProductionData[[#This Row],[Actual_Production_t]]</f>
        <v>5.067396371744198E-3</v>
      </c>
      <c r="R272" t="str">
        <f>IF(ProductionData[[#This Row],[Achievement%]]&gt;=100%,"On Target",IF(ProductionData[[#This Row],[Achievement%]]&lt;90%,"Significantly Below Target","Below Target"))</f>
        <v>Below Target</v>
      </c>
    </row>
    <row r="273" spans="1:18" x14ac:dyDescent="0.25">
      <c r="A273">
        <v>269</v>
      </c>
      <c r="B273" s="3">
        <v>46112</v>
      </c>
      <c r="C273" t="s">
        <v>16</v>
      </c>
      <c r="D273" t="s">
        <v>14</v>
      </c>
      <c r="E273" s="4">
        <v>1121</v>
      </c>
      <c r="F273" s="4">
        <v>1108.7</v>
      </c>
      <c r="G273" s="4">
        <v>0.04</v>
      </c>
      <c r="H273" t="s">
        <v>23</v>
      </c>
      <c r="I273" s="4">
        <v>1659.4</v>
      </c>
      <c r="J273" s="4">
        <v>90128.1</v>
      </c>
      <c r="K273">
        <v>2</v>
      </c>
      <c r="L273">
        <v>12</v>
      </c>
      <c r="M273" s="21">
        <f>(ProductionData[[#This Row],[Actual_Production_t]]/ProductionData[[#This Row],[Target_Production_t]])</f>
        <v>0.98902765388046388</v>
      </c>
      <c r="N273" s="5">
        <f>ProductionData[[#This Row],[Actual_Production_t]]/(ProductionData[[#This Row],[Target_Production_t]]*((8-ProductionData[[#This Row],[Downtime_hr]])/8))</f>
        <v>0.99399764209091857</v>
      </c>
      <c r="O273" s="4">
        <f>ProductionData[[#This Row],[Raw_Material_t]]/ProductionData[[#This Row],[Actual_Production_t]]</f>
        <v>1.4967078560476235</v>
      </c>
      <c r="P273" s="22">
        <f>ProductionData[[#This Row],[Energy_kWh]]/ProductionData[[#This Row],[Actual_Production_t]]</f>
        <v>81.291692973753044</v>
      </c>
      <c r="Q273" s="23">
        <f>ProductionData[[#This Row],[Defects_t]]/ProductionData[[#This Row],[Actual_Production_t]]</f>
        <v>1.8039144944529629E-3</v>
      </c>
      <c r="R273" t="str">
        <f>IF(ProductionData[[#This Row],[Achievement%]]&gt;=100%,"On Target",IF(ProductionData[[#This Row],[Achievement%]]&lt;90%,"Significantly Below Target","Below Target"))</f>
        <v>Below Target</v>
      </c>
    </row>
    <row r="274" spans="1:18" x14ac:dyDescent="0.25">
      <c r="A274">
        <v>270</v>
      </c>
      <c r="B274" s="3">
        <v>46112</v>
      </c>
      <c r="C274" t="s">
        <v>18</v>
      </c>
      <c r="D274" t="s">
        <v>19</v>
      </c>
      <c r="E274" s="4">
        <v>971</v>
      </c>
      <c r="F274" s="4">
        <v>861.4</v>
      </c>
      <c r="G274" s="4">
        <v>0.38</v>
      </c>
      <c r="H274" t="s">
        <v>23</v>
      </c>
      <c r="I274" s="4">
        <v>1307.5</v>
      </c>
      <c r="J274" s="4">
        <v>72288.899999999994</v>
      </c>
      <c r="K274">
        <v>2</v>
      </c>
      <c r="L274">
        <v>11</v>
      </c>
      <c r="M274" s="21">
        <f>(ProductionData[[#This Row],[Actual_Production_t]]/ProductionData[[#This Row],[Target_Production_t]])</f>
        <v>0.88712667353244079</v>
      </c>
      <c r="N274" s="5">
        <f>ProductionData[[#This Row],[Actual_Production_t]]/(ProductionData[[#This Row],[Target_Production_t]]*((8-ProductionData[[#This Row],[Downtime_hr]])/8))</f>
        <v>0.93136658638576453</v>
      </c>
      <c r="O274" s="4">
        <f>ProductionData[[#This Row],[Raw_Material_t]]/ProductionData[[#This Row],[Actual_Production_t]]</f>
        <v>1.5178778732296263</v>
      </c>
      <c r="P274" s="22">
        <f>ProductionData[[#This Row],[Energy_kWh]]/ProductionData[[#This Row],[Actual_Production_t]]</f>
        <v>83.92024611098212</v>
      </c>
      <c r="Q274" s="23">
        <f>ProductionData[[#This Row],[Defects_t]]/ProductionData[[#This Row],[Actual_Production_t]]</f>
        <v>2.3218017181332717E-3</v>
      </c>
      <c r="R274" t="str">
        <f>IF(ProductionData[[#This Row],[Achievement%]]&gt;=100%,"On Target",IF(ProductionData[[#This Row],[Achievement%]]&lt;90%,"Significantly Below Target","Below Target"))</f>
        <v>Significantly Below Target</v>
      </c>
    </row>
  </sheetData>
  <conditionalFormatting sqref="A4:R274">
    <cfRule type="expression" dxfId="6" priority="1">
      <formula>ROW()=CELL("row")</formula>
    </cfRule>
  </conditionalFormatting>
  <conditionalFormatting sqref="A1:H5">
    <cfRule type="expression" dxfId="5" priority="2">
      <formula>ROW()=CELL("row")</formula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4"/>
  <sheetViews>
    <sheetView workbookViewId="0">
      <selection activeCell="A22" sqref="A22"/>
    </sheetView>
  </sheetViews>
  <sheetFormatPr defaultRowHeight="15" x14ac:dyDescent="0.25"/>
  <cols>
    <col min="1" max="1" width="37.5703125" customWidth="1"/>
    <col min="2" max="2" width="20" customWidth="1"/>
  </cols>
  <sheetData>
    <row r="1" spans="1:2" ht="23.25" x14ac:dyDescent="0.25">
      <c r="A1" s="6" t="s">
        <v>52</v>
      </c>
      <c r="B1" s="7"/>
    </row>
    <row r="2" spans="1:2" ht="15.75" thickBot="1" x14ac:dyDescent="0.3">
      <c r="A2" s="7"/>
      <c r="B2" s="7"/>
    </row>
    <row r="3" spans="1:2" x14ac:dyDescent="0.25">
      <c r="A3" s="24" t="s">
        <v>53</v>
      </c>
      <c r="B3" s="25">
        <f>SUM(ProductionData[Target_Production_t])</f>
        <v>291819</v>
      </c>
    </row>
    <row r="4" spans="1:2" x14ac:dyDescent="0.25">
      <c r="A4" s="26" t="s">
        <v>54</v>
      </c>
      <c r="B4" s="27">
        <f>SUM(ProductionData[Actual_Production_t])</f>
        <v>253215.9</v>
      </c>
    </row>
    <row r="5" spans="1:2" x14ac:dyDescent="0.25">
      <c r="A5" s="26" t="s">
        <v>55</v>
      </c>
      <c r="B5" s="28">
        <f>AVERAGE(ProductionData[Achievement%])</f>
        <v>0.86812274347843266</v>
      </c>
    </row>
    <row r="6" spans="1:2" x14ac:dyDescent="0.25">
      <c r="A6" s="26" t="s">
        <v>56</v>
      </c>
      <c r="B6" s="27">
        <f>SUM(ProductionData[Downtime_hr])</f>
        <v>690.9499999999997</v>
      </c>
    </row>
    <row r="7" spans="1:2" x14ac:dyDescent="0.25">
      <c r="A7" s="26" t="s">
        <v>57</v>
      </c>
      <c r="B7" s="27">
        <f>B6/COUNT(ProductionData[Record_ID])</f>
        <v>2.5590740740740729</v>
      </c>
    </row>
    <row r="8" spans="1:2" x14ac:dyDescent="0.25">
      <c r="A8" s="26" t="s">
        <v>58</v>
      </c>
      <c r="B8" s="27">
        <f>SUM(ProductionData[Raw_Material_t])</f>
        <v>385761.3</v>
      </c>
    </row>
    <row r="9" spans="1:2" x14ac:dyDescent="0.25">
      <c r="A9" s="26" t="s">
        <v>59</v>
      </c>
      <c r="B9" s="29">
        <f>B8/B4</f>
        <v>1.5234481720934585</v>
      </c>
    </row>
    <row r="10" spans="1:2" x14ac:dyDescent="0.25">
      <c r="A10" s="26" t="s">
        <v>60</v>
      </c>
      <c r="B10" s="27">
        <f>SUM(ProductionData[Energy_kWh])</f>
        <v>20727162.70000001</v>
      </c>
    </row>
    <row r="11" spans="1:2" x14ac:dyDescent="0.25">
      <c r="A11" s="26" t="s">
        <v>61</v>
      </c>
      <c r="B11" s="27">
        <f>B10/B4</f>
        <v>81.855691921399924</v>
      </c>
    </row>
    <row r="12" spans="1:2" x14ac:dyDescent="0.25">
      <c r="A12" s="26" t="s">
        <v>62</v>
      </c>
      <c r="B12" s="27">
        <f>SUM(ProductionData[Defects_t])</f>
        <v>739</v>
      </c>
    </row>
    <row r="13" spans="1:2" x14ac:dyDescent="0.25">
      <c r="A13" s="26" t="s">
        <v>63</v>
      </c>
      <c r="B13" s="39">
        <f>B12/B4</f>
        <v>2.9184581221005476E-3</v>
      </c>
    </row>
    <row r="14" spans="1:2" ht="15.75" thickBot="1" x14ac:dyDescent="0.3">
      <c r="A14" s="30" t="s">
        <v>64</v>
      </c>
      <c r="B14" s="31">
        <f>AVERAGE(ProductionData[Operators])</f>
        <v>9.674074074074074</v>
      </c>
    </row>
  </sheetData>
  <conditionalFormatting sqref="A3:B14">
    <cfRule type="expression" dxfId="4" priority="1">
      <formula>ROW()=CELL("row")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5"/>
  <sheetViews>
    <sheetView workbookViewId="0">
      <selection activeCell="G1" sqref="G1:G5"/>
    </sheetView>
  </sheetViews>
  <sheetFormatPr defaultRowHeight="15" x14ac:dyDescent="0.25"/>
  <cols>
    <col min="1" max="1" width="15" customWidth="1"/>
    <col min="2" max="7" width="18" customWidth="1"/>
  </cols>
  <sheetData>
    <row r="1" spans="1:7" x14ac:dyDescent="0.25">
      <c r="A1" s="8" t="s">
        <v>3</v>
      </c>
      <c r="B1" s="8" t="s">
        <v>65</v>
      </c>
      <c r="C1" s="8" t="s">
        <v>66</v>
      </c>
      <c r="D1" s="8" t="s">
        <v>67</v>
      </c>
      <c r="E1" s="8" t="s">
        <v>68</v>
      </c>
      <c r="F1" s="8" t="s">
        <v>69</v>
      </c>
      <c r="G1" s="8" t="s">
        <v>63</v>
      </c>
    </row>
    <row r="2" spans="1:7" x14ac:dyDescent="0.25">
      <c r="A2" s="9" t="s">
        <v>13</v>
      </c>
      <c r="B2" s="9">
        <f>SUMIF(ProductionData[Shift],A2,ProductionData[Target_Production_t])</f>
        <v>96772</v>
      </c>
      <c r="C2" s="9">
        <f>SUMIF(ProductionData[Shift],$A2,ProductionData[Actual_Production_t])</f>
        <v>89162.799999999988</v>
      </c>
      <c r="D2" s="33">
        <f>AVERAGEIF(ProductionData[Shift],$A2,ProductionData[Achievement%])</f>
        <v>0.92275206827535117</v>
      </c>
      <c r="E2" s="9">
        <f>SUMIF(ProductionData[Shift],$A2,ProductionData[Downtime_hr])</f>
        <v>211.44</v>
      </c>
      <c r="F2" s="9">
        <f>AVERAGEIF(ProductionData[Shift],$A2,ProductionData[Energy Per Ton])</f>
        <v>82.243232449921464</v>
      </c>
      <c r="G2" s="37">
        <f>AVERAGEIF(ProductionData[Shift],$A2,ProductionData[Defect Rate%])</f>
        <v>2.8155183605047349E-3</v>
      </c>
    </row>
    <row r="3" spans="1:7" x14ac:dyDescent="0.25">
      <c r="A3" s="9" t="s">
        <v>16</v>
      </c>
      <c r="B3" s="9">
        <f>SUMIF(ProductionData[Shift],A3,ProductionData[Target_Production_t])</f>
        <v>97482</v>
      </c>
      <c r="C3" s="9">
        <f>SUMIF(ProductionData[Shift],$A3,ProductionData[Actual_Production_t])</f>
        <v>84852.5</v>
      </c>
      <c r="D3" s="33">
        <f>AVERAGEIF(ProductionData[Shift],$A3,ProductionData[Achievement%])</f>
        <v>0.86953623048964013</v>
      </c>
      <c r="E3" s="9">
        <f>SUMIF(ProductionData[Shift],$A3,ProductionData[Downtime_hr])</f>
        <v>251.72000000000003</v>
      </c>
      <c r="F3" s="9">
        <f>AVERAGEIF(ProductionData[Shift],$A3,ProductionData[Energy Per Ton])</f>
        <v>81.434624058429151</v>
      </c>
      <c r="G3" s="37">
        <f>AVERAGEIF(ProductionData[Shift],$A3,ProductionData[Defect Rate%])</f>
        <v>2.9469407489898735E-3</v>
      </c>
    </row>
    <row r="4" spans="1:7" x14ac:dyDescent="0.25">
      <c r="A4" s="32" t="s">
        <v>18</v>
      </c>
      <c r="B4" s="32">
        <f>SUMIF(ProductionData[Shift],A4,ProductionData[Target_Production_t])</f>
        <v>97565</v>
      </c>
      <c r="C4" s="32">
        <f>SUMIF(ProductionData[Shift],$A4,ProductionData[Actual_Production_t])</f>
        <v>79200.599999999948</v>
      </c>
      <c r="D4" s="34">
        <f>AVERAGEIF(ProductionData[Shift],$A4,ProductionData[Achievement%])</f>
        <v>0.8120799316703069</v>
      </c>
      <c r="E4" s="32">
        <f>SUMIF(ProductionData[Shift],$A4,ProductionData[Downtime_hr])</f>
        <v>227.79000000000008</v>
      </c>
      <c r="F4" s="32">
        <f>AVERAGEIF(ProductionData[Shift],$A4,ProductionData[Energy Per Ton])</f>
        <v>81.904039864129132</v>
      </c>
      <c r="G4" s="36">
        <f>AVERAGEIF(ProductionData[Shift],$A4,ProductionData[Defect Rate%])</f>
        <v>3.069798156710042E-3</v>
      </c>
    </row>
    <row r="5" spans="1:7" x14ac:dyDescent="0.25">
      <c r="A5" s="32"/>
      <c r="B5" s="32">
        <f>SUBTOTAL(109,Table3[Target (t)])</f>
        <v>291819</v>
      </c>
      <c r="C5" s="32">
        <f>SUBTOTAL(109,Table3[Actual (t)])</f>
        <v>253215.89999999994</v>
      </c>
      <c r="D5" s="35">
        <f>SUBTOTAL(101,Table3[Achievement %])</f>
        <v>0.86812274347843277</v>
      </c>
      <c r="E5" s="32">
        <f>SUBTOTAL(109,Table3[Downtime (hr)])</f>
        <v>690.95</v>
      </c>
      <c r="F5" s="32">
        <f>SUBTOTAL(109,Table3[Energy/ton])</f>
        <v>245.58189637247972</v>
      </c>
      <c r="G5" s="38">
        <f>SUBTOTAL(101,Table3[Defect Rate %])</f>
        <v>2.9440857554015507E-3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5"/>
  <sheetViews>
    <sheetView workbookViewId="0">
      <selection activeCell="I15" sqref="I15"/>
    </sheetView>
  </sheetViews>
  <sheetFormatPr defaultRowHeight="15" x14ac:dyDescent="0.25"/>
  <cols>
    <col min="1" max="1" width="15" customWidth="1"/>
    <col min="2" max="7" width="18" customWidth="1"/>
    <col min="8" max="8" width="15.7109375" bestFit="1" customWidth="1"/>
  </cols>
  <sheetData>
    <row r="1" spans="1:8" x14ac:dyDescent="0.25">
      <c r="A1" s="8" t="s">
        <v>4</v>
      </c>
      <c r="B1" s="8" t="s">
        <v>65</v>
      </c>
      <c r="C1" s="8" t="s">
        <v>66</v>
      </c>
      <c r="D1" s="8" t="s">
        <v>67</v>
      </c>
      <c r="E1" s="8" t="s">
        <v>68</v>
      </c>
      <c r="F1" s="8" t="s">
        <v>70</v>
      </c>
      <c r="G1" s="8" t="s">
        <v>69</v>
      </c>
      <c r="H1" s="44" t="s">
        <v>63</v>
      </c>
    </row>
    <row r="2" spans="1:8" x14ac:dyDescent="0.25">
      <c r="A2" s="9" t="s">
        <v>14</v>
      </c>
      <c r="B2" s="40">
        <f>SUMIF(ProductionData[Product],$A2,ProductionData[Target_Production_t])</f>
        <v>141033</v>
      </c>
      <c r="C2" s="40">
        <f>SUMIF(ProductionData[Product],$A2,ProductionData[Actual_Production_t])</f>
        <v>121779.7</v>
      </c>
      <c r="D2" s="41">
        <f>AVERAGEIF(ProductionData[Product],$A2,ProductionData[Achievement%])</f>
        <v>0.86343725149301298</v>
      </c>
      <c r="E2" s="40">
        <f>SUMIF(ProductionData[Product],$A2,ProductionData[Downtime_hr])</f>
        <v>326.06</v>
      </c>
      <c r="F2" s="43">
        <f>AVERAGEIF(ProductionData[Product],$A2,ProductionData[Mat. Per Ton])</f>
        <v>1.5264157171423371</v>
      </c>
      <c r="G2" s="42">
        <f>AVERAGEIF(ProductionData[Product],$A2,ProductionData[Energy Per Ton])</f>
        <v>81.85747740941774</v>
      </c>
      <c r="H2" s="37">
        <f>AVERAGEIF(ProductionData[Product],$A2,ProductionData[Defect Rate%])</f>
        <v>2.843093851004677E-3</v>
      </c>
    </row>
    <row r="3" spans="1:8" x14ac:dyDescent="0.25">
      <c r="A3" s="9" t="s">
        <v>17</v>
      </c>
      <c r="B3" s="40">
        <f>SUMIF(ProductionData[Product],$A3,ProductionData[Target_Production_t])</f>
        <v>101485</v>
      </c>
      <c r="C3" s="40">
        <f>SUMIF(ProductionData[Product],$A3,ProductionData[Actual_Production_t])</f>
        <v>87263.199999999968</v>
      </c>
      <c r="D3" s="41">
        <f>AVERAGEIF(ProductionData[Product],$A3,ProductionData[Achievement%])</f>
        <v>0.85965644057247792</v>
      </c>
      <c r="E3" s="40">
        <f>SUMIF(ProductionData[Product],$A3,ProductionData[Downtime_hr])</f>
        <v>270.39</v>
      </c>
      <c r="F3" s="43">
        <f>AVERAGEIF(ProductionData[Product],$A3,ProductionData[Mat. Per Ton])</f>
        <v>1.521271434979123</v>
      </c>
      <c r="G3" s="42">
        <f>AVERAGEIF(ProductionData[Product],$A3,ProductionData[Energy Per Ton])</f>
        <v>81.879142880675573</v>
      </c>
      <c r="H3" s="37">
        <f>AVERAGEIF(ProductionData[Product],$A3,ProductionData[Defect Rate%])</f>
        <v>2.8894058359136758E-3</v>
      </c>
    </row>
    <row r="4" spans="1:8" x14ac:dyDescent="0.25">
      <c r="A4" s="9" t="s">
        <v>19</v>
      </c>
      <c r="B4" s="40">
        <f>SUMIF(ProductionData[Product],$A4,ProductionData[Target_Production_t])</f>
        <v>49301</v>
      </c>
      <c r="C4" s="40">
        <f>SUMIF(ProductionData[Product],$A4,ProductionData[Actual_Production_t])</f>
        <v>44172.999999999993</v>
      </c>
      <c r="D4" s="41">
        <f>AVERAGEIF(ProductionData[Product],$A4,ProductionData[Achievement%])</f>
        <v>0.89607368140011701</v>
      </c>
      <c r="E4" s="40">
        <f>SUMIF(ProductionData[Product],$A4,ProductionData[Downtime_hr])</f>
        <v>94.500000000000028</v>
      </c>
      <c r="F4" s="43">
        <f>AVERAGEIF(ProductionData[Product],$A4,ProductionData[Mat. Per Ton])</f>
        <v>1.521027548206797</v>
      </c>
      <c r="G4" s="42">
        <f>AVERAGEIF(ProductionData[Product],$A4,ProductionData[Energy Per Ton])</f>
        <v>81.832481854785385</v>
      </c>
      <c r="H4" s="37">
        <f>AVERAGEIF(ProductionData[Product],$A4,ProductionData[Defect Rate%])</f>
        <v>3.298604884024333E-3</v>
      </c>
    </row>
    <row r="5" spans="1:8" x14ac:dyDescent="0.25">
      <c r="A5" s="49" t="s">
        <v>93</v>
      </c>
      <c r="B5" s="45">
        <f>SUBTOTAL(109,Table4[Target (t)])</f>
        <v>291819</v>
      </c>
      <c r="C5" s="45">
        <f>SUBTOTAL(109,Table4[Actual (t)])</f>
        <v>253215.89999999997</v>
      </c>
      <c r="D5" s="46">
        <f>SUBTOTAL(101,Table4[Achievement %])</f>
        <v>0.8730557911552026</v>
      </c>
      <c r="E5" s="45">
        <f>SUBTOTAL(109,Table4[Downtime (hr)])</f>
        <v>690.95</v>
      </c>
      <c r="F5" s="47">
        <f>SUBTOTAL(101,Table4[Material/ton])</f>
        <v>1.5229049001094193</v>
      </c>
      <c r="G5" s="47">
        <f>SUBTOTAL(101,Table4[Energy/ton])</f>
        <v>81.856367381626228</v>
      </c>
      <c r="H5" s="48">
        <f>SUBTOTAL(101,Table4[Defect Rate %])</f>
        <v>3.0103681903142286E-3</v>
      </c>
    </row>
  </sheetData>
  <conditionalFormatting sqref="A1:H5">
    <cfRule type="expression" dxfId="3" priority="2">
      <formula>ROW()=CELL("row")</formula>
    </cfRule>
  </conditionalFormatting>
  <conditionalFormatting sqref="C1">
    <cfRule type="expression" dxfId="2" priority="1">
      <formula>COLUMN()=CELL("column")</formula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D8"/>
  <sheetViews>
    <sheetView workbookViewId="0">
      <selection activeCell="E10" sqref="E10"/>
    </sheetView>
  </sheetViews>
  <sheetFormatPr defaultRowHeight="15" x14ac:dyDescent="0.25"/>
  <cols>
    <col min="1" max="4" width="25" customWidth="1"/>
  </cols>
  <sheetData>
    <row r="1" spans="1:4" x14ac:dyDescent="0.25">
      <c r="A1" s="8" t="s">
        <v>71</v>
      </c>
      <c r="B1" s="8" t="s">
        <v>72</v>
      </c>
      <c r="C1" s="8" t="s">
        <v>73</v>
      </c>
      <c r="D1" s="8" t="s">
        <v>74</v>
      </c>
    </row>
    <row r="2" spans="1:4" x14ac:dyDescent="0.25">
      <c r="A2" s="9" t="s">
        <v>15</v>
      </c>
      <c r="B2" s="9">
        <f>COUNTIF(ProductionData[Downtime_Reason],$A2)</f>
        <v>56</v>
      </c>
      <c r="C2" s="9">
        <f>SUMIF(ProductionData[Downtime_Reason],$A2,ProductionData[Downtime_hr])</f>
        <v>238.48000000000002</v>
      </c>
      <c r="D2" s="10">
        <f>Table5[[#This Row],[Total Hours]]/SUM(Table5[Total Hours])</f>
        <v>0.34514798465880309</v>
      </c>
    </row>
    <row r="3" spans="1:4" x14ac:dyDescent="0.25">
      <c r="A3" s="9" t="s">
        <v>20</v>
      </c>
      <c r="B3" s="9">
        <f>COUNTIF(ProductionData[Downtime_Reason],$A3)</f>
        <v>42</v>
      </c>
      <c r="C3" s="9">
        <f>SUMIF(ProductionData[Downtime_Reason],$A3,ProductionData[Downtime_hr])</f>
        <v>168.43000000000004</v>
      </c>
      <c r="D3" s="10">
        <f>Table5[[#This Row],[Total Hours]]/SUM(Table5[Total Hours])</f>
        <v>0.2437658296548231</v>
      </c>
    </row>
    <row r="4" spans="1:4" x14ac:dyDescent="0.25">
      <c r="A4" s="9" t="s">
        <v>22</v>
      </c>
      <c r="B4" s="9">
        <f>COUNTIF(ProductionData[Downtime_Reason],$A4)</f>
        <v>34</v>
      </c>
      <c r="C4" s="9">
        <f>SUMIF(ProductionData[Downtime_Reason],$A4,ProductionData[Downtime_hr])</f>
        <v>122.35</v>
      </c>
      <c r="D4" s="10">
        <f>Table5[[#This Row],[Total Hours]]/SUM(Table5[Total Hours])</f>
        <v>0.17707504160937837</v>
      </c>
    </row>
    <row r="5" spans="1:4" x14ac:dyDescent="0.25">
      <c r="A5" s="9" t="s">
        <v>24</v>
      </c>
      <c r="B5" s="9">
        <f>COUNTIF(ProductionData[Downtime_Reason],$A5)</f>
        <v>30</v>
      </c>
      <c r="C5" s="9">
        <f>SUMIF(ProductionData[Downtime_Reason],$A5,ProductionData[Downtime_hr])</f>
        <v>76.66</v>
      </c>
      <c r="D5" s="10">
        <f>Table5[[#This Row],[Total Hours]]/SUM(Table5[Total Hours])</f>
        <v>0.11094869382733916</v>
      </c>
    </row>
    <row r="6" spans="1:4" x14ac:dyDescent="0.25">
      <c r="A6" s="9" t="s">
        <v>21</v>
      </c>
      <c r="B6" s="9">
        <f>COUNTIF(ProductionData[Downtime_Reason],$A6)</f>
        <v>31</v>
      </c>
      <c r="C6" s="9">
        <f>SUMIF(ProductionData[Downtime_Reason],$A6,ProductionData[Downtime_hr])</f>
        <v>64.86999999999999</v>
      </c>
      <c r="D6" s="10">
        <f>Table5[[#This Row],[Total Hours]]/SUM(Table5[Total Hours])</f>
        <v>9.3885230479774207E-2</v>
      </c>
    </row>
    <row r="7" spans="1:4" x14ac:dyDescent="0.25">
      <c r="A7" s="32" t="s">
        <v>23</v>
      </c>
      <c r="B7" s="32">
        <f>COUNTIF(ProductionData[Downtime_Reason],$A7)</f>
        <v>77</v>
      </c>
      <c r="C7" s="9">
        <f>SUMIF(ProductionData[Downtime_Reason],$A7,ProductionData[Downtime_hr])</f>
        <v>20.159999999999993</v>
      </c>
      <c r="D7" s="10">
        <f>Table5[[#This Row],[Total Hours]]/SUM(Table5[Total Hours])</f>
        <v>2.9177219769882034E-2</v>
      </c>
    </row>
    <row r="8" spans="1:4" x14ac:dyDescent="0.25">
      <c r="A8" s="32" t="s">
        <v>93</v>
      </c>
      <c r="B8" s="32">
        <f>SUBTOTAL(109,Table5[Occurrences])</f>
        <v>270</v>
      </c>
      <c r="C8" s="32">
        <f>SUBTOTAL(109,Table5[Total Hours])</f>
        <v>690.95</v>
      </c>
      <c r="D8" s="50">
        <f>SUBTOTAL(101,Table5[% of Downtime])</f>
        <v>0.16666666666666666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N34"/>
  <sheetViews>
    <sheetView showGridLines="0" showRowColHeaders="0" tabSelected="1" zoomScale="99" zoomScaleNormal="99" workbookViewId="0">
      <pane xSplit="3" ySplit="7" topLeftCell="D11" activePane="bottomRight" state="frozen"/>
      <selection pane="topRight" activeCell="D1" sqref="D1"/>
      <selection pane="bottomLeft" activeCell="A8" sqref="A8"/>
      <selection pane="bottomRight" activeCell="J25" sqref="J25"/>
    </sheetView>
  </sheetViews>
  <sheetFormatPr defaultColWidth="8.28515625" defaultRowHeight="15" x14ac:dyDescent="0.25"/>
  <cols>
    <col min="1" max="1" width="16.7109375" customWidth="1"/>
    <col min="2" max="7" width="15.7109375" customWidth="1"/>
    <col min="8" max="8" width="19" customWidth="1"/>
    <col min="9" max="12" width="15.7109375" customWidth="1"/>
  </cols>
  <sheetData>
    <row r="1" spans="1:14" ht="27" thickBot="1" x14ac:dyDescent="0.3">
      <c r="A1" s="69" t="s">
        <v>75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</row>
    <row r="2" spans="1:14" x14ac:dyDescent="0.25">
      <c r="A2" s="55" t="s">
        <v>53</v>
      </c>
      <c r="B2" s="64" t="s">
        <v>54</v>
      </c>
      <c r="C2" s="55" t="s">
        <v>55</v>
      </c>
      <c r="D2" s="55" t="s">
        <v>56</v>
      </c>
      <c r="E2" s="55" t="s">
        <v>57</v>
      </c>
      <c r="F2" s="55" t="s">
        <v>58</v>
      </c>
      <c r="G2" s="55" t="s">
        <v>59</v>
      </c>
      <c r="H2" s="55" t="s">
        <v>60</v>
      </c>
      <c r="I2" s="55" t="s">
        <v>61</v>
      </c>
      <c r="J2" s="55" t="s">
        <v>62</v>
      </c>
      <c r="K2" s="55" t="s">
        <v>63</v>
      </c>
      <c r="L2" s="55" t="s">
        <v>64</v>
      </c>
    </row>
    <row r="3" spans="1:14" ht="15.75" thickBot="1" x14ac:dyDescent="0.3">
      <c r="A3" s="67"/>
      <c r="B3" s="65"/>
      <c r="C3" s="57"/>
      <c r="D3" s="57"/>
      <c r="E3" s="57"/>
      <c r="F3" s="57"/>
      <c r="G3" s="57"/>
      <c r="H3" s="57"/>
      <c r="I3" s="57"/>
      <c r="J3" s="57"/>
      <c r="K3" s="57"/>
      <c r="L3" s="56"/>
    </row>
    <row r="4" spans="1:14" x14ac:dyDescent="0.25">
      <c r="A4" s="68">
        <f>SUM(ProductionData[Target_Production_t])</f>
        <v>291819</v>
      </c>
      <c r="B4" s="66">
        <f>SUM(ProductionData[Actual_Production_t])</f>
        <v>253215.9</v>
      </c>
      <c r="C4" s="59">
        <f>AVERAGE(ProductionData[Achievement%])</f>
        <v>0.86812274347843266</v>
      </c>
      <c r="D4" s="58">
        <f>SUM(ProductionData[Downtime_hr])</f>
        <v>690.9499999999997</v>
      </c>
      <c r="E4" s="58">
        <f>D4/COUNT(ProductionData[Record_ID])</f>
        <v>2.5590740740740729</v>
      </c>
      <c r="F4" s="58">
        <f>SUM(ProductionData[Raw_Material_t])</f>
        <v>385761.3</v>
      </c>
      <c r="G4" s="60">
        <f>F4/B4</f>
        <v>1.5234481720934585</v>
      </c>
      <c r="H4" s="58">
        <f>SUM(ProductionData[Energy_kWh])</f>
        <v>20727162.70000001</v>
      </c>
      <c r="I4" s="58">
        <f>H4/B4</f>
        <v>81.855691921399924</v>
      </c>
      <c r="J4" s="58">
        <f>SUM(ProductionData[Defects_t])</f>
        <v>739</v>
      </c>
      <c r="K4" s="62">
        <f>J4/B4</f>
        <v>2.9184581221005476E-3</v>
      </c>
      <c r="L4" s="52">
        <f>AVERAGE(ProductionData[Operators])</f>
        <v>9.674074074074074</v>
      </c>
    </row>
    <row r="5" spans="1:14" ht="15.75" thickBot="1" x14ac:dyDescent="0.3">
      <c r="A5" s="53"/>
      <c r="B5" s="51"/>
      <c r="C5" s="54"/>
      <c r="D5" s="53"/>
      <c r="E5" s="53"/>
      <c r="F5" s="53"/>
      <c r="G5" s="61"/>
      <c r="H5" s="53"/>
      <c r="I5" s="53"/>
      <c r="J5" s="53"/>
      <c r="K5" s="63"/>
      <c r="L5" s="53"/>
    </row>
    <row r="6" spans="1:14" ht="33" customHeight="1" x14ac:dyDescent="0.25">
      <c r="A6" s="71" t="s">
        <v>76</v>
      </c>
      <c r="B6" s="7"/>
      <c r="D6" s="7"/>
      <c r="E6" s="71" t="s">
        <v>77</v>
      </c>
      <c r="I6" s="71" t="s">
        <v>68</v>
      </c>
      <c r="L6" s="71" t="s">
        <v>78</v>
      </c>
    </row>
    <row r="7" spans="1:14" ht="21.75" thickBot="1" x14ac:dyDescent="0.3">
      <c r="A7" s="70">
        <f>KPI_Calculations!B4</f>
        <v>253215.9</v>
      </c>
      <c r="B7" s="7"/>
      <c r="D7" s="7"/>
      <c r="E7" s="72">
        <f>KPI_Calculations!B5</f>
        <v>0.86812274347843266</v>
      </c>
      <c r="I7" s="70">
        <f>KPI_Calculations!B6</f>
        <v>690.9499999999997</v>
      </c>
      <c r="L7" s="70">
        <f>KPI_Calculations!B11</f>
        <v>81.855691921399924</v>
      </c>
    </row>
    <row r="8" spans="1:14" ht="21" x14ac:dyDescent="0.25">
      <c r="E8" s="73"/>
      <c r="F8" s="75" t="s">
        <v>79</v>
      </c>
      <c r="G8" s="75"/>
      <c r="H8" s="75"/>
      <c r="M8" s="77"/>
      <c r="N8" s="77"/>
    </row>
    <row r="9" spans="1:14" ht="20.25" customHeight="1" x14ac:dyDescent="0.25">
      <c r="A9" s="76" t="s">
        <v>83</v>
      </c>
      <c r="B9" s="76"/>
      <c r="C9" s="76"/>
      <c r="D9" s="76"/>
      <c r="E9" s="73"/>
      <c r="J9" s="79" t="s">
        <v>84</v>
      </c>
      <c r="K9" s="79"/>
      <c r="L9" s="79"/>
      <c r="M9" s="77"/>
      <c r="N9" s="78"/>
    </row>
    <row r="10" spans="1:14" ht="21" x14ac:dyDescent="0.25">
      <c r="A10" s="73"/>
      <c r="B10" s="13"/>
      <c r="C10" s="74"/>
      <c r="D10" s="13"/>
      <c r="E10" s="73"/>
      <c r="M10" s="78"/>
      <c r="N10" s="78"/>
    </row>
    <row r="11" spans="1:14" ht="19.5" customHeight="1" x14ac:dyDescent="0.25">
      <c r="A11" s="76" t="s">
        <v>81</v>
      </c>
      <c r="B11" s="76"/>
      <c r="C11" s="76"/>
      <c r="D11" s="76"/>
      <c r="E11" s="76" t="s">
        <v>80</v>
      </c>
      <c r="F11" s="76"/>
      <c r="G11" s="76"/>
      <c r="H11" s="76"/>
      <c r="I11" s="76" t="s">
        <v>82</v>
      </c>
      <c r="J11" s="76"/>
      <c r="K11" s="76"/>
      <c r="L11" s="76"/>
      <c r="M11" s="77"/>
      <c r="N11" s="78"/>
    </row>
    <row r="12" spans="1:14" ht="15" customHeight="1" x14ac:dyDescent="0.25">
      <c r="A12" s="7"/>
      <c r="B12" s="7"/>
      <c r="C12" s="7"/>
      <c r="D12" s="7"/>
      <c r="E12" s="7"/>
      <c r="F12" s="7"/>
      <c r="G12" s="7"/>
      <c r="I12" s="77"/>
      <c r="J12" s="77"/>
      <c r="K12" s="77"/>
      <c r="L12" s="77"/>
    </row>
    <row r="13" spans="1:14" x14ac:dyDescent="0.25">
      <c r="A13" s="7"/>
      <c r="B13" s="7"/>
      <c r="C13" s="7"/>
      <c r="D13" s="7"/>
      <c r="E13" s="7"/>
      <c r="F13" s="7"/>
      <c r="G13" s="7"/>
      <c r="I13" s="78"/>
      <c r="J13" s="78"/>
      <c r="K13" s="78"/>
      <c r="L13" s="78"/>
    </row>
    <row r="14" spans="1:14" x14ac:dyDescent="0.25">
      <c r="A14" s="7"/>
      <c r="B14" s="7"/>
      <c r="C14" s="7"/>
      <c r="D14" s="7"/>
      <c r="E14" s="7"/>
      <c r="F14" s="7"/>
      <c r="G14" s="7"/>
    </row>
    <row r="15" spans="1:14" x14ac:dyDescent="0.25">
      <c r="A15" s="7"/>
      <c r="B15" s="7"/>
      <c r="C15" s="7"/>
      <c r="D15" s="7"/>
      <c r="E15" s="7"/>
      <c r="F15" s="7"/>
      <c r="G15" s="7"/>
    </row>
    <row r="16" spans="1:14" x14ac:dyDescent="0.25">
      <c r="A16" s="7"/>
      <c r="B16" s="7"/>
      <c r="C16" s="7"/>
      <c r="D16" s="7"/>
      <c r="E16" s="7"/>
      <c r="F16" s="7"/>
      <c r="G16" s="7"/>
      <c r="H16" s="7"/>
    </row>
    <row r="17" spans="1:8" x14ac:dyDescent="0.25">
      <c r="A17" s="7"/>
      <c r="B17" s="7"/>
      <c r="C17" s="7"/>
      <c r="D17" s="7"/>
      <c r="E17" s="7"/>
      <c r="F17" s="7"/>
      <c r="G17" s="7"/>
      <c r="H17" s="7"/>
    </row>
    <row r="18" spans="1:8" x14ac:dyDescent="0.25">
      <c r="A18" s="7"/>
      <c r="B18" s="7"/>
      <c r="C18" s="7"/>
      <c r="D18" s="7"/>
      <c r="E18" s="7"/>
      <c r="F18" s="7"/>
      <c r="G18" s="7"/>
      <c r="H18" s="7"/>
    </row>
    <row r="19" spans="1:8" x14ac:dyDescent="0.25">
      <c r="A19" s="7"/>
      <c r="B19" s="7"/>
      <c r="C19" s="7"/>
      <c r="D19" s="7"/>
      <c r="E19" s="7"/>
      <c r="F19" s="7"/>
      <c r="G19" s="7"/>
      <c r="H19" s="7"/>
    </row>
    <row r="20" spans="1:8" x14ac:dyDescent="0.25">
      <c r="A20" s="7"/>
      <c r="B20" s="7"/>
      <c r="C20" s="7"/>
      <c r="D20" s="7"/>
      <c r="E20" s="7"/>
      <c r="F20" s="7"/>
      <c r="G20" s="7"/>
      <c r="H20" s="7"/>
    </row>
    <row r="21" spans="1:8" x14ac:dyDescent="0.25">
      <c r="A21" s="7"/>
      <c r="B21" s="7"/>
      <c r="C21" s="7"/>
      <c r="D21" s="7"/>
      <c r="E21" s="7"/>
      <c r="F21" s="7"/>
      <c r="G21" s="7"/>
      <c r="H21" s="7"/>
    </row>
    <row r="22" spans="1:8" x14ac:dyDescent="0.25">
      <c r="A22" s="7"/>
      <c r="B22" s="7"/>
      <c r="C22" s="7"/>
      <c r="D22" s="7"/>
      <c r="E22" s="7"/>
      <c r="F22" s="7"/>
      <c r="G22" s="7"/>
      <c r="H22" s="7"/>
    </row>
    <row r="23" spans="1:8" x14ac:dyDescent="0.25">
      <c r="A23" s="7"/>
      <c r="B23" s="7"/>
      <c r="C23" s="7"/>
      <c r="D23" s="7"/>
      <c r="E23" s="7"/>
      <c r="F23" s="7"/>
      <c r="G23" s="7"/>
      <c r="H23" s="7"/>
    </row>
    <row r="24" spans="1:8" x14ac:dyDescent="0.25">
      <c r="A24" s="7"/>
      <c r="B24" s="7"/>
      <c r="C24" s="7"/>
      <c r="D24" s="7"/>
      <c r="E24" s="7"/>
      <c r="F24" s="7"/>
      <c r="G24" s="7"/>
      <c r="H24" s="7"/>
    </row>
    <row r="25" spans="1:8" x14ac:dyDescent="0.25">
      <c r="A25" s="7"/>
      <c r="B25" s="7"/>
      <c r="C25" s="7"/>
      <c r="D25" s="7"/>
      <c r="E25" s="7"/>
      <c r="F25" s="7"/>
      <c r="G25" s="7"/>
      <c r="H25" s="7"/>
    </row>
    <row r="26" spans="1:8" x14ac:dyDescent="0.25">
      <c r="A26" s="7"/>
      <c r="B26" s="7"/>
      <c r="C26" s="7"/>
      <c r="D26" s="7"/>
      <c r="E26" s="7"/>
      <c r="F26" s="7"/>
      <c r="G26" s="7"/>
      <c r="H26" s="7"/>
    </row>
    <row r="27" spans="1:8" x14ac:dyDescent="0.25">
      <c r="A27" s="7"/>
      <c r="B27" s="7"/>
      <c r="C27" s="7"/>
      <c r="D27" s="7"/>
      <c r="E27" s="7"/>
      <c r="F27" s="7"/>
      <c r="G27" s="7"/>
      <c r="H27" s="7"/>
    </row>
    <row r="28" spans="1:8" x14ac:dyDescent="0.25">
      <c r="A28" s="7"/>
      <c r="B28" s="7"/>
      <c r="C28" s="7"/>
      <c r="D28" s="7"/>
      <c r="E28" s="7"/>
      <c r="F28" s="7"/>
      <c r="G28" s="7"/>
      <c r="H28" s="7"/>
    </row>
    <row r="29" spans="1:8" x14ac:dyDescent="0.25">
      <c r="A29" s="7"/>
      <c r="B29" s="7"/>
      <c r="C29" s="7"/>
      <c r="D29" s="7"/>
      <c r="E29" s="7"/>
      <c r="G29" s="7"/>
      <c r="H29" s="7"/>
    </row>
    <row r="30" spans="1:8" x14ac:dyDescent="0.25">
      <c r="A30" s="7"/>
      <c r="B30" s="7"/>
      <c r="C30" s="7"/>
      <c r="D30" s="7"/>
      <c r="E30" s="7"/>
      <c r="G30" s="7"/>
      <c r="H30" s="7"/>
    </row>
    <row r="31" spans="1:8" x14ac:dyDescent="0.25">
      <c r="A31" s="7"/>
      <c r="B31" s="7"/>
      <c r="C31" s="7"/>
      <c r="D31" s="7"/>
      <c r="E31" s="7"/>
      <c r="G31" s="7"/>
      <c r="H31" s="7"/>
    </row>
    <row r="32" spans="1:8" x14ac:dyDescent="0.25">
      <c r="A32" s="7"/>
      <c r="B32" s="7"/>
      <c r="C32" s="7"/>
      <c r="D32" s="7"/>
      <c r="E32" s="7"/>
      <c r="G32" s="7"/>
      <c r="H32" s="7"/>
    </row>
    <row r="33" spans="1:8" x14ac:dyDescent="0.25">
      <c r="A33" s="7"/>
      <c r="B33" s="7"/>
      <c r="C33" s="7"/>
      <c r="D33" s="7"/>
      <c r="E33" s="7"/>
      <c r="G33" s="7"/>
      <c r="H33" s="7"/>
    </row>
    <row r="34" spans="1:8" x14ac:dyDescent="0.25">
      <c r="A34" s="7"/>
      <c r="B34" s="7"/>
      <c r="C34" s="7"/>
      <c r="D34" s="7"/>
      <c r="E34" s="7"/>
      <c r="G34" s="7"/>
      <c r="H34" s="7"/>
    </row>
  </sheetData>
  <dataConsolidate/>
  <mergeCells count="31">
    <mergeCell ref="F8:H8"/>
    <mergeCell ref="E11:H11"/>
    <mergeCell ref="A11:D11"/>
    <mergeCell ref="A9:D9"/>
    <mergeCell ref="J9:L9"/>
    <mergeCell ref="I11:L11"/>
    <mergeCell ref="I4:I5"/>
    <mergeCell ref="J4:J5"/>
    <mergeCell ref="K4:K5"/>
    <mergeCell ref="L4:L5"/>
    <mergeCell ref="A2:A3"/>
    <mergeCell ref="B2:B3"/>
    <mergeCell ref="C2:C3"/>
    <mergeCell ref="D2:D3"/>
    <mergeCell ref="L2:L3"/>
    <mergeCell ref="K2:K3"/>
    <mergeCell ref="J2:J3"/>
    <mergeCell ref="I2:I3"/>
    <mergeCell ref="H2:H3"/>
    <mergeCell ref="G2:G3"/>
    <mergeCell ref="F2:F3"/>
    <mergeCell ref="E2:E3"/>
    <mergeCell ref="A4:A5"/>
    <mergeCell ref="B4:B5"/>
    <mergeCell ref="C4:C5"/>
    <mergeCell ref="D4:D5"/>
    <mergeCell ref="E4:E5"/>
    <mergeCell ref="F4:F5"/>
    <mergeCell ref="G4:G5"/>
    <mergeCell ref="H4:H5"/>
    <mergeCell ref="A1:L1"/>
  </mergeCells>
  <conditionalFormatting sqref="A2:L2 A4:L4">
    <cfRule type="expression" dxfId="0" priority="1">
      <formula>ROW()=CELL("row")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Project_Instructions</vt:lpstr>
      <vt:lpstr>Raw_Data</vt:lpstr>
      <vt:lpstr>KPI_Calculations</vt:lpstr>
      <vt:lpstr>Shift_Analysis</vt:lpstr>
      <vt:lpstr>Product_Analysis</vt:lpstr>
      <vt:lpstr>Downtime_Analysis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Omer Ibrahim</cp:lastModifiedBy>
  <dcterms:created xsi:type="dcterms:W3CDTF">2026-09-27T09:48:17Z</dcterms:created>
  <dcterms:modified xsi:type="dcterms:W3CDTF">2026-09-28T16:36:56Z</dcterms:modified>
</cp:coreProperties>
</file>