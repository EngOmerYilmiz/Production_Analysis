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ta" sheetId="1" state="visible" r:id="rId1"/>
    <sheet xmlns:r="http://schemas.openxmlformats.org/officeDocument/2006/relationships" name="Maintenance_Log" sheetId="2" state="visible" r:id="rId2"/>
    <sheet xmlns:r="http://schemas.openxmlformats.org/officeDocument/2006/relationships" name="Project_Instructions" sheetId="3" state="visible" r:id="rId3"/>
    <sheet xmlns:r="http://schemas.openxmlformats.org/officeDocument/2006/relationships" name="KPI_Calculations" sheetId="4" state="visible" r:id="rId4"/>
    <sheet xmlns:r="http://schemas.openxmlformats.org/officeDocument/2006/relationships" name="Shift_Analysis" sheetId="5" state="visible" r:id="rId5"/>
    <sheet xmlns:r="http://schemas.openxmlformats.org/officeDocument/2006/relationships" name="Line_Analysis" sheetId="6" state="visible" r:id="rId6"/>
    <sheet xmlns:r="http://schemas.openxmlformats.org/officeDocument/2006/relationships" name="Product_Analysis" sheetId="7" state="visible" r:id="rId7"/>
    <sheet xmlns:r="http://schemas.openxmlformats.org/officeDocument/2006/relationships" name="Maintenance_Analysis" sheetId="8" state="visible" r:id="rId8"/>
    <sheet xmlns:r="http://schemas.openxmlformats.org/officeDocument/2006/relationships" name="Downtime_Analysis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20"/>
    </font>
    <font>
      <b val="1"/>
      <sz val="11"/>
    </font>
    <font>
      <b val="1"/>
      <sz val="16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OEE by Production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'Line_Analysis'!D1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'Line_Analysis'!$A$2:$A$3</f>
            </numRef>
          </cat>
          <val>
            <numRef>
              <f>'Line_Analysis'!$D$2:$D$3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OEE by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'Shift_Analysis'!D1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'Shift_Analysis'!$A$2:$A$4</f>
            </numRef>
          </cat>
          <val>
            <numRef>
              <f>'Shift_Analysis'!$D$2:$D$4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Maintenance Downtime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'Maintenance_Analysis'!C1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'Maintenance_Analysis'!$A$2:$A$4</f>
            </numRef>
          </cat>
          <val>
            <numRef>
              <f>'Maintenance_Analysis'!$C$2:$C$4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Downtime by Reason</a:t>
            </a:r>
          </a:p>
        </rich>
      </tx>
    </title>
    <plotArea>
      <pieChart>
        <varyColors val="1"/>
        <ser>
          <idx val="0"/>
          <order val="0"/>
          <tx>
            <strRef>
              <f>'Downtime_Analysis'!C1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'Downtime_Analysis'!$A$2:$A$8</f>
            </numRef>
          </cat>
          <val>
            <numRef>
              <f>'Downtime_Analysis'!$C$2:$C$8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6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oodProduction" displayName="FoodProduction" ref="A4:AA364" headerRowCount="1">
  <autoFilter ref="A4:AA364"/>
  <tableColumns count="27">
    <tableColumn id="1" name="Record_ID"/>
    <tableColumn id="2" name="Date"/>
    <tableColumn id="3" name="Shift"/>
    <tableColumn id="4" name="Line"/>
    <tableColumn id="5" name="Product"/>
    <tableColumn id="6" name="Target_kg"/>
    <tableColumn id="7" name="Actual_kg"/>
    <tableColumn id="8" name="Good_Product_kg"/>
    <tableColumn id="9" name="Reject_kg"/>
    <tableColumn id="10" name="Downtime_hr"/>
    <tableColumn id="11" name="Downtime_Reason"/>
    <tableColumn id="12" name="Maintenance_Type"/>
    <tableColumn id="13" name="Raw_Potato_kg"/>
    <tableColumn id="14" name="Oil_kg"/>
    <tableColumn id="15" name="Energy_kWh"/>
    <tableColumn id="16" name="Fryer_Temp_C"/>
    <tableColumn id="17" name="Moisture_%"/>
    <tableColumn id="18" name="Maintenance_Cost_USD"/>
    <tableColumn id="19" name="Achievement_%"/>
    <tableColumn id="20" name="Availability_%"/>
    <tableColumn id="21" name="Performance_%"/>
    <tableColumn id="22" name="Quality_%"/>
    <tableColumn id="23" name="OEE_%"/>
    <tableColumn id="24" name="Reject_Rate_%"/>
    <tableColumn id="25" name="Material_Yield_%"/>
    <tableColumn id="26" name="Energy_per_kg"/>
    <tableColumn id="27" name="Maintenance_Status"/>
  </tableColumns>
  <tableStyleInfo name="TableStyleMedium2" showRowStripes="1"/>
</table>
</file>

<file path=xl/tables/table2.xml><?xml version="1.0" encoding="utf-8"?>
<table xmlns="http://schemas.openxmlformats.org/spreadsheetml/2006/main" id="2" name="MaintenanceLog" displayName="MaintenanceLog" ref="A3:K219" headerRowCount="1">
  <autoFilter ref="A3:K219"/>
  <tableColumns count="11">
    <tableColumn id="1" name="Event_ID"/>
    <tableColumn id="2" name="Date"/>
    <tableColumn id="3" name="Shift"/>
    <tableColumn id="4" name="Line"/>
    <tableColumn id="5" name="Product"/>
    <tableColumn id="6" name="Maintenance_Type"/>
    <tableColumn id="7" name="Failure_or_Task"/>
    <tableColumn id="8" name="Downtime_hr"/>
    <tableColumn id="9" name="Technician_Hours"/>
    <tableColumn id="10" name="Maintenance_Cost_USD"/>
    <tableColumn id="11" name="Statu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FOOD MANUFACTURING — PRODUCTION &amp; MAINTENANCE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" t="inlineStr">
        <is>
          <t>Potato Chips Manufacturing | 120 Days | 360 Production Records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3" t="inlineStr">
        <is>
          <t>Record_ID</t>
        </is>
      </c>
      <c r="B4" s="3" t="inlineStr">
        <is>
          <t>Date</t>
        </is>
      </c>
      <c r="C4" s="3" t="inlineStr">
        <is>
          <t>Shift</t>
        </is>
      </c>
      <c r="D4" s="3" t="inlineStr">
        <is>
          <t>Line</t>
        </is>
      </c>
      <c r="E4" s="3" t="inlineStr">
        <is>
          <t>Product</t>
        </is>
      </c>
      <c r="F4" s="3" t="inlineStr">
        <is>
          <t>Target_kg</t>
        </is>
      </c>
      <c r="G4" s="3" t="inlineStr">
        <is>
          <t>Actual_kg</t>
        </is>
      </c>
      <c r="H4" s="3" t="inlineStr">
        <is>
          <t>Good_Product_kg</t>
        </is>
      </c>
      <c r="I4" s="3" t="inlineStr">
        <is>
          <t>Reject_kg</t>
        </is>
      </c>
      <c r="J4" s="3" t="inlineStr">
        <is>
          <t>Downtime_hr</t>
        </is>
      </c>
      <c r="K4" s="3" t="inlineStr">
        <is>
          <t>Downtime_Reason</t>
        </is>
      </c>
      <c r="L4" s="3" t="inlineStr">
        <is>
          <t>Maintenance_Type</t>
        </is>
      </c>
      <c r="M4" s="3" t="inlineStr">
        <is>
          <t>Raw_Potato_kg</t>
        </is>
      </c>
      <c r="N4" s="3" t="inlineStr">
        <is>
          <t>Oil_kg</t>
        </is>
      </c>
      <c r="O4" s="3" t="inlineStr">
        <is>
          <t>Energy_kWh</t>
        </is>
      </c>
      <c r="P4" s="3" t="inlineStr">
        <is>
          <t>Fryer_Temp_C</t>
        </is>
      </c>
      <c r="Q4" s="3" t="inlineStr">
        <is>
          <t>Moisture_%</t>
        </is>
      </c>
      <c r="R4" s="3" t="inlineStr">
        <is>
          <t>Maintenance_Cost_USD</t>
        </is>
      </c>
      <c r="S4" s="3" t="inlineStr">
        <is>
          <t>Achievement_%</t>
        </is>
      </c>
      <c r="T4" s="3" t="inlineStr">
        <is>
          <t>Availability_%</t>
        </is>
      </c>
      <c r="U4" s="3" t="inlineStr">
        <is>
          <t>Performance_%</t>
        </is>
      </c>
      <c r="V4" s="3" t="inlineStr">
        <is>
          <t>Quality_%</t>
        </is>
      </c>
      <c r="W4" s="3" t="inlineStr">
        <is>
          <t>OEE_%</t>
        </is>
      </c>
      <c r="X4" s="3" t="inlineStr">
        <is>
          <t>Reject_Rate_%</t>
        </is>
      </c>
      <c r="Y4" s="3" t="inlineStr">
        <is>
          <t>Material_Yield_%</t>
        </is>
      </c>
      <c r="Z4" s="3" t="inlineStr">
        <is>
          <t>Energy_per_kg</t>
        </is>
      </c>
      <c r="AA4" s="3" t="inlineStr">
        <is>
          <t>Maintenance_Status</t>
        </is>
      </c>
    </row>
    <row r="5">
      <c r="A5" s="2" t="n">
        <v>1</v>
      </c>
      <c r="B5" s="4" t="n">
        <v>46023</v>
      </c>
      <c r="C5" s="2" t="inlineStr">
        <is>
          <t>Day</t>
        </is>
      </c>
      <c r="D5" s="2" t="inlineStr">
        <is>
          <t>Line 2</t>
        </is>
      </c>
      <c r="E5" s="2" t="inlineStr">
        <is>
          <t>Classic Chips</t>
        </is>
      </c>
      <c r="F5" s="2" t="n">
        <v>1034</v>
      </c>
      <c r="G5" s="2" t="n">
        <v>965.8</v>
      </c>
      <c r="H5" s="2" t="n">
        <v>958</v>
      </c>
      <c r="I5" s="2" t="n">
        <v>7.9</v>
      </c>
      <c r="J5" s="2" t="n">
        <v>0.03</v>
      </c>
      <c r="K5" s="2" t="inlineStr">
        <is>
          <t>No Downtime</t>
        </is>
      </c>
      <c r="L5" s="2" t="inlineStr">
        <is>
          <t>None</t>
        </is>
      </c>
      <c r="M5" s="2" t="n">
        <v>2025</v>
      </c>
      <c r="N5" s="2" t="n">
        <v>341.9</v>
      </c>
      <c r="O5" s="2" t="n">
        <v>113318</v>
      </c>
      <c r="P5" s="2" t="n">
        <v>176.6</v>
      </c>
      <c r="Q5" s="2" t="n">
        <v>1.73</v>
      </c>
      <c r="R5" s="2" t="n">
        <v>0</v>
      </c>
      <c r="S5" s="5">
        <f>G5/F5</f>
        <v/>
      </c>
      <c r="T5" s="5">
        <f>MAX(0,1-J5/8)</f>
        <v/>
      </c>
      <c r="U5" s="5">
        <f>IFERROR(G5/(F5*T5),0)</f>
        <v/>
      </c>
      <c r="V5" s="5">
        <f>IFERROR(H5/G5,0)</f>
        <v/>
      </c>
      <c r="W5" s="5">
        <f>T5*U5*V5</f>
        <v/>
      </c>
      <c r="X5" s="5">
        <f>IFERROR(I5/G5,0)</f>
        <v/>
      </c>
      <c r="Y5" s="6">
        <f>IFERROR(G5/M5,0)</f>
        <v/>
      </c>
      <c r="Z5" s="6">
        <f>IFERROR(O5/G5,0)</f>
        <v/>
      </c>
      <c r="AA5" s="2">
        <f>IF(L5="None","No Maintenance",IF(L5="Preventive","Planned","Breakdown"))</f>
        <v/>
      </c>
    </row>
    <row r="6">
      <c r="A6" s="2" t="n">
        <v>2</v>
      </c>
      <c r="B6" s="4" t="n">
        <v>46023</v>
      </c>
      <c r="C6" s="2" t="inlineStr">
        <is>
          <t>Evening</t>
        </is>
      </c>
      <c r="D6" s="2" t="inlineStr">
        <is>
          <t>Line 1</t>
        </is>
      </c>
      <c r="E6" s="2" t="inlineStr">
        <is>
          <t>Classic Chips</t>
        </is>
      </c>
      <c r="F6" s="2" t="n">
        <v>932</v>
      </c>
      <c r="G6" s="2" t="n">
        <v>837.8</v>
      </c>
      <c r="H6" s="2" t="n">
        <v>836.2</v>
      </c>
      <c r="I6" s="2" t="n">
        <v>1.7</v>
      </c>
      <c r="J6" s="2" t="n">
        <v>0</v>
      </c>
      <c r="K6" s="2" t="inlineStr">
        <is>
          <t>No Downtime</t>
        </is>
      </c>
      <c r="L6" s="2" t="inlineStr">
        <is>
          <t>None</t>
        </is>
      </c>
      <c r="M6" s="2" t="n">
        <v>1634.2</v>
      </c>
      <c r="N6" s="2" t="n">
        <v>266.3</v>
      </c>
      <c r="O6" s="2" t="n">
        <v>97290.60000000001</v>
      </c>
      <c r="P6" s="2" t="n">
        <v>171.5</v>
      </c>
      <c r="Q6" s="2" t="n">
        <v>1.56</v>
      </c>
      <c r="R6" s="2" t="n">
        <v>0</v>
      </c>
      <c r="S6" s="5">
        <f>G6/F6</f>
        <v/>
      </c>
      <c r="T6" s="5">
        <f>MAX(0,1-J6/8)</f>
        <v/>
      </c>
      <c r="U6" s="5">
        <f>IFERROR(G6/(F6*T6),0)</f>
        <v/>
      </c>
      <c r="V6" s="5">
        <f>IFERROR(H6/G6,0)</f>
        <v/>
      </c>
      <c r="W6" s="5">
        <f>T6*U6*V6</f>
        <v/>
      </c>
      <c r="X6" s="5">
        <f>IFERROR(I6/G6,0)</f>
        <v/>
      </c>
      <c r="Y6" s="6">
        <f>IFERROR(G6/M6,0)</f>
        <v/>
      </c>
      <c r="Z6" s="6">
        <f>IFERROR(O6/G6,0)</f>
        <v/>
      </c>
      <c r="AA6" s="2">
        <f>IF(L6="None","No Maintenance",IF(L6="Preventive","Planned","Breakdown"))</f>
        <v/>
      </c>
    </row>
    <row r="7">
      <c r="A7" s="2" t="n">
        <v>3</v>
      </c>
      <c r="B7" s="4" t="n">
        <v>46023</v>
      </c>
      <c r="C7" s="2" t="inlineStr">
        <is>
          <t>Night</t>
        </is>
      </c>
      <c r="D7" s="2" t="inlineStr">
        <is>
          <t>Line 2</t>
        </is>
      </c>
      <c r="E7" s="2" t="inlineStr">
        <is>
          <t>Classic Chips</t>
        </is>
      </c>
      <c r="F7" s="2" t="n">
        <v>927</v>
      </c>
      <c r="G7" s="2" t="n">
        <v>681.2</v>
      </c>
      <c r="H7" s="2" t="n">
        <v>676.2</v>
      </c>
      <c r="I7" s="2" t="n">
        <v>5</v>
      </c>
      <c r="J7" s="2" t="n">
        <v>1.08</v>
      </c>
      <c r="K7" s="2" t="inlineStr">
        <is>
          <t>Electrical Fault</t>
        </is>
      </c>
      <c r="L7" s="2" t="inlineStr">
        <is>
          <t>Corrective</t>
        </is>
      </c>
      <c r="M7" s="2" t="n">
        <v>1391</v>
      </c>
      <c r="N7" s="2" t="n">
        <v>211.2</v>
      </c>
      <c r="O7" s="2" t="n">
        <v>86027.89999999999</v>
      </c>
      <c r="P7" s="2" t="n">
        <v>178.8</v>
      </c>
      <c r="Q7" s="2" t="n">
        <v>1.6</v>
      </c>
      <c r="R7" s="2" t="n">
        <v>575.92</v>
      </c>
      <c r="S7" s="5">
        <f>G7/F7</f>
        <v/>
      </c>
      <c r="T7" s="5">
        <f>MAX(0,1-J7/8)</f>
        <v/>
      </c>
      <c r="U7" s="5">
        <f>IFERROR(G7/(F7*T7),0)</f>
        <v/>
      </c>
      <c r="V7" s="5">
        <f>IFERROR(H7/G7,0)</f>
        <v/>
      </c>
      <c r="W7" s="5">
        <f>T7*U7*V7</f>
        <v/>
      </c>
      <c r="X7" s="5">
        <f>IFERROR(I7/G7,0)</f>
        <v/>
      </c>
      <c r="Y7" s="6">
        <f>IFERROR(G7/M7,0)</f>
        <v/>
      </c>
      <c r="Z7" s="6">
        <f>IFERROR(O7/G7,0)</f>
        <v/>
      </c>
      <c r="AA7" s="2">
        <f>IF(L7="None","No Maintenance",IF(L7="Preventive","Planned","Breakdown"))</f>
        <v/>
      </c>
    </row>
    <row r="8">
      <c r="A8" s="2" t="n">
        <v>4</v>
      </c>
      <c r="B8" s="4" t="n">
        <v>46024</v>
      </c>
      <c r="C8" s="2" t="inlineStr">
        <is>
          <t>Day</t>
        </is>
      </c>
      <c r="D8" s="2" t="inlineStr">
        <is>
          <t>Line 2</t>
        </is>
      </c>
      <c r="E8" s="2" t="inlineStr">
        <is>
          <t>Paprika Chips</t>
        </is>
      </c>
      <c r="F8" s="2" t="n">
        <v>1035</v>
      </c>
      <c r="G8" s="2" t="n">
        <v>737.2</v>
      </c>
      <c r="H8" s="2" t="n">
        <v>723.6</v>
      </c>
      <c r="I8" s="2" t="n">
        <v>13.6</v>
      </c>
      <c r="J8" s="2" t="n">
        <v>2.03</v>
      </c>
      <c r="K8" s="2" t="inlineStr">
        <is>
          <t>Planned Maintenance</t>
        </is>
      </c>
      <c r="L8" s="2" t="inlineStr">
        <is>
          <t>Preventive</t>
        </is>
      </c>
      <c r="M8" s="2" t="n">
        <v>1494.3</v>
      </c>
      <c r="N8" s="2" t="n">
        <v>244.2</v>
      </c>
      <c r="O8" s="2" t="n">
        <v>84713.10000000001</v>
      </c>
      <c r="P8" s="2" t="n">
        <v>178.3</v>
      </c>
      <c r="Q8" s="2" t="n">
        <v>1.69</v>
      </c>
      <c r="R8" s="2" t="n">
        <v>168.33</v>
      </c>
      <c r="S8" s="5">
        <f>G8/F8</f>
        <v/>
      </c>
      <c r="T8" s="5">
        <f>MAX(0,1-J8/8)</f>
        <v/>
      </c>
      <c r="U8" s="5">
        <f>IFERROR(G8/(F8*T8),0)</f>
        <v/>
      </c>
      <c r="V8" s="5">
        <f>IFERROR(H8/G8,0)</f>
        <v/>
      </c>
      <c r="W8" s="5">
        <f>T8*U8*V8</f>
        <v/>
      </c>
      <c r="X8" s="5">
        <f>IFERROR(I8/G8,0)</f>
        <v/>
      </c>
      <c r="Y8" s="6">
        <f>IFERROR(G8/M8,0)</f>
        <v/>
      </c>
      <c r="Z8" s="6">
        <f>IFERROR(O8/G8,0)</f>
        <v/>
      </c>
      <c r="AA8" s="2">
        <f>IF(L8="None","No Maintenance",IF(L8="Preventive","Planned","Breakdown"))</f>
        <v/>
      </c>
    </row>
    <row r="9">
      <c r="A9" s="2" t="n">
        <v>5</v>
      </c>
      <c r="B9" s="4" t="n">
        <v>46024</v>
      </c>
      <c r="C9" s="2" t="inlineStr">
        <is>
          <t>Evening</t>
        </is>
      </c>
      <c r="D9" s="2" t="inlineStr">
        <is>
          <t>Line 1</t>
        </is>
      </c>
      <c r="E9" s="2" t="inlineStr">
        <is>
          <t>Classic Chips</t>
        </is>
      </c>
      <c r="F9" s="2" t="n">
        <v>962</v>
      </c>
      <c r="G9" s="2" t="n">
        <v>868.2</v>
      </c>
      <c r="H9" s="2" t="n">
        <v>863.1</v>
      </c>
      <c r="I9" s="2" t="n">
        <v>5.1</v>
      </c>
      <c r="J9" s="2" t="n">
        <v>0.15</v>
      </c>
      <c r="K9" s="2" t="inlineStr">
        <is>
          <t>No Downtime</t>
        </is>
      </c>
      <c r="L9" s="2" t="inlineStr">
        <is>
          <t>None</t>
        </is>
      </c>
      <c r="M9" s="2" t="n">
        <v>1784.5</v>
      </c>
      <c r="N9" s="2" t="n">
        <v>277.2</v>
      </c>
      <c r="O9" s="2" t="n">
        <v>112721.2</v>
      </c>
      <c r="P9" s="2" t="n">
        <v>175.7</v>
      </c>
      <c r="Q9" s="2" t="n">
        <v>1.99</v>
      </c>
      <c r="R9" s="2" t="n">
        <v>0</v>
      </c>
      <c r="S9" s="5">
        <f>G9/F9</f>
        <v/>
      </c>
      <c r="T9" s="5">
        <f>MAX(0,1-J9/8)</f>
        <v/>
      </c>
      <c r="U9" s="5">
        <f>IFERROR(G9/(F9*T9),0)</f>
        <v/>
      </c>
      <c r="V9" s="5">
        <f>IFERROR(H9/G9,0)</f>
        <v/>
      </c>
      <c r="W9" s="5">
        <f>T9*U9*V9</f>
        <v/>
      </c>
      <c r="X9" s="5">
        <f>IFERROR(I9/G9,0)</f>
        <v/>
      </c>
      <c r="Y9" s="6">
        <f>IFERROR(G9/M9,0)</f>
        <v/>
      </c>
      <c r="Z9" s="6">
        <f>IFERROR(O9/G9,0)</f>
        <v/>
      </c>
      <c r="AA9" s="2">
        <f>IF(L9="None","No Maintenance",IF(L9="Preventive","Planned","Breakdown"))</f>
        <v/>
      </c>
    </row>
    <row r="10">
      <c r="A10" s="2" t="n">
        <v>6</v>
      </c>
      <c r="B10" s="4" t="n">
        <v>46024</v>
      </c>
      <c r="C10" s="2" t="inlineStr">
        <is>
          <t>Night</t>
        </is>
      </c>
      <c r="D10" s="2" t="inlineStr">
        <is>
          <t>Line 2</t>
        </is>
      </c>
      <c r="E10" s="2" t="inlineStr">
        <is>
          <t>Classic Chips</t>
        </is>
      </c>
      <c r="F10" s="2" t="n">
        <v>1042</v>
      </c>
      <c r="G10" s="2" t="n">
        <v>798.9</v>
      </c>
      <c r="H10" s="2" t="n">
        <v>786.3</v>
      </c>
      <c r="I10" s="2" t="n">
        <v>12.6</v>
      </c>
      <c r="J10" s="2" t="n">
        <v>0.16</v>
      </c>
      <c r="K10" s="2" t="inlineStr">
        <is>
          <t>No Downtime</t>
        </is>
      </c>
      <c r="L10" s="2" t="inlineStr">
        <is>
          <t>None</t>
        </is>
      </c>
      <c r="M10" s="2" t="n">
        <v>1711.3</v>
      </c>
      <c r="N10" s="2" t="n">
        <v>226.1</v>
      </c>
      <c r="O10" s="2" t="n">
        <v>95699.3</v>
      </c>
      <c r="P10" s="2" t="n">
        <v>175.5</v>
      </c>
      <c r="Q10" s="2" t="n">
        <v>1.79</v>
      </c>
      <c r="R10" s="2" t="n">
        <v>0</v>
      </c>
      <c r="S10" s="5">
        <f>G10/F10</f>
        <v/>
      </c>
      <c r="T10" s="5">
        <f>MAX(0,1-J10/8)</f>
        <v/>
      </c>
      <c r="U10" s="5">
        <f>IFERROR(G10/(F10*T10),0)</f>
        <v/>
      </c>
      <c r="V10" s="5">
        <f>IFERROR(H10/G10,0)</f>
        <v/>
      </c>
      <c r="W10" s="5">
        <f>T10*U10*V10</f>
        <v/>
      </c>
      <c r="X10" s="5">
        <f>IFERROR(I10/G10,0)</f>
        <v/>
      </c>
      <c r="Y10" s="6">
        <f>IFERROR(G10/M10,0)</f>
        <v/>
      </c>
      <c r="Z10" s="6">
        <f>IFERROR(O10/G10,0)</f>
        <v/>
      </c>
      <c r="AA10" s="2">
        <f>IF(L10="None","No Maintenance",IF(L10="Preventive","Planned","Breakdown"))</f>
        <v/>
      </c>
    </row>
    <row r="11">
      <c r="A11" s="2" t="n">
        <v>7</v>
      </c>
      <c r="B11" s="4" t="n">
        <v>46025</v>
      </c>
      <c r="C11" s="2" t="inlineStr">
        <is>
          <t>Day</t>
        </is>
      </c>
      <c r="D11" s="2" t="inlineStr">
        <is>
          <t>Line 2</t>
        </is>
      </c>
      <c r="E11" s="2" t="inlineStr">
        <is>
          <t>Paprika Chips</t>
        </is>
      </c>
      <c r="F11" s="2" t="n">
        <v>1023</v>
      </c>
      <c r="G11" s="2" t="n">
        <v>861.3</v>
      </c>
      <c r="H11" s="2" t="n">
        <v>849.6</v>
      </c>
      <c r="I11" s="2" t="n">
        <v>11.8</v>
      </c>
      <c r="J11" s="2" t="n">
        <v>0.99</v>
      </c>
      <c r="K11" s="2" t="inlineStr">
        <is>
          <t>Conveyor Jam</t>
        </is>
      </c>
      <c r="L11" s="2" t="inlineStr">
        <is>
          <t>Corrective</t>
        </is>
      </c>
      <c r="M11" s="2" t="n">
        <v>1714.7</v>
      </c>
      <c r="N11" s="2" t="n">
        <v>284.9</v>
      </c>
      <c r="O11" s="2" t="n">
        <v>110810.1</v>
      </c>
      <c r="P11" s="2" t="n">
        <v>167.7</v>
      </c>
      <c r="Q11" s="2" t="n">
        <v>1.56</v>
      </c>
      <c r="R11" s="2" t="n">
        <v>535.9299999999999</v>
      </c>
      <c r="S11" s="5">
        <f>G11/F11</f>
        <v/>
      </c>
      <c r="T11" s="5">
        <f>MAX(0,1-J11/8)</f>
        <v/>
      </c>
      <c r="U11" s="5">
        <f>IFERROR(G11/(F11*T11),0)</f>
        <v/>
      </c>
      <c r="V11" s="5">
        <f>IFERROR(H11/G11,0)</f>
        <v/>
      </c>
      <c r="W11" s="5">
        <f>T11*U11*V11</f>
        <v/>
      </c>
      <c r="X11" s="5">
        <f>IFERROR(I11/G11,0)</f>
        <v/>
      </c>
      <c r="Y11" s="6">
        <f>IFERROR(G11/M11,0)</f>
        <v/>
      </c>
      <c r="Z11" s="6">
        <f>IFERROR(O11/G11,0)</f>
        <v/>
      </c>
      <c r="AA11" s="2">
        <f>IF(L11="None","No Maintenance",IF(L11="Preventive","Planned","Breakdown"))</f>
        <v/>
      </c>
    </row>
    <row r="12">
      <c r="A12" s="2" t="n">
        <v>8</v>
      </c>
      <c r="B12" s="4" t="n">
        <v>46025</v>
      </c>
      <c r="C12" s="2" t="inlineStr">
        <is>
          <t>Evening</t>
        </is>
      </c>
      <c r="D12" s="2" t="inlineStr">
        <is>
          <t>Line 2</t>
        </is>
      </c>
      <c r="E12" s="2" t="inlineStr">
        <is>
          <t>Classic Chips</t>
        </is>
      </c>
      <c r="F12" s="2" t="n">
        <v>1046</v>
      </c>
      <c r="G12" s="2" t="n">
        <v>821.9</v>
      </c>
      <c r="H12" s="2" t="n">
        <v>815.3</v>
      </c>
      <c r="I12" s="2" t="n">
        <v>6.6</v>
      </c>
      <c r="J12" s="2" t="n">
        <v>0.9399999999999999</v>
      </c>
      <c r="K12" s="2" t="inlineStr">
        <is>
          <t>Conveyor Jam</t>
        </is>
      </c>
      <c r="L12" s="2" t="inlineStr">
        <is>
          <t>Emergency</t>
        </is>
      </c>
      <c r="M12" s="2" t="n">
        <v>1764.1</v>
      </c>
      <c r="N12" s="2" t="n">
        <v>281.5</v>
      </c>
      <c r="O12" s="2" t="n">
        <v>86570.5</v>
      </c>
      <c r="P12" s="2" t="n">
        <v>181.9</v>
      </c>
      <c r="Q12" s="2" t="n">
        <v>1.47</v>
      </c>
      <c r="R12" s="2" t="n">
        <v>1224.77</v>
      </c>
      <c r="S12" s="5">
        <f>G12/F12</f>
        <v/>
      </c>
      <c r="T12" s="5">
        <f>MAX(0,1-J12/8)</f>
        <v/>
      </c>
      <c r="U12" s="5">
        <f>IFERROR(G12/(F12*T12),0)</f>
        <v/>
      </c>
      <c r="V12" s="5">
        <f>IFERROR(H12/G12,0)</f>
        <v/>
      </c>
      <c r="W12" s="5">
        <f>T12*U12*V12</f>
        <v/>
      </c>
      <c r="X12" s="5">
        <f>IFERROR(I12/G12,0)</f>
        <v/>
      </c>
      <c r="Y12" s="6">
        <f>IFERROR(G12/M12,0)</f>
        <v/>
      </c>
      <c r="Z12" s="6">
        <f>IFERROR(O12/G12,0)</f>
        <v/>
      </c>
      <c r="AA12" s="2">
        <f>IF(L12="None","No Maintenance",IF(L12="Preventive","Planned","Breakdown"))</f>
        <v/>
      </c>
    </row>
    <row r="13">
      <c r="A13" s="2" t="n">
        <v>9</v>
      </c>
      <c r="B13" s="4" t="n">
        <v>46025</v>
      </c>
      <c r="C13" s="2" t="inlineStr">
        <is>
          <t>Night</t>
        </is>
      </c>
      <c r="D13" s="2" t="inlineStr">
        <is>
          <t>Line 2</t>
        </is>
      </c>
      <c r="E13" s="2" t="inlineStr">
        <is>
          <t>Classic Chips</t>
        </is>
      </c>
      <c r="F13" s="2" t="n">
        <v>902</v>
      </c>
      <c r="G13" s="2" t="n">
        <v>556.3</v>
      </c>
      <c r="H13" s="2" t="n">
        <v>544.8</v>
      </c>
      <c r="I13" s="2" t="n">
        <v>11.5</v>
      </c>
      <c r="J13" s="2" t="n">
        <v>1.97</v>
      </c>
      <c r="K13" s="2" t="inlineStr">
        <is>
          <t>Quality Hold</t>
        </is>
      </c>
      <c r="L13" s="2" t="inlineStr">
        <is>
          <t>Corrective</t>
        </is>
      </c>
      <c r="M13" s="2" t="n">
        <v>1077.2</v>
      </c>
      <c r="N13" s="2" t="n">
        <v>182.1</v>
      </c>
      <c r="O13" s="2" t="n">
        <v>67936.10000000001</v>
      </c>
      <c r="P13" s="2" t="n">
        <v>177.6</v>
      </c>
      <c r="Q13" s="2" t="n">
        <v>1.74</v>
      </c>
      <c r="R13" s="2" t="n">
        <v>324.83</v>
      </c>
      <c r="S13" s="5">
        <f>G13/F13</f>
        <v/>
      </c>
      <c r="T13" s="5">
        <f>MAX(0,1-J13/8)</f>
        <v/>
      </c>
      <c r="U13" s="5">
        <f>IFERROR(G13/(F13*T13),0)</f>
        <v/>
      </c>
      <c r="V13" s="5">
        <f>IFERROR(H13/G13,0)</f>
        <v/>
      </c>
      <c r="W13" s="5">
        <f>T13*U13*V13</f>
        <v/>
      </c>
      <c r="X13" s="5">
        <f>IFERROR(I13/G13,0)</f>
        <v/>
      </c>
      <c r="Y13" s="6">
        <f>IFERROR(G13/M13,0)</f>
        <v/>
      </c>
      <c r="Z13" s="6">
        <f>IFERROR(O13/G13,0)</f>
        <v/>
      </c>
      <c r="AA13" s="2">
        <f>IF(L13="None","No Maintenance",IF(L13="Preventive","Planned","Breakdown"))</f>
        <v/>
      </c>
    </row>
    <row r="14">
      <c r="A14" s="2" t="n">
        <v>10</v>
      </c>
      <c r="B14" s="4" t="n">
        <v>46026</v>
      </c>
      <c r="C14" s="2" t="inlineStr">
        <is>
          <t>Day</t>
        </is>
      </c>
      <c r="D14" s="2" t="inlineStr">
        <is>
          <t>Line 1</t>
        </is>
      </c>
      <c r="E14" s="2" t="inlineStr">
        <is>
          <t>Paprika Chips</t>
        </is>
      </c>
      <c r="F14" s="2" t="n">
        <v>924</v>
      </c>
      <c r="G14" s="2" t="n">
        <v>607</v>
      </c>
      <c r="H14" s="2" t="n">
        <v>597</v>
      </c>
      <c r="I14" s="2" t="n">
        <v>10</v>
      </c>
      <c r="J14" s="2" t="n">
        <v>2.43</v>
      </c>
      <c r="K14" s="2" t="inlineStr">
        <is>
          <t>Quality Hold</t>
        </is>
      </c>
      <c r="L14" s="2" t="inlineStr">
        <is>
          <t>Corrective</t>
        </is>
      </c>
      <c r="M14" s="2" t="n">
        <v>1212.6</v>
      </c>
      <c r="N14" s="2" t="n">
        <v>200.1</v>
      </c>
      <c r="O14" s="2" t="n">
        <v>66492.89999999999</v>
      </c>
      <c r="P14" s="2" t="n">
        <v>173.8</v>
      </c>
      <c r="Q14" s="2" t="n">
        <v>1.62</v>
      </c>
      <c r="R14" s="2" t="n">
        <v>508.35</v>
      </c>
      <c r="S14" s="5">
        <f>G14/F14</f>
        <v/>
      </c>
      <c r="T14" s="5">
        <f>MAX(0,1-J14/8)</f>
        <v/>
      </c>
      <c r="U14" s="5">
        <f>IFERROR(G14/(F14*T14),0)</f>
        <v/>
      </c>
      <c r="V14" s="5">
        <f>IFERROR(H14/G14,0)</f>
        <v/>
      </c>
      <c r="W14" s="5">
        <f>T14*U14*V14</f>
        <v/>
      </c>
      <c r="X14" s="5">
        <f>IFERROR(I14/G14,0)</f>
        <v/>
      </c>
      <c r="Y14" s="6">
        <f>IFERROR(G14/M14,0)</f>
        <v/>
      </c>
      <c r="Z14" s="6">
        <f>IFERROR(O14/G14,0)</f>
        <v/>
      </c>
      <c r="AA14" s="2">
        <f>IF(L14="None","No Maintenance",IF(L14="Preventive","Planned","Breakdown"))</f>
        <v/>
      </c>
    </row>
    <row r="15">
      <c r="A15" s="2" t="n">
        <v>11</v>
      </c>
      <c r="B15" s="4" t="n">
        <v>46026</v>
      </c>
      <c r="C15" s="2" t="inlineStr">
        <is>
          <t>Evening</t>
        </is>
      </c>
      <c r="D15" s="2" t="inlineStr">
        <is>
          <t>Line 2</t>
        </is>
      </c>
      <c r="E15" s="2" t="inlineStr">
        <is>
          <t>Salt &amp; Vinegar</t>
        </is>
      </c>
      <c r="F15" s="2" t="n">
        <v>909</v>
      </c>
      <c r="G15" s="2" t="n">
        <v>574.9</v>
      </c>
      <c r="H15" s="2" t="n">
        <v>562</v>
      </c>
      <c r="I15" s="2" t="n">
        <v>12.8</v>
      </c>
      <c r="J15" s="2" t="n">
        <v>2.49</v>
      </c>
      <c r="K15" s="2" t="inlineStr">
        <is>
          <t>Planned Maintenance</t>
        </is>
      </c>
      <c r="L15" s="2" t="inlineStr">
        <is>
          <t>Preventive</t>
        </is>
      </c>
      <c r="M15" s="2" t="n">
        <v>1174.2</v>
      </c>
      <c r="N15" s="2" t="n">
        <v>202.7</v>
      </c>
      <c r="O15" s="2" t="n">
        <v>64085</v>
      </c>
      <c r="P15" s="2" t="n">
        <v>171.6</v>
      </c>
      <c r="Q15" s="2" t="n">
        <v>1.71</v>
      </c>
      <c r="R15" s="2" t="n">
        <v>274.94</v>
      </c>
      <c r="S15" s="5">
        <f>G15/F15</f>
        <v/>
      </c>
      <c r="T15" s="5">
        <f>MAX(0,1-J15/8)</f>
        <v/>
      </c>
      <c r="U15" s="5">
        <f>IFERROR(G15/(F15*T15),0)</f>
        <v/>
      </c>
      <c r="V15" s="5">
        <f>IFERROR(H15/G15,0)</f>
        <v/>
      </c>
      <c r="W15" s="5">
        <f>T15*U15*V15</f>
        <v/>
      </c>
      <c r="X15" s="5">
        <f>IFERROR(I15/G15,0)</f>
        <v/>
      </c>
      <c r="Y15" s="6">
        <f>IFERROR(G15/M15,0)</f>
        <v/>
      </c>
      <c r="Z15" s="6">
        <f>IFERROR(O15/G15,0)</f>
        <v/>
      </c>
      <c r="AA15" s="2">
        <f>IF(L15="None","No Maintenance",IF(L15="Preventive","Planned","Breakdown"))</f>
        <v/>
      </c>
    </row>
    <row r="16">
      <c r="A16" s="2" t="n">
        <v>12</v>
      </c>
      <c r="B16" s="4" t="n">
        <v>46026</v>
      </c>
      <c r="C16" s="2" t="inlineStr">
        <is>
          <t>Night</t>
        </is>
      </c>
      <c r="D16" s="2" t="inlineStr">
        <is>
          <t>Line 1</t>
        </is>
      </c>
      <c r="E16" s="2" t="inlineStr">
        <is>
          <t>Classic Chips</t>
        </is>
      </c>
      <c r="F16" s="2" t="n">
        <v>1028</v>
      </c>
      <c r="G16" s="2" t="n">
        <v>807.7</v>
      </c>
      <c r="H16" s="2" t="n">
        <v>791.5</v>
      </c>
      <c r="I16" s="2" t="n">
        <v>16.2</v>
      </c>
      <c r="J16" s="2" t="n">
        <v>1.18</v>
      </c>
      <c r="K16" s="2" t="inlineStr">
        <is>
          <t>Packaging Machine</t>
        </is>
      </c>
      <c r="L16" s="2" t="inlineStr">
        <is>
          <t>Emergency</t>
        </is>
      </c>
      <c r="M16" s="2" t="n">
        <v>1658.6</v>
      </c>
      <c r="N16" s="2" t="n">
        <v>248.7</v>
      </c>
      <c r="O16" s="2" t="n">
        <v>93773.3</v>
      </c>
      <c r="P16" s="2" t="n">
        <v>175.5</v>
      </c>
      <c r="Q16" s="2" t="n">
        <v>1.51</v>
      </c>
      <c r="R16" s="2" t="n">
        <v>1151.45</v>
      </c>
      <c r="S16" s="5">
        <f>G16/F16</f>
        <v/>
      </c>
      <c r="T16" s="5">
        <f>MAX(0,1-J16/8)</f>
        <v/>
      </c>
      <c r="U16" s="5">
        <f>IFERROR(G16/(F16*T16),0)</f>
        <v/>
      </c>
      <c r="V16" s="5">
        <f>IFERROR(H16/G16,0)</f>
        <v/>
      </c>
      <c r="W16" s="5">
        <f>T16*U16*V16</f>
        <v/>
      </c>
      <c r="X16" s="5">
        <f>IFERROR(I16/G16,0)</f>
        <v/>
      </c>
      <c r="Y16" s="6">
        <f>IFERROR(G16/M16,0)</f>
        <v/>
      </c>
      <c r="Z16" s="6">
        <f>IFERROR(O16/G16,0)</f>
        <v/>
      </c>
      <c r="AA16" s="2">
        <f>IF(L16="None","No Maintenance",IF(L16="Preventive","Planned","Breakdown"))</f>
        <v/>
      </c>
    </row>
    <row r="17">
      <c r="A17" s="2" t="n">
        <v>13</v>
      </c>
      <c r="B17" s="4" t="n">
        <v>46027</v>
      </c>
      <c r="C17" s="2" t="inlineStr">
        <is>
          <t>Day</t>
        </is>
      </c>
      <c r="D17" s="2" t="inlineStr">
        <is>
          <t>Line 1</t>
        </is>
      </c>
      <c r="E17" s="2" t="inlineStr">
        <is>
          <t>Paprika Chips</t>
        </is>
      </c>
      <c r="F17" s="2" t="n">
        <v>938</v>
      </c>
      <c r="G17" s="2" t="n">
        <v>860.3</v>
      </c>
      <c r="H17" s="2" t="n">
        <v>843.8</v>
      </c>
      <c r="I17" s="2" t="n">
        <v>16.5</v>
      </c>
      <c r="J17" s="2" t="n">
        <v>0.23</v>
      </c>
      <c r="K17" s="2" t="inlineStr">
        <is>
          <t>No Downtime</t>
        </is>
      </c>
      <c r="L17" s="2" t="inlineStr">
        <is>
          <t>None</t>
        </is>
      </c>
      <c r="M17" s="2" t="n">
        <v>1805.7</v>
      </c>
      <c r="N17" s="2" t="n">
        <v>278.2</v>
      </c>
      <c r="O17" s="2" t="n">
        <v>93980.2</v>
      </c>
      <c r="P17" s="2" t="n">
        <v>175.8</v>
      </c>
      <c r="Q17" s="2" t="n">
        <v>1.56</v>
      </c>
      <c r="R17" s="2" t="n">
        <v>0</v>
      </c>
      <c r="S17" s="5">
        <f>G17/F17</f>
        <v/>
      </c>
      <c r="T17" s="5">
        <f>MAX(0,1-J17/8)</f>
        <v/>
      </c>
      <c r="U17" s="5">
        <f>IFERROR(G17/(F17*T17),0)</f>
        <v/>
      </c>
      <c r="V17" s="5">
        <f>IFERROR(H17/G17,0)</f>
        <v/>
      </c>
      <c r="W17" s="5">
        <f>T17*U17*V17</f>
        <v/>
      </c>
      <c r="X17" s="5">
        <f>IFERROR(I17/G17,0)</f>
        <v/>
      </c>
      <c r="Y17" s="6">
        <f>IFERROR(G17/M17,0)</f>
        <v/>
      </c>
      <c r="Z17" s="6">
        <f>IFERROR(O17/G17,0)</f>
        <v/>
      </c>
      <c r="AA17" s="2">
        <f>IF(L17="None","No Maintenance",IF(L17="Preventive","Planned","Breakdown"))</f>
        <v/>
      </c>
    </row>
    <row r="18">
      <c r="A18" s="2" t="n">
        <v>14</v>
      </c>
      <c r="B18" s="4" t="n">
        <v>46027</v>
      </c>
      <c r="C18" s="2" t="inlineStr">
        <is>
          <t>Evening</t>
        </is>
      </c>
      <c r="D18" s="2" t="inlineStr">
        <is>
          <t>Line 2</t>
        </is>
      </c>
      <c r="E18" s="2" t="inlineStr">
        <is>
          <t>Classic Chips</t>
        </is>
      </c>
      <c r="F18" s="2" t="n">
        <v>1016</v>
      </c>
      <c r="G18" s="2" t="n">
        <v>641.1</v>
      </c>
      <c r="H18" s="2" t="n">
        <v>628.5</v>
      </c>
      <c r="I18" s="2" t="n">
        <v>12.7</v>
      </c>
      <c r="J18" s="2" t="n">
        <v>3.45</v>
      </c>
      <c r="K18" s="2" t="inlineStr">
        <is>
          <t>Raw Material Shortage</t>
        </is>
      </c>
      <c r="L18" s="2" t="inlineStr">
        <is>
          <t>Corrective</t>
        </is>
      </c>
      <c r="M18" s="2" t="n">
        <v>1304.8</v>
      </c>
      <c r="N18" s="2" t="n">
        <v>190.6</v>
      </c>
      <c r="O18" s="2" t="n">
        <v>79272.3</v>
      </c>
      <c r="P18" s="2" t="n">
        <v>184.1</v>
      </c>
      <c r="Q18" s="2" t="n">
        <v>1.46</v>
      </c>
      <c r="R18" s="2" t="n">
        <v>354.82</v>
      </c>
      <c r="S18" s="5">
        <f>G18/F18</f>
        <v/>
      </c>
      <c r="T18" s="5">
        <f>MAX(0,1-J18/8)</f>
        <v/>
      </c>
      <c r="U18" s="5">
        <f>IFERROR(G18/(F18*T18),0)</f>
        <v/>
      </c>
      <c r="V18" s="5">
        <f>IFERROR(H18/G18,0)</f>
        <v/>
      </c>
      <c r="W18" s="5">
        <f>T18*U18*V18</f>
        <v/>
      </c>
      <c r="X18" s="5">
        <f>IFERROR(I18/G18,0)</f>
        <v/>
      </c>
      <c r="Y18" s="6">
        <f>IFERROR(G18/M18,0)</f>
        <v/>
      </c>
      <c r="Z18" s="6">
        <f>IFERROR(O18/G18,0)</f>
        <v/>
      </c>
      <c r="AA18" s="2">
        <f>IF(L18="None","No Maintenance",IF(L18="Preventive","Planned","Breakdown"))</f>
        <v/>
      </c>
    </row>
    <row r="19">
      <c r="A19" s="2" t="n">
        <v>15</v>
      </c>
      <c r="B19" s="4" t="n">
        <v>46027</v>
      </c>
      <c r="C19" s="2" t="inlineStr">
        <is>
          <t>Night</t>
        </is>
      </c>
      <c r="D19" s="2" t="inlineStr">
        <is>
          <t>Line 1</t>
        </is>
      </c>
      <c r="E19" s="2" t="inlineStr">
        <is>
          <t>Salt &amp; Vinegar</t>
        </is>
      </c>
      <c r="F19" s="2" t="n">
        <v>1014</v>
      </c>
      <c r="G19" s="2" t="n">
        <v>655.9</v>
      </c>
      <c r="H19" s="2" t="n">
        <v>646.3</v>
      </c>
      <c r="I19" s="2" t="n">
        <v>9.6</v>
      </c>
      <c r="J19" s="2" t="n">
        <v>3.01</v>
      </c>
      <c r="K19" s="2" t="inlineStr">
        <is>
          <t>Quality Hold</t>
        </is>
      </c>
      <c r="L19" s="2" t="inlineStr">
        <is>
          <t>Corrective</t>
        </is>
      </c>
      <c r="M19" s="2" t="n">
        <v>1341.6</v>
      </c>
      <c r="N19" s="2" t="n">
        <v>202.3</v>
      </c>
      <c r="O19" s="2" t="n">
        <v>78836.5</v>
      </c>
      <c r="P19" s="2" t="n">
        <v>176.8</v>
      </c>
      <c r="Q19" s="2" t="n">
        <v>1.63</v>
      </c>
      <c r="R19" s="2" t="n">
        <v>668.86</v>
      </c>
      <c r="S19" s="5">
        <f>G19/F19</f>
        <v/>
      </c>
      <c r="T19" s="5">
        <f>MAX(0,1-J19/8)</f>
        <v/>
      </c>
      <c r="U19" s="5">
        <f>IFERROR(G19/(F19*T19),0)</f>
        <v/>
      </c>
      <c r="V19" s="5">
        <f>IFERROR(H19/G19,0)</f>
        <v/>
      </c>
      <c r="W19" s="5">
        <f>T19*U19*V19</f>
        <v/>
      </c>
      <c r="X19" s="5">
        <f>IFERROR(I19/G19,0)</f>
        <v/>
      </c>
      <c r="Y19" s="6">
        <f>IFERROR(G19/M19,0)</f>
        <v/>
      </c>
      <c r="Z19" s="6">
        <f>IFERROR(O19/G19,0)</f>
        <v/>
      </c>
      <c r="AA19" s="2">
        <f>IF(L19="None","No Maintenance",IF(L19="Preventive","Planned","Breakdown"))</f>
        <v/>
      </c>
    </row>
    <row r="20">
      <c r="A20" s="2" t="n">
        <v>16</v>
      </c>
      <c r="B20" s="4" t="n">
        <v>46028</v>
      </c>
      <c r="C20" s="2" t="inlineStr">
        <is>
          <t>Day</t>
        </is>
      </c>
      <c r="D20" s="2" t="inlineStr">
        <is>
          <t>Line 1</t>
        </is>
      </c>
      <c r="E20" s="2" t="inlineStr">
        <is>
          <t>Paprika Chips</t>
        </is>
      </c>
      <c r="F20" s="2" t="n">
        <v>911</v>
      </c>
      <c r="G20" s="2" t="n">
        <v>614.8</v>
      </c>
      <c r="H20" s="2" t="n">
        <v>602.9</v>
      </c>
      <c r="I20" s="2" t="n">
        <v>11.9</v>
      </c>
      <c r="J20" s="2" t="n">
        <v>3.56</v>
      </c>
      <c r="K20" s="2" t="inlineStr">
        <is>
          <t>Packaging Machine</t>
        </is>
      </c>
      <c r="L20" s="2" t="inlineStr">
        <is>
          <t>Corrective</t>
        </is>
      </c>
      <c r="M20" s="2" t="n">
        <v>1273.2</v>
      </c>
      <c r="N20" s="2" t="n">
        <v>192.7</v>
      </c>
      <c r="O20" s="2" t="n">
        <v>73994.39999999999</v>
      </c>
      <c r="P20" s="2" t="n">
        <v>171.6</v>
      </c>
      <c r="Q20" s="2" t="n">
        <v>1.47</v>
      </c>
      <c r="R20" s="2" t="n">
        <v>538.77</v>
      </c>
      <c r="S20" s="5">
        <f>G20/F20</f>
        <v/>
      </c>
      <c r="T20" s="5">
        <f>MAX(0,1-J20/8)</f>
        <v/>
      </c>
      <c r="U20" s="5">
        <f>IFERROR(G20/(F20*T20),0)</f>
        <v/>
      </c>
      <c r="V20" s="5">
        <f>IFERROR(H20/G20,0)</f>
        <v/>
      </c>
      <c r="W20" s="5">
        <f>T20*U20*V20</f>
        <v/>
      </c>
      <c r="X20" s="5">
        <f>IFERROR(I20/G20,0)</f>
        <v/>
      </c>
      <c r="Y20" s="6">
        <f>IFERROR(G20/M20,0)</f>
        <v/>
      </c>
      <c r="Z20" s="6">
        <f>IFERROR(O20/G20,0)</f>
        <v/>
      </c>
      <c r="AA20" s="2">
        <f>IF(L20="None","No Maintenance",IF(L20="Preventive","Planned","Breakdown"))</f>
        <v/>
      </c>
    </row>
    <row r="21">
      <c r="A21" s="2" t="n">
        <v>17</v>
      </c>
      <c r="B21" s="4" t="n">
        <v>46028</v>
      </c>
      <c r="C21" s="2" t="inlineStr">
        <is>
          <t>Evening</t>
        </is>
      </c>
      <c r="D21" s="2" t="inlineStr">
        <is>
          <t>Line 1</t>
        </is>
      </c>
      <c r="E21" s="2" t="inlineStr">
        <is>
          <t>Paprika Chips</t>
        </is>
      </c>
      <c r="F21" s="2" t="n">
        <v>1041</v>
      </c>
      <c r="G21" s="2" t="n">
        <v>895.7</v>
      </c>
      <c r="H21" s="2" t="n">
        <v>883.3</v>
      </c>
      <c r="I21" s="2" t="n">
        <v>12.4</v>
      </c>
      <c r="J21" s="2" t="n">
        <v>0.31</v>
      </c>
      <c r="K21" s="2" t="inlineStr">
        <is>
          <t>No Downtime</t>
        </is>
      </c>
      <c r="L21" s="2" t="inlineStr">
        <is>
          <t>None</t>
        </is>
      </c>
      <c r="M21" s="2" t="n">
        <v>1814.3</v>
      </c>
      <c r="N21" s="2" t="n">
        <v>297.7</v>
      </c>
      <c r="O21" s="2" t="n">
        <v>105165.4</v>
      </c>
      <c r="P21" s="2" t="n">
        <v>173.4</v>
      </c>
      <c r="Q21" s="2" t="n">
        <v>1.66</v>
      </c>
      <c r="R21" s="2" t="n">
        <v>0</v>
      </c>
      <c r="S21" s="5">
        <f>G21/F21</f>
        <v/>
      </c>
      <c r="T21" s="5">
        <f>MAX(0,1-J21/8)</f>
        <v/>
      </c>
      <c r="U21" s="5">
        <f>IFERROR(G21/(F21*T21),0)</f>
        <v/>
      </c>
      <c r="V21" s="5">
        <f>IFERROR(H21/G21,0)</f>
        <v/>
      </c>
      <c r="W21" s="5">
        <f>T21*U21*V21</f>
        <v/>
      </c>
      <c r="X21" s="5">
        <f>IFERROR(I21/G21,0)</f>
        <v/>
      </c>
      <c r="Y21" s="6">
        <f>IFERROR(G21/M21,0)</f>
        <v/>
      </c>
      <c r="Z21" s="6">
        <f>IFERROR(O21/G21,0)</f>
        <v/>
      </c>
      <c r="AA21" s="2">
        <f>IF(L21="None","No Maintenance",IF(L21="Preventive","Planned","Breakdown"))</f>
        <v/>
      </c>
    </row>
    <row r="22">
      <c r="A22" s="2" t="n">
        <v>18</v>
      </c>
      <c r="B22" s="4" t="n">
        <v>46028</v>
      </c>
      <c r="C22" s="2" t="inlineStr">
        <is>
          <t>Night</t>
        </is>
      </c>
      <c r="D22" s="2" t="inlineStr">
        <is>
          <t>Line 2</t>
        </is>
      </c>
      <c r="E22" s="2" t="inlineStr">
        <is>
          <t>Paprika Chips</t>
        </is>
      </c>
      <c r="F22" s="2" t="n">
        <v>949</v>
      </c>
      <c r="G22" s="2" t="n">
        <v>542.9</v>
      </c>
      <c r="H22" s="2" t="n">
        <v>538.5</v>
      </c>
      <c r="I22" s="2" t="n">
        <v>4.4</v>
      </c>
      <c r="J22" s="2" t="n">
        <v>2.72</v>
      </c>
      <c r="K22" s="2" t="inlineStr">
        <is>
          <t>Conveyor Jam</t>
        </is>
      </c>
      <c r="L22" s="2" t="inlineStr">
        <is>
          <t>Corrective</t>
        </is>
      </c>
      <c r="M22" s="2" t="n">
        <v>1114.9</v>
      </c>
      <c r="N22" s="2" t="n">
        <v>165.3</v>
      </c>
      <c r="O22" s="2" t="n">
        <v>62801.9</v>
      </c>
      <c r="P22" s="2" t="n">
        <v>184.4</v>
      </c>
      <c r="Q22" s="2" t="n">
        <v>1.9</v>
      </c>
      <c r="R22" s="2" t="n">
        <v>886.22</v>
      </c>
      <c r="S22" s="5">
        <f>G22/F22</f>
        <v/>
      </c>
      <c r="T22" s="5">
        <f>MAX(0,1-J22/8)</f>
        <v/>
      </c>
      <c r="U22" s="5">
        <f>IFERROR(G22/(F22*T22),0)</f>
        <v/>
      </c>
      <c r="V22" s="5">
        <f>IFERROR(H22/G22,0)</f>
        <v/>
      </c>
      <c r="W22" s="5">
        <f>T22*U22*V22</f>
        <v/>
      </c>
      <c r="X22" s="5">
        <f>IFERROR(I22/G22,0)</f>
        <v/>
      </c>
      <c r="Y22" s="6">
        <f>IFERROR(G22/M22,0)</f>
        <v/>
      </c>
      <c r="Z22" s="6">
        <f>IFERROR(O22/G22,0)</f>
        <v/>
      </c>
      <c r="AA22" s="2">
        <f>IF(L22="None","No Maintenance",IF(L22="Preventive","Planned","Breakdown"))</f>
        <v/>
      </c>
    </row>
    <row r="23">
      <c r="A23" s="2" t="n">
        <v>19</v>
      </c>
      <c r="B23" s="4" t="n">
        <v>46029</v>
      </c>
      <c r="C23" s="2" t="inlineStr">
        <is>
          <t>Day</t>
        </is>
      </c>
      <c r="D23" s="2" t="inlineStr">
        <is>
          <t>Line 1</t>
        </is>
      </c>
      <c r="E23" s="2" t="inlineStr">
        <is>
          <t>Paprika Chips</t>
        </is>
      </c>
      <c r="F23" s="2" t="n">
        <v>1038</v>
      </c>
      <c r="G23" s="2" t="n">
        <v>788.3</v>
      </c>
      <c r="H23" s="2" t="n">
        <v>785.1</v>
      </c>
      <c r="I23" s="2" t="n">
        <v>3.2</v>
      </c>
      <c r="J23" s="2" t="n">
        <v>1.82</v>
      </c>
      <c r="K23" s="2" t="inlineStr">
        <is>
          <t>Quality Hold</t>
        </is>
      </c>
      <c r="L23" s="2" t="inlineStr">
        <is>
          <t>Corrective</t>
        </is>
      </c>
      <c r="M23" s="2" t="n">
        <v>1561.8</v>
      </c>
      <c r="N23" s="2" t="n">
        <v>253.5</v>
      </c>
      <c r="O23" s="2" t="n">
        <v>99352.3</v>
      </c>
      <c r="P23" s="2" t="n">
        <v>182.5</v>
      </c>
      <c r="Q23" s="2" t="n">
        <v>1.44</v>
      </c>
      <c r="R23" s="2" t="n">
        <v>899.26</v>
      </c>
      <c r="S23" s="5">
        <f>G23/F23</f>
        <v/>
      </c>
      <c r="T23" s="5">
        <f>MAX(0,1-J23/8)</f>
        <v/>
      </c>
      <c r="U23" s="5">
        <f>IFERROR(G23/(F23*T23),0)</f>
        <v/>
      </c>
      <c r="V23" s="5">
        <f>IFERROR(H23/G23,0)</f>
        <v/>
      </c>
      <c r="W23" s="5">
        <f>T23*U23*V23</f>
        <v/>
      </c>
      <c r="X23" s="5">
        <f>IFERROR(I23/G23,0)</f>
        <v/>
      </c>
      <c r="Y23" s="6">
        <f>IFERROR(G23/M23,0)</f>
        <v/>
      </c>
      <c r="Z23" s="6">
        <f>IFERROR(O23/G23,0)</f>
        <v/>
      </c>
      <c r="AA23" s="2">
        <f>IF(L23="None","No Maintenance",IF(L23="Preventive","Planned","Breakdown"))</f>
        <v/>
      </c>
    </row>
    <row r="24">
      <c r="A24" s="2" t="n">
        <v>20</v>
      </c>
      <c r="B24" s="4" t="n">
        <v>46029</v>
      </c>
      <c r="C24" s="2" t="inlineStr">
        <is>
          <t>Evening</t>
        </is>
      </c>
      <c r="D24" s="2" t="inlineStr">
        <is>
          <t>Line 1</t>
        </is>
      </c>
      <c r="E24" s="2" t="inlineStr">
        <is>
          <t>Salt &amp; Vinegar</t>
        </is>
      </c>
      <c r="F24" s="2" t="n">
        <v>1003</v>
      </c>
      <c r="G24" s="2" t="n">
        <v>740.7</v>
      </c>
      <c r="H24" s="2" t="n">
        <v>726</v>
      </c>
      <c r="I24" s="2" t="n">
        <v>14.6</v>
      </c>
      <c r="J24" s="2" t="n">
        <v>1.34</v>
      </c>
      <c r="K24" s="2" t="inlineStr">
        <is>
          <t>Packaging Machine</t>
        </is>
      </c>
      <c r="L24" s="2" t="inlineStr">
        <is>
          <t>Corrective</t>
        </is>
      </c>
      <c r="M24" s="2" t="n">
        <v>1518.6</v>
      </c>
      <c r="N24" s="2" t="n">
        <v>239.9</v>
      </c>
      <c r="O24" s="2" t="n">
        <v>87706.60000000001</v>
      </c>
      <c r="P24" s="2" t="n">
        <v>181</v>
      </c>
      <c r="Q24" s="2" t="n">
        <v>1.83</v>
      </c>
      <c r="R24" s="2" t="n">
        <v>876.77</v>
      </c>
      <c r="S24" s="5">
        <f>G24/F24</f>
        <v/>
      </c>
      <c r="T24" s="5">
        <f>MAX(0,1-J24/8)</f>
        <v/>
      </c>
      <c r="U24" s="5">
        <f>IFERROR(G24/(F24*T24),0)</f>
        <v/>
      </c>
      <c r="V24" s="5">
        <f>IFERROR(H24/G24,0)</f>
        <v/>
      </c>
      <c r="W24" s="5">
        <f>T24*U24*V24</f>
        <v/>
      </c>
      <c r="X24" s="5">
        <f>IFERROR(I24/G24,0)</f>
        <v/>
      </c>
      <c r="Y24" s="6">
        <f>IFERROR(G24/M24,0)</f>
        <v/>
      </c>
      <c r="Z24" s="6">
        <f>IFERROR(O24/G24,0)</f>
        <v/>
      </c>
      <c r="AA24" s="2">
        <f>IF(L24="None","No Maintenance",IF(L24="Preventive","Planned","Breakdown"))</f>
        <v/>
      </c>
    </row>
    <row r="25">
      <c r="A25" s="2" t="n">
        <v>21</v>
      </c>
      <c r="B25" s="4" t="n">
        <v>46029</v>
      </c>
      <c r="C25" s="2" t="inlineStr">
        <is>
          <t>Night</t>
        </is>
      </c>
      <c r="D25" s="2" t="inlineStr">
        <is>
          <t>Line 2</t>
        </is>
      </c>
      <c r="E25" s="2" t="inlineStr">
        <is>
          <t>Salt &amp; Vinegar</t>
        </is>
      </c>
      <c r="F25" s="2" t="n">
        <v>950</v>
      </c>
      <c r="G25" s="2" t="n">
        <v>474.5</v>
      </c>
      <c r="H25" s="2" t="n">
        <v>465.7</v>
      </c>
      <c r="I25" s="2" t="n">
        <v>8.699999999999999</v>
      </c>
      <c r="J25" s="2" t="n">
        <v>3.02</v>
      </c>
      <c r="K25" s="2" t="inlineStr">
        <is>
          <t>Conveyor Jam</t>
        </is>
      </c>
      <c r="L25" s="2" t="inlineStr">
        <is>
          <t>Corrective</t>
        </is>
      </c>
      <c r="M25" s="2" t="n">
        <v>1009.4</v>
      </c>
      <c r="N25" s="2" t="n">
        <v>132.3</v>
      </c>
      <c r="O25" s="2" t="n">
        <v>56313.8</v>
      </c>
      <c r="P25" s="2" t="n">
        <v>181.7</v>
      </c>
      <c r="Q25" s="2" t="n">
        <v>1.66</v>
      </c>
      <c r="R25" s="2" t="n">
        <v>576.95</v>
      </c>
      <c r="S25" s="5">
        <f>G25/F25</f>
        <v/>
      </c>
      <c r="T25" s="5">
        <f>MAX(0,1-J25/8)</f>
        <v/>
      </c>
      <c r="U25" s="5">
        <f>IFERROR(G25/(F25*T25),0)</f>
        <v/>
      </c>
      <c r="V25" s="5">
        <f>IFERROR(H25/G25,0)</f>
        <v/>
      </c>
      <c r="W25" s="5">
        <f>T25*U25*V25</f>
        <v/>
      </c>
      <c r="X25" s="5">
        <f>IFERROR(I25/G25,0)</f>
        <v/>
      </c>
      <c r="Y25" s="6">
        <f>IFERROR(G25/M25,0)</f>
        <v/>
      </c>
      <c r="Z25" s="6">
        <f>IFERROR(O25/G25,0)</f>
        <v/>
      </c>
      <c r="AA25" s="2">
        <f>IF(L25="None","No Maintenance",IF(L25="Preventive","Planned","Breakdown"))</f>
        <v/>
      </c>
    </row>
    <row r="26">
      <c r="A26" s="2" t="n">
        <v>22</v>
      </c>
      <c r="B26" s="4" t="n">
        <v>46030</v>
      </c>
      <c r="C26" s="2" t="inlineStr">
        <is>
          <t>Day</t>
        </is>
      </c>
      <c r="D26" s="2" t="inlineStr">
        <is>
          <t>Line 2</t>
        </is>
      </c>
      <c r="E26" s="2" t="inlineStr">
        <is>
          <t>Salt &amp; Vinegar</t>
        </is>
      </c>
      <c r="F26" s="2" t="n">
        <v>920</v>
      </c>
      <c r="G26" s="2" t="n">
        <v>621</v>
      </c>
      <c r="H26" s="2" t="n">
        <v>607.7</v>
      </c>
      <c r="I26" s="2" t="n">
        <v>13.3</v>
      </c>
      <c r="J26" s="2" t="n">
        <v>1.78</v>
      </c>
      <c r="K26" s="2" t="inlineStr">
        <is>
          <t>Quality Hold</t>
        </is>
      </c>
      <c r="L26" s="2" t="inlineStr">
        <is>
          <t>Corrective</t>
        </is>
      </c>
      <c r="M26" s="2" t="n">
        <v>1236.8</v>
      </c>
      <c r="N26" s="2" t="n">
        <v>206</v>
      </c>
      <c r="O26" s="2" t="n">
        <v>83514.39999999999</v>
      </c>
      <c r="P26" s="2" t="n">
        <v>179.8</v>
      </c>
      <c r="Q26" s="2" t="n">
        <v>1.76</v>
      </c>
      <c r="R26" s="2" t="n">
        <v>547.35</v>
      </c>
      <c r="S26" s="5">
        <f>G26/F26</f>
        <v/>
      </c>
      <c r="T26" s="5">
        <f>MAX(0,1-J26/8)</f>
        <v/>
      </c>
      <c r="U26" s="5">
        <f>IFERROR(G26/(F26*T26),0)</f>
        <v/>
      </c>
      <c r="V26" s="5">
        <f>IFERROR(H26/G26,0)</f>
        <v/>
      </c>
      <c r="W26" s="5">
        <f>T26*U26*V26</f>
        <v/>
      </c>
      <c r="X26" s="5">
        <f>IFERROR(I26/G26,0)</f>
        <v/>
      </c>
      <c r="Y26" s="6">
        <f>IFERROR(G26/M26,0)</f>
        <v/>
      </c>
      <c r="Z26" s="6">
        <f>IFERROR(O26/G26,0)</f>
        <v/>
      </c>
      <c r="AA26" s="2">
        <f>IF(L26="None","No Maintenance",IF(L26="Preventive","Planned","Breakdown"))</f>
        <v/>
      </c>
    </row>
    <row r="27">
      <c r="A27" s="2" t="n">
        <v>23</v>
      </c>
      <c r="B27" s="4" t="n">
        <v>46030</v>
      </c>
      <c r="C27" s="2" t="inlineStr">
        <is>
          <t>Evening</t>
        </is>
      </c>
      <c r="D27" s="2" t="inlineStr">
        <is>
          <t>Line 1</t>
        </is>
      </c>
      <c r="E27" s="2" t="inlineStr">
        <is>
          <t>Classic Chips</t>
        </is>
      </c>
      <c r="F27" s="2" t="n">
        <v>1044</v>
      </c>
      <c r="G27" s="2" t="n">
        <v>640.5</v>
      </c>
      <c r="H27" s="2" t="n">
        <v>629.1</v>
      </c>
      <c r="I27" s="2" t="n">
        <v>11.4</v>
      </c>
      <c r="J27" s="2" t="n">
        <v>3.1</v>
      </c>
      <c r="K27" s="2" t="inlineStr">
        <is>
          <t>Fryer Temperature</t>
        </is>
      </c>
      <c r="L27" s="2" t="inlineStr">
        <is>
          <t>Corrective</t>
        </is>
      </c>
      <c r="M27" s="2" t="n">
        <v>1297.3</v>
      </c>
      <c r="N27" s="2" t="n">
        <v>190.2</v>
      </c>
      <c r="O27" s="2" t="n">
        <v>77211.10000000001</v>
      </c>
      <c r="P27" s="2" t="n">
        <v>176.6</v>
      </c>
      <c r="Q27" s="2" t="n">
        <v>1.67</v>
      </c>
      <c r="R27" s="2" t="n">
        <v>404.43</v>
      </c>
      <c r="S27" s="5">
        <f>G27/F27</f>
        <v/>
      </c>
      <c r="T27" s="5">
        <f>MAX(0,1-J27/8)</f>
        <v/>
      </c>
      <c r="U27" s="5">
        <f>IFERROR(G27/(F27*T27),0)</f>
        <v/>
      </c>
      <c r="V27" s="5">
        <f>IFERROR(H27/G27,0)</f>
        <v/>
      </c>
      <c r="W27" s="5">
        <f>T27*U27*V27</f>
        <v/>
      </c>
      <c r="X27" s="5">
        <f>IFERROR(I27/G27,0)</f>
        <v/>
      </c>
      <c r="Y27" s="6">
        <f>IFERROR(G27/M27,0)</f>
        <v/>
      </c>
      <c r="Z27" s="6">
        <f>IFERROR(O27/G27,0)</f>
        <v/>
      </c>
      <c r="AA27" s="2">
        <f>IF(L27="None","No Maintenance",IF(L27="Preventive","Planned","Breakdown"))</f>
        <v/>
      </c>
    </row>
    <row r="28">
      <c r="A28" s="2" t="n">
        <v>24</v>
      </c>
      <c r="B28" s="4" t="n">
        <v>46030</v>
      </c>
      <c r="C28" s="2" t="inlineStr">
        <is>
          <t>Night</t>
        </is>
      </c>
      <c r="D28" s="2" t="inlineStr">
        <is>
          <t>Line 1</t>
        </is>
      </c>
      <c r="E28" s="2" t="inlineStr">
        <is>
          <t>Classic Chips</t>
        </is>
      </c>
      <c r="F28" s="2" t="n">
        <v>1026</v>
      </c>
      <c r="G28" s="2" t="n">
        <v>853.8</v>
      </c>
      <c r="H28" s="2" t="n">
        <v>842.1</v>
      </c>
      <c r="I28" s="2" t="n">
        <v>11.8</v>
      </c>
      <c r="J28" s="2" t="n">
        <v>0.2</v>
      </c>
      <c r="K28" s="2" t="inlineStr">
        <is>
          <t>No Downtime</t>
        </is>
      </c>
      <c r="L28" s="2" t="inlineStr">
        <is>
          <t>None</t>
        </is>
      </c>
      <c r="M28" s="2" t="n">
        <v>1765.3</v>
      </c>
      <c r="N28" s="2" t="n">
        <v>246.2</v>
      </c>
      <c r="O28" s="2" t="n">
        <v>98280.5</v>
      </c>
      <c r="P28" s="2" t="n">
        <v>176</v>
      </c>
      <c r="Q28" s="2" t="n">
        <v>1.95</v>
      </c>
      <c r="R28" s="2" t="n">
        <v>0</v>
      </c>
      <c r="S28" s="5">
        <f>G28/F28</f>
        <v/>
      </c>
      <c r="T28" s="5">
        <f>MAX(0,1-J28/8)</f>
        <v/>
      </c>
      <c r="U28" s="5">
        <f>IFERROR(G28/(F28*T28),0)</f>
        <v/>
      </c>
      <c r="V28" s="5">
        <f>IFERROR(H28/G28,0)</f>
        <v/>
      </c>
      <c r="W28" s="5">
        <f>T28*U28*V28</f>
        <v/>
      </c>
      <c r="X28" s="5">
        <f>IFERROR(I28/G28,0)</f>
        <v/>
      </c>
      <c r="Y28" s="6">
        <f>IFERROR(G28/M28,0)</f>
        <v/>
      </c>
      <c r="Z28" s="6">
        <f>IFERROR(O28/G28,0)</f>
        <v/>
      </c>
      <c r="AA28" s="2">
        <f>IF(L28="None","No Maintenance",IF(L28="Preventive","Planned","Breakdown"))</f>
        <v/>
      </c>
    </row>
    <row r="29">
      <c r="A29" s="2" t="n">
        <v>25</v>
      </c>
      <c r="B29" s="4" t="n">
        <v>46031</v>
      </c>
      <c r="C29" s="2" t="inlineStr">
        <is>
          <t>Day</t>
        </is>
      </c>
      <c r="D29" s="2" t="inlineStr">
        <is>
          <t>Line 2</t>
        </is>
      </c>
      <c r="E29" s="2" t="inlineStr">
        <is>
          <t>Paprika Chips</t>
        </is>
      </c>
      <c r="F29" s="2" t="n">
        <v>910</v>
      </c>
      <c r="G29" s="2" t="n">
        <v>603</v>
      </c>
      <c r="H29" s="2" t="n">
        <v>588.6</v>
      </c>
      <c r="I29" s="2" t="n">
        <v>14.4</v>
      </c>
      <c r="J29" s="2" t="n">
        <v>3.03</v>
      </c>
      <c r="K29" s="2" t="inlineStr">
        <is>
          <t>Planned Maintenance</t>
        </is>
      </c>
      <c r="L29" s="2" t="inlineStr">
        <is>
          <t>Preventive</t>
        </is>
      </c>
      <c r="M29" s="2" t="n">
        <v>1256.5</v>
      </c>
      <c r="N29" s="2" t="n">
        <v>203.8</v>
      </c>
      <c r="O29" s="2" t="n">
        <v>71973.10000000001</v>
      </c>
      <c r="P29" s="2" t="n">
        <v>181.9</v>
      </c>
      <c r="Q29" s="2" t="n">
        <v>1.83</v>
      </c>
      <c r="R29" s="2" t="n">
        <v>228.87</v>
      </c>
      <c r="S29" s="5">
        <f>G29/F29</f>
        <v/>
      </c>
      <c r="T29" s="5">
        <f>MAX(0,1-J29/8)</f>
        <v/>
      </c>
      <c r="U29" s="5">
        <f>IFERROR(G29/(F29*T29),0)</f>
        <v/>
      </c>
      <c r="V29" s="5">
        <f>IFERROR(H29/G29,0)</f>
        <v/>
      </c>
      <c r="W29" s="5">
        <f>T29*U29*V29</f>
        <v/>
      </c>
      <c r="X29" s="5">
        <f>IFERROR(I29/G29,0)</f>
        <v/>
      </c>
      <c r="Y29" s="6">
        <f>IFERROR(G29/M29,0)</f>
        <v/>
      </c>
      <c r="Z29" s="6">
        <f>IFERROR(O29/G29,0)</f>
        <v/>
      </c>
      <c r="AA29" s="2">
        <f>IF(L29="None","No Maintenance",IF(L29="Preventive","Planned","Breakdown"))</f>
        <v/>
      </c>
    </row>
    <row r="30">
      <c r="A30" s="2" t="n">
        <v>26</v>
      </c>
      <c r="B30" s="4" t="n">
        <v>46031</v>
      </c>
      <c r="C30" s="2" t="inlineStr">
        <is>
          <t>Evening</t>
        </is>
      </c>
      <c r="D30" s="2" t="inlineStr">
        <is>
          <t>Line 1</t>
        </is>
      </c>
      <c r="E30" s="2" t="inlineStr">
        <is>
          <t>Paprika Chips</t>
        </is>
      </c>
      <c r="F30" s="2" t="n">
        <v>923</v>
      </c>
      <c r="G30" s="2" t="n">
        <v>761.7</v>
      </c>
      <c r="H30" s="2" t="n">
        <v>745.7</v>
      </c>
      <c r="I30" s="2" t="n">
        <v>16</v>
      </c>
      <c r="J30" s="2" t="n">
        <v>0.22</v>
      </c>
      <c r="K30" s="2" t="inlineStr">
        <is>
          <t>No Downtime</t>
        </is>
      </c>
      <c r="L30" s="2" t="inlineStr">
        <is>
          <t>None</t>
        </is>
      </c>
      <c r="M30" s="2" t="n">
        <v>1593.4</v>
      </c>
      <c r="N30" s="2" t="n">
        <v>239.7</v>
      </c>
      <c r="O30" s="2" t="n">
        <v>88202.39999999999</v>
      </c>
      <c r="P30" s="2" t="n">
        <v>175.3</v>
      </c>
      <c r="Q30" s="2" t="n">
        <v>1.72</v>
      </c>
      <c r="R30" s="2" t="n">
        <v>0</v>
      </c>
      <c r="S30" s="5">
        <f>G30/F30</f>
        <v/>
      </c>
      <c r="T30" s="5">
        <f>MAX(0,1-J30/8)</f>
        <v/>
      </c>
      <c r="U30" s="5">
        <f>IFERROR(G30/(F30*T30),0)</f>
        <v/>
      </c>
      <c r="V30" s="5">
        <f>IFERROR(H30/G30,0)</f>
        <v/>
      </c>
      <c r="W30" s="5">
        <f>T30*U30*V30</f>
        <v/>
      </c>
      <c r="X30" s="5">
        <f>IFERROR(I30/G30,0)</f>
        <v/>
      </c>
      <c r="Y30" s="6">
        <f>IFERROR(G30/M30,0)</f>
        <v/>
      </c>
      <c r="Z30" s="6">
        <f>IFERROR(O30/G30,0)</f>
        <v/>
      </c>
      <c r="AA30" s="2">
        <f>IF(L30="None","No Maintenance",IF(L30="Preventive","Planned","Breakdown"))</f>
        <v/>
      </c>
    </row>
    <row r="31">
      <c r="A31" s="2" t="n">
        <v>27</v>
      </c>
      <c r="B31" s="4" t="n">
        <v>46031</v>
      </c>
      <c r="C31" s="2" t="inlineStr">
        <is>
          <t>Night</t>
        </is>
      </c>
      <c r="D31" s="2" t="inlineStr">
        <is>
          <t>Line 2</t>
        </is>
      </c>
      <c r="E31" s="2" t="inlineStr">
        <is>
          <t>Classic Chips</t>
        </is>
      </c>
      <c r="F31" s="2" t="n">
        <v>904</v>
      </c>
      <c r="G31" s="2" t="n">
        <v>727.9</v>
      </c>
      <c r="H31" s="2" t="n">
        <v>716.9</v>
      </c>
      <c r="I31" s="2" t="n">
        <v>11</v>
      </c>
      <c r="J31" s="2" t="n">
        <v>0.25</v>
      </c>
      <c r="K31" s="2" t="inlineStr">
        <is>
          <t>No Downtime</t>
        </is>
      </c>
      <c r="L31" s="2" t="inlineStr">
        <is>
          <t>None</t>
        </is>
      </c>
      <c r="M31" s="2" t="n">
        <v>1460.4</v>
      </c>
      <c r="N31" s="2" t="n">
        <v>239.8</v>
      </c>
      <c r="O31" s="2" t="n">
        <v>73878.2</v>
      </c>
      <c r="P31" s="2" t="n">
        <v>180.3</v>
      </c>
      <c r="Q31" s="2" t="n">
        <v>2.03</v>
      </c>
      <c r="R31" s="2" t="n">
        <v>0</v>
      </c>
      <c r="S31" s="5">
        <f>G31/F31</f>
        <v/>
      </c>
      <c r="T31" s="5">
        <f>MAX(0,1-J31/8)</f>
        <v/>
      </c>
      <c r="U31" s="5">
        <f>IFERROR(G31/(F31*T31),0)</f>
        <v/>
      </c>
      <c r="V31" s="5">
        <f>IFERROR(H31/G31,0)</f>
        <v/>
      </c>
      <c r="W31" s="5">
        <f>T31*U31*V31</f>
        <v/>
      </c>
      <c r="X31" s="5">
        <f>IFERROR(I31/G31,0)</f>
        <v/>
      </c>
      <c r="Y31" s="6">
        <f>IFERROR(G31/M31,0)</f>
        <v/>
      </c>
      <c r="Z31" s="6">
        <f>IFERROR(O31/G31,0)</f>
        <v/>
      </c>
      <c r="AA31" s="2">
        <f>IF(L31="None","No Maintenance",IF(L31="Preventive","Planned","Breakdown"))</f>
        <v/>
      </c>
    </row>
    <row r="32">
      <c r="A32" s="2" t="n">
        <v>28</v>
      </c>
      <c r="B32" s="4" t="n">
        <v>46032</v>
      </c>
      <c r="C32" s="2" t="inlineStr">
        <is>
          <t>Day</t>
        </is>
      </c>
      <c r="D32" s="2" t="inlineStr">
        <is>
          <t>Line 1</t>
        </is>
      </c>
      <c r="E32" s="2" t="inlineStr">
        <is>
          <t>Classic Chips</t>
        </is>
      </c>
      <c r="F32" s="2" t="n">
        <v>900</v>
      </c>
      <c r="G32" s="2" t="n">
        <v>832</v>
      </c>
      <c r="H32" s="2" t="n">
        <v>823.5</v>
      </c>
      <c r="I32" s="2" t="n">
        <v>8.5</v>
      </c>
      <c r="J32" s="2" t="n">
        <v>0.33</v>
      </c>
      <c r="K32" s="2" t="inlineStr">
        <is>
          <t>No Downtime</t>
        </is>
      </c>
      <c r="L32" s="2" t="inlineStr">
        <is>
          <t>None</t>
        </is>
      </c>
      <c r="M32" s="2" t="n">
        <v>1645.4</v>
      </c>
      <c r="N32" s="2" t="n">
        <v>259.8</v>
      </c>
      <c r="O32" s="2" t="n">
        <v>110760.7</v>
      </c>
      <c r="P32" s="2" t="n">
        <v>178.3</v>
      </c>
      <c r="Q32" s="2" t="n">
        <v>1.86</v>
      </c>
      <c r="R32" s="2" t="n">
        <v>0</v>
      </c>
      <c r="S32" s="5">
        <f>G32/F32</f>
        <v/>
      </c>
      <c r="T32" s="5">
        <f>MAX(0,1-J32/8)</f>
        <v/>
      </c>
      <c r="U32" s="5">
        <f>IFERROR(G32/(F32*T32),0)</f>
        <v/>
      </c>
      <c r="V32" s="5">
        <f>IFERROR(H32/G32,0)</f>
        <v/>
      </c>
      <c r="W32" s="5">
        <f>T32*U32*V32</f>
        <v/>
      </c>
      <c r="X32" s="5">
        <f>IFERROR(I32/G32,0)</f>
        <v/>
      </c>
      <c r="Y32" s="6">
        <f>IFERROR(G32/M32,0)</f>
        <v/>
      </c>
      <c r="Z32" s="6">
        <f>IFERROR(O32/G32,0)</f>
        <v/>
      </c>
      <c r="AA32" s="2">
        <f>IF(L32="None","No Maintenance",IF(L32="Preventive","Planned","Breakdown"))</f>
        <v/>
      </c>
    </row>
    <row r="33">
      <c r="A33" s="2" t="n">
        <v>29</v>
      </c>
      <c r="B33" s="4" t="n">
        <v>46032</v>
      </c>
      <c r="C33" s="2" t="inlineStr">
        <is>
          <t>Evening</t>
        </is>
      </c>
      <c r="D33" s="2" t="inlineStr">
        <is>
          <t>Line 1</t>
        </is>
      </c>
      <c r="E33" s="2" t="inlineStr">
        <is>
          <t>Paprika Chips</t>
        </is>
      </c>
      <c r="F33" s="2" t="n">
        <v>1028</v>
      </c>
      <c r="G33" s="2" t="n">
        <v>777.3</v>
      </c>
      <c r="H33" s="2" t="n">
        <v>764.3</v>
      </c>
      <c r="I33" s="2" t="n">
        <v>13</v>
      </c>
      <c r="J33" s="2" t="n">
        <v>0.93</v>
      </c>
      <c r="K33" s="2" t="inlineStr">
        <is>
          <t>Fryer Temperature</t>
        </is>
      </c>
      <c r="L33" s="2" t="inlineStr">
        <is>
          <t>Emergency</t>
        </is>
      </c>
      <c r="M33" s="2" t="n">
        <v>1630.6</v>
      </c>
      <c r="N33" s="2" t="n">
        <v>263.5</v>
      </c>
      <c r="O33" s="2" t="n">
        <v>94702.7</v>
      </c>
      <c r="P33" s="2" t="n">
        <v>177.9</v>
      </c>
      <c r="Q33" s="2" t="n">
        <v>1.75</v>
      </c>
      <c r="R33" s="2" t="n">
        <v>772.1900000000001</v>
      </c>
      <c r="S33" s="5">
        <f>G33/F33</f>
        <v/>
      </c>
      <c r="T33" s="5">
        <f>MAX(0,1-J33/8)</f>
        <v/>
      </c>
      <c r="U33" s="5">
        <f>IFERROR(G33/(F33*T33),0)</f>
        <v/>
      </c>
      <c r="V33" s="5">
        <f>IFERROR(H33/G33,0)</f>
        <v/>
      </c>
      <c r="W33" s="5">
        <f>T33*U33*V33</f>
        <v/>
      </c>
      <c r="X33" s="5">
        <f>IFERROR(I33/G33,0)</f>
        <v/>
      </c>
      <c r="Y33" s="6">
        <f>IFERROR(G33/M33,0)</f>
        <v/>
      </c>
      <c r="Z33" s="6">
        <f>IFERROR(O33/G33,0)</f>
        <v/>
      </c>
      <c r="AA33" s="2">
        <f>IF(L33="None","No Maintenance",IF(L33="Preventive","Planned","Breakdown"))</f>
        <v/>
      </c>
    </row>
    <row r="34">
      <c r="A34" s="2" t="n">
        <v>30</v>
      </c>
      <c r="B34" s="4" t="n">
        <v>46032</v>
      </c>
      <c r="C34" s="2" t="inlineStr">
        <is>
          <t>Night</t>
        </is>
      </c>
      <c r="D34" s="2" t="inlineStr">
        <is>
          <t>Line 2</t>
        </is>
      </c>
      <c r="E34" s="2" t="inlineStr">
        <is>
          <t>Salt &amp; Vinegar</t>
        </is>
      </c>
      <c r="F34" s="2" t="n">
        <v>1046</v>
      </c>
      <c r="G34" s="2" t="n">
        <v>695.1</v>
      </c>
      <c r="H34" s="2" t="n">
        <v>690.5</v>
      </c>
      <c r="I34" s="2" t="n">
        <v>4.6</v>
      </c>
      <c r="J34" s="2" t="n">
        <v>1.53</v>
      </c>
      <c r="K34" s="2" t="inlineStr">
        <is>
          <t>Conveyor Jam</t>
        </is>
      </c>
      <c r="L34" s="2" t="inlineStr">
        <is>
          <t>Corrective</t>
        </is>
      </c>
      <c r="M34" s="2" t="n">
        <v>1357.9</v>
      </c>
      <c r="N34" s="2" t="n">
        <v>215.6</v>
      </c>
      <c r="O34" s="2" t="n">
        <v>81770.10000000001</v>
      </c>
      <c r="P34" s="2" t="n">
        <v>180.8</v>
      </c>
      <c r="Q34" s="2" t="n">
        <v>1.84</v>
      </c>
      <c r="R34" s="2" t="n">
        <v>811</v>
      </c>
      <c r="S34" s="5">
        <f>G34/F34</f>
        <v/>
      </c>
      <c r="T34" s="5">
        <f>MAX(0,1-J34/8)</f>
        <v/>
      </c>
      <c r="U34" s="5">
        <f>IFERROR(G34/(F34*T34),0)</f>
        <v/>
      </c>
      <c r="V34" s="5">
        <f>IFERROR(H34/G34,0)</f>
        <v/>
      </c>
      <c r="W34" s="5">
        <f>T34*U34*V34</f>
        <v/>
      </c>
      <c r="X34" s="5">
        <f>IFERROR(I34/G34,0)</f>
        <v/>
      </c>
      <c r="Y34" s="6">
        <f>IFERROR(G34/M34,0)</f>
        <v/>
      </c>
      <c r="Z34" s="6">
        <f>IFERROR(O34/G34,0)</f>
        <v/>
      </c>
      <c r="AA34" s="2">
        <f>IF(L34="None","No Maintenance",IF(L34="Preventive","Planned","Breakdown"))</f>
        <v/>
      </c>
    </row>
    <row r="35">
      <c r="A35" s="2" t="n">
        <v>31</v>
      </c>
      <c r="B35" s="4" t="n">
        <v>46033</v>
      </c>
      <c r="C35" s="2" t="inlineStr">
        <is>
          <t>Day</t>
        </is>
      </c>
      <c r="D35" s="2" t="inlineStr">
        <is>
          <t>Line 1</t>
        </is>
      </c>
      <c r="E35" s="2" t="inlineStr">
        <is>
          <t>Classic Chips</t>
        </is>
      </c>
      <c r="F35" s="2" t="n">
        <v>1032</v>
      </c>
      <c r="G35" s="2" t="n">
        <v>694.6</v>
      </c>
      <c r="H35" s="2" t="n">
        <v>692.8</v>
      </c>
      <c r="I35" s="2" t="n">
        <v>1.8</v>
      </c>
      <c r="J35" s="2" t="n">
        <v>3.69</v>
      </c>
      <c r="K35" s="2" t="inlineStr">
        <is>
          <t>Packaging Machine</t>
        </is>
      </c>
      <c r="L35" s="2" t="inlineStr">
        <is>
          <t>Corrective</t>
        </is>
      </c>
      <c r="M35" s="2" t="n">
        <v>1417.9</v>
      </c>
      <c r="N35" s="2" t="n">
        <v>230</v>
      </c>
      <c r="O35" s="2" t="n">
        <v>75564.2</v>
      </c>
      <c r="P35" s="2" t="n">
        <v>177.6</v>
      </c>
      <c r="Q35" s="2" t="n">
        <v>1.48</v>
      </c>
      <c r="R35" s="2" t="n">
        <v>877.85</v>
      </c>
      <c r="S35" s="5">
        <f>G35/F35</f>
        <v/>
      </c>
      <c r="T35" s="5">
        <f>MAX(0,1-J35/8)</f>
        <v/>
      </c>
      <c r="U35" s="5">
        <f>IFERROR(G35/(F35*T35),0)</f>
        <v/>
      </c>
      <c r="V35" s="5">
        <f>IFERROR(H35/G35,0)</f>
        <v/>
      </c>
      <c r="W35" s="5">
        <f>T35*U35*V35</f>
        <v/>
      </c>
      <c r="X35" s="5">
        <f>IFERROR(I35/G35,0)</f>
        <v/>
      </c>
      <c r="Y35" s="6">
        <f>IFERROR(G35/M35,0)</f>
        <v/>
      </c>
      <c r="Z35" s="6">
        <f>IFERROR(O35/G35,0)</f>
        <v/>
      </c>
      <c r="AA35" s="2">
        <f>IF(L35="None","No Maintenance",IF(L35="Preventive","Planned","Breakdown"))</f>
        <v/>
      </c>
    </row>
    <row r="36">
      <c r="A36" s="2" t="n">
        <v>32</v>
      </c>
      <c r="B36" s="4" t="n">
        <v>46033</v>
      </c>
      <c r="C36" s="2" t="inlineStr">
        <is>
          <t>Evening</t>
        </is>
      </c>
      <c r="D36" s="2" t="inlineStr">
        <is>
          <t>Line 2</t>
        </is>
      </c>
      <c r="E36" s="2" t="inlineStr">
        <is>
          <t>Paprika Chips</t>
        </is>
      </c>
      <c r="F36" s="2" t="n">
        <v>966</v>
      </c>
      <c r="G36" s="2" t="n">
        <v>736</v>
      </c>
      <c r="H36" s="2" t="n">
        <v>730.6</v>
      </c>
      <c r="I36" s="2" t="n">
        <v>5.4</v>
      </c>
      <c r="J36" s="2" t="n">
        <v>1.78</v>
      </c>
      <c r="K36" s="2" t="inlineStr">
        <is>
          <t>Packaging Machine</t>
        </is>
      </c>
      <c r="L36" s="2" t="inlineStr">
        <is>
          <t>Emergency</t>
        </is>
      </c>
      <c r="M36" s="2" t="n">
        <v>1502.2</v>
      </c>
      <c r="N36" s="2" t="n">
        <v>254</v>
      </c>
      <c r="O36" s="2" t="n">
        <v>80160.89999999999</v>
      </c>
      <c r="P36" s="2" t="n">
        <v>176.1</v>
      </c>
      <c r="Q36" s="2" t="n">
        <v>1.88</v>
      </c>
      <c r="R36" s="2" t="n">
        <v>1587.76</v>
      </c>
      <c r="S36" s="5">
        <f>G36/F36</f>
        <v/>
      </c>
      <c r="T36" s="5">
        <f>MAX(0,1-J36/8)</f>
        <v/>
      </c>
      <c r="U36" s="5">
        <f>IFERROR(G36/(F36*T36),0)</f>
        <v/>
      </c>
      <c r="V36" s="5">
        <f>IFERROR(H36/G36,0)</f>
        <v/>
      </c>
      <c r="W36" s="5">
        <f>T36*U36*V36</f>
        <v/>
      </c>
      <c r="X36" s="5">
        <f>IFERROR(I36/G36,0)</f>
        <v/>
      </c>
      <c r="Y36" s="6">
        <f>IFERROR(G36/M36,0)</f>
        <v/>
      </c>
      <c r="Z36" s="6">
        <f>IFERROR(O36/G36,0)</f>
        <v/>
      </c>
      <c r="AA36" s="2">
        <f>IF(L36="None","No Maintenance",IF(L36="Preventive","Planned","Breakdown"))</f>
        <v/>
      </c>
    </row>
    <row r="37">
      <c r="A37" s="2" t="n">
        <v>33</v>
      </c>
      <c r="B37" s="4" t="n">
        <v>46033</v>
      </c>
      <c r="C37" s="2" t="inlineStr">
        <is>
          <t>Night</t>
        </is>
      </c>
      <c r="D37" s="2" t="inlineStr">
        <is>
          <t>Line 2</t>
        </is>
      </c>
      <c r="E37" s="2" t="inlineStr">
        <is>
          <t>Paprika Chips</t>
        </is>
      </c>
      <c r="F37" s="2" t="n">
        <v>975</v>
      </c>
      <c r="G37" s="2" t="n">
        <v>809.2</v>
      </c>
      <c r="H37" s="2" t="n">
        <v>798.2</v>
      </c>
      <c r="I37" s="2" t="n">
        <v>11</v>
      </c>
      <c r="J37" s="2" t="n">
        <v>0.29</v>
      </c>
      <c r="K37" s="2" t="inlineStr">
        <is>
          <t>No Downtime</t>
        </is>
      </c>
      <c r="L37" s="2" t="inlineStr">
        <is>
          <t>None</t>
        </is>
      </c>
      <c r="M37" s="2" t="n">
        <v>1628.9</v>
      </c>
      <c r="N37" s="2" t="n">
        <v>243.1</v>
      </c>
      <c r="O37" s="2" t="n">
        <v>103677.7</v>
      </c>
      <c r="P37" s="2" t="n">
        <v>177.6</v>
      </c>
      <c r="Q37" s="2" t="n">
        <v>2.01</v>
      </c>
      <c r="R37" s="2" t="n">
        <v>0</v>
      </c>
      <c r="S37" s="5">
        <f>G37/F37</f>
        <v/>
      </c>
      <c r="T37" s="5">
        <f>MAX(0,1-J37/8)</f>
        <v/>
      </c>
      <c r="U37" s="5">
        <f>IFERROR(G37/(F37*T37),0)</f>
        <v/>
      </c>
      <c r="V37" s="5">
        <f>IFERROR(H37/G37,0)</f>
        <v/>
      </c>
      <c r="W37" s="5">
        <f>T37*U37*V37</f>
        <v/>
      </c>
      <c r="X37" s="5">
        <f>IFERROR(I37/G37,0)</f>
        <v/>
      </c>
      <c r="Y37" s="6">
        <f>IFERROR(G37/M37,0)</f>
        <v/>
      </c>
      <c r="Z37" s="6">
        <f>IFERROR(O37/G37,0)</f>
        <v/>
      </c>
      <c r="AA37" s="2">
        <f>IF(L37="None","No Maintenance",IF(L37="Preventive","Planned","Breakdown"))</f>
        <v/>
      </c>
    </row>
    <row r="38">
      <c r="A38" s="2" t="n">
        <v>34</v>
      </c>
      <c r="B38" s="4" t="n">
        <v>46034</v>
      </c>
      <c r="C38" s="2" t="inlineStr">
        <is>
          <t>Day</t>
        </is>
      </c>
      <c r="D38" s="2" t="inlineStr">
        <is>
          <t>Line 2</t>
        </is>
      </c>
      <c r="E38" s="2" t="inlineStr">
        <is>
          <t>Paprika Chips</t>
        </is>
      </c>
      <c r="F38" s="2" t="n">
        <v>945</v>
      </c>
      <c r="G38" s="2" t="n">
        <v>837.9</v>
      </c>
      <c r="H38" s="2" t="n">
        <v>836.2</v>
      </c>
      <c r="I38" s="2" t="n">
        <v>1.7</v>
      </c>
      <c r="J38" s="2" t="n">
        <v>0.11</v>
      </c>
      <c r="K38" s="2" t="inlineStr">
        <is>
          <t>No Downtime</t>
        </is>
      </c>
      <c r="L38" s="2" t="inlineStr">
        <is>
          <t>None</t>
        </is>
      </c>
      <c r="M38" s="2" t="n">
        <v>1650.6</v>
      </c>
      <c r="N38" s="2" t="n">
        <v>277.2</v>
      </c>
      <c r="O38" s="2" t="n">
        <v>85569</v>
      </c>
      <c r="P38" s="2" t="n">
        <v>179.7</v>
      </c>
      <c r="Q38" s="2" t="n">
        <v>1.98</v>
      </c>
      <c r="R38" s="2" t="n">
        <v>0</v>
      </c>
      <c r="S38" s="5">
        <f>G38/F38</f>
        <v/>
      </c>
      <c r="T38" s="5">
        <f>MAX(0,1-J38/8)</f>
        <v/>
      </c>
      <c r="U38" s="5">
        <f>IFERROR(G38/(F38*T38),0)</f>
        <v/>
      </c>
      <c r="V38" s="5">
        <f>IFERROR(H38/G38,0)</f>
        <v/>
      </c>
      <c r="W38" s="5">
        <f>T38*U38*V38</f>
        <v/>
      </c>
      <c r="X38" s="5">
        <f>IFERROR(I38/G38,0)</f>
        <v/>
      </c>
      <c r="Y38" s="6">
        <f>IFERROR(G38/M38,0)</f>
        <v/>
      </c>
      <c r="Z38" s="6">
        <f>IFERROR(O38/G38,0)</f>
        <v/>
      </c>
      <c r="AA38" s="2">
        <f>IF(L38="None","No Maintenance",IF(L38="Preventive","Planned","Breakdown"))</f>
        <v/>
      </c>
    </row>
    <row r="39">
      <c r="A39" s="2" t="n">
        <v>35</v>
      </c>
      <c r="B39" s="4" t="n">
        <v>46034</v>
      </c>
      <c r="C39" s="2" t="inlineStr">
        <is>
          <t>Evening</t>
        </is>
      </c>
      <c r="D39" s="2" t="inlineStr">
        <is>
          <t>Line 2</t>
        </is>
      </c>
      <c r="E39" s="2" t="inlineStr">
        <is>
          <t>Classic Chips</t>
        </is>
      </c>
      <c r="F39" s="2" t="n">
        <v>1043</v>
      </c>
      <c r="G39" s="2" t="n">
        <v>870.8</v>
      </c>
      <c r="H39" s="2" t="n">
        <v>854.3</v>
      </c>
      <c r="I39" s="2" t="n">
        <v>16.5</v>
      </c>
      <c r="J39" s="2" t="n">
        <v>0.39</v>
      </c>
      <c r="K39" s="2" t="inlineStr">
        <is>
          <t>No Downtime</t>
        </is>
      </c>
      <c r="L39" s="2" t="inlineStr">
        <is>
          <t>None</t>
        </is>
      </c>
      <c r="M39" s="2" t="n">
        <v>1802.6</v>
      </c>
      <c r="N39" s="2" t="n">
        <v>288</v>
      </c>
      <c r="O39" s="2" t="n">
        <v>101513.2</v>
      </c>
      <c r="P39" s="2" t="n">
        <v>178.3</v>
      </c>
      <c r="Q39" s="2" t="n">
        <v>1.75</v>
      </c>
      <c r="R39" s="2" t="n">
        <v>0</v>
      </c>
      <c r="S39" s="5">
        <f>G39/F39</f>
        <v/>
      </c>
      <c r="T39" s="5">
        <f>MAX(0,1-J39/8)</f>
        <v/>
      </c>
      <c r="U39" s="5">
        <f>IFERROR(G39/(F39*T39),0)</f>
        <v/>
      </c>
      <c r="V39" s="5">
        <f>IFERROR(H39/G39,0)</f>
        <v/>
      </c>
      <c r="W39" s="5">
        <f>T39*U39*V39</f>
        <v/>
      </c>
      <c r="X39" s="5">
        <f>IFERROR(I39/G39,0)</f>
        <v/>
      </c>
      <c r="Y39" s="6">
        <f>IFERROR(G39/M39,0)</f>
        <v/>
      </c>
      <c r="Z39" s="6">
        <f>IFERROR(O39/G39,0)</f>
        <v/>
      </c>
      <c r="AA39" s="2">
        <f>IF(L39="None","No Maintenance",IF(L39="Preventive","Planned","Breakdown"))</f>
        <v/>
      </c>
    </row>
    <row r="40">
      <c r="A40" s="2" t="n">
        <v>36</v>
      </c>
      <c r="B40" s="4" t="n">
        <v>46034</v>
      </c>
      <c r="C40" s="2" t="inlineStr">
        <is>
          <t>Night</t>
        </is>
      </c>
      <c r="D40" s="2" t="inlineStr">
        <is>
          <t>Line 2</t>
        </is>
      </c>
      <c r="E40" s="2" t="inlineStr">
        <is>
          <t>Classic Chips</t>
        </is>
      </c>
      <c r="F40" s="2" t="n">
        <v>978</v>
      </c>
      <c r="G40" s="2" t="n">
        <v>577.2</v>
      </c>
      <c r="H40" s="2" t="n">
        <v>568.6</v>
      </c>
      <c r="I40" s="2" t="n">
        <v>8.699999999999999</v>
      </c>
      <c r="J40" s="2" t="n">
        <v>1.81</v>
      </c>
      <c r="K40" s="2" t="inlineStr">
        <is>
          <t>Conveyor Jam</t>
        </is>
      </c>
      <c r="L40" s="2" t="inlineStr">
        <is>
          <t>Corrective</t>
        </is>
      </c>
      <c r="M40" s="2" t="n">
        <v>1223</v>
      </c>
      <c r="N40" s="2" t="n">
        <v>188.5</v>
      </c>
      <c r="O40" s="2" t="n">
        <v>65495</v>
      </c>
      <c r="P40" s="2" t="n">
        <v>177</v>
      </c>
      <c r="Q40" s="2" t="n">
        <v>1.54</v>
      </c>
      <c r="R40" s="2" t="n">
        <v>671.16</v>
      </c>
      <c r="S40" s="5">
        <f>G40/F40</f>
        <v/>
      </c>
      <c r="T40" s="5">
        <f>MAX(0,1-J40/8)</f>
        <v/>
      </c>
      <c r="U40" s="5">
        <f>IFERROR(G40/(F40*T40),0)</f>
        <v/>
      </c>
      <c r="V40" s="5">
        <f>IFERROR(H40/G40,0)</f>
        <v/>
      </c>
      <c r="W40" s="5">
        <f>T40*U40*V40</f>
        <v/>
      </c>
      <c r="X40" s="5">
        <f>IFERROR(I40/G40,0)</f>
        <v/>
      </c>
      <c r="Y40" s="6">
        <f>IFERROR(G40/M40,0)</f>
        <v/>
      </c>
      <c r="Z40" s="6">
        <f>IFERROR(O40/G40,0)</f>
        <v/>
      </c>
      <c r="AA40" s="2">
        <f>IF(L40="None","No Maintenance",IF(L40="Preventive","Planned","Breakdown"))</f>
        <v/>
      </c>
    </row>
    <row r="41">
      <c r="A41" s="2" t="n">
        <v>37</v>
      </c>
      <c r="B41" s="4" t="n">
        <v>46035</v>
      </c>
      <c r="C41" s="2" t="inlineStr">
        <is>
          <t>Day</t>
        </is>
      </c>
      <c r="D41" s="2" t="inlineStr">
        <is>
          <t>Line 1</t>
        </is>
      </c>
      <c r="E41" s="2" t="inlineStr">
        <is>
          <t>Classic Chips</t>
        </is>
      </c>
      <c r="F41" s="2" t="n">
        <v>962</v>
      </c>
      <c r="G41" s="2" t="n">
        <v>622.2</v>
      </c>
      <c r="H41" s="2" t="n">
        <v>609.9</v>
      </c>
      <c r="I41" s="2" t="n">
        <v>12.4</v>
      </c>
      <c r="J41" s="2" t="n">
        <v>2.73</v>
      </c>
      <c r="K41" s="2" t="inlineStr">
        <is>
          <t>Conveyor Jam</t>
        </is>
      </c>
      <c r="L41" s="2" t="inlineStr">
        <is>
          <t>Emergency</t>
        </is>
      </c>
      <c r="M41" s="2" t="n">
        <v>1285.3</v>
      </c>
      <c r="N41" s="2" t="n">
        <v>180.6</v>
      </c>
      <c r="O41" s="2" t="n">
        <v>71728.3</v>
      </c>
      <c r="P41" s="2" t="n">
        <v>179.9</v>
      </c>
      <c r="Q41" s="2" t="n">
        <v>1.54</v>
      </c>
      <c r="R41" s="2" t="n">
        <v>901.05</v>
      </c>
      <c r="S41" s="5">
        <f>G41/F41</f>
        <v/>
      </c>
      <c r="T41" s="5">
        <f>MAX(0,1-J41/8)</f>
        <v/>
      </c>
      <c r="U41" s="5">
        <f>IFERROR(G41/(F41*T41),0)</f>
        <v/>
      </c>
      <c r="V41" s="5">
        <f>IFERROR(H41/G41,0)</f>
        <v/>
      </c>
      <c r="W41" s="5">
        <f>T41*U41*V41</f>
        <v/>
      </c>
      <c r="X41" s="5">
        <f>IFERROR(I41/G41,0)</f>
        <v/>
      </c>
      <c r="Y41" s="6">
        <f>IFERROR(G41/M41,0)</f>
        <v/>
      </c>
      <c r="Z41" s="6">
        <f>IFERROR(O41/G41,0)</f>
        <v/>
      </c>
      <c r="AA41" s="2">
        <f>IF(L41="None","No Maintenance",IF(L41="Preventive","Planned","Breakdown"))</f>
        <v/>
      </c>
    </row>
    <row r="42">
      <c r="A42" s="2" t="n">
        <v>38</v>
      </c>
      <c r="B42" s="4" t="n">
        <v>46035</v>
      </c>
      <c r="C42" s="2" t="inlineStr">
        <is>
          <t>Evening</t>
        </is>
      </c>
      <c r="D42" s="2" t="inlineStr">
        <is>
          <t>Line 2</t>
        </is>
      </c>
      <c r="E42" s="2" t="inlineStr">
        <is>
          <t>Classic Chips</t>
        </is>
      </c>
      <c r="F42" s="2" t="n">
        <v>902</v>
      </c>
      <c r="G42" s="2" t="n">
        <v>780.1</v>
      </c>
      <c r="H42" s="2" t="n">
        <v>773</v>
      </c>
      <c r="I42" s="2" t="n">
        <v>7.1</v>
      </c>
      <c r="J42" s="2" t="n">
        <v>0.23</v>
      </c>
      <c r="K42" s="2" t="inlineStr">
        <is>
          <t>No Downtime</t>
        </is>
      </c>
      <c r="L42" s="2" t="inlineStr">
        <is>
          <t>None</t>
        </is>
      </c>
      <c r="M42" s="2" t="n">
        <v>1584.3</v>
      </c>
      <c r="N42" s="2" t="n">
        <v>231.6</v>
      </c>
      <c r="O42" s="2" t="n">
        <v>89407.2</v>
      </c>
      <c r="P42" s="2" t="n">
        <v>178.5</v>
      </c>
      <c r="Q42" s="2" t="n">
        <v>1.7</v>
      </c>
      <c r="R42" s="2" t="n">
        <v>0</v>
      </c>
      <c r="S42" s="5">
        <f>G42/F42</f>
        <v/>
      </c>
      <c r="T42" s="5">
        <f>MAX(0,1-J42/8)</f>
        <v/>
      </c>
      <c r="U42" s="5">
        <f>IFERROR(G42/(F42*T42),0)</f>
        <v/>
      </c>
      <c r="V42" s="5">
        <f>IFERROR(H42/G42,0)</f>
        <v/>
      </c>
      <c r="W42" s="5">
        <f>T42*U42*V42</f>
        <v/>
      </c>
      <c r="X42" s="5">
        <f>IFERROR(I42/G42,0)</f>
        <v/>
      </c>
      <c r="Y42" s="6">
        <f>IFERROR(G42/M42,0)</f>
        <v/>
      </c>
      <c r="Z42" s="6">
        <f>IFERROR(O42/G42,0)</f>
        <v/>
      </c>
      <c r="AA42" s="2">
        <f>IF(L42="None","No Maintenance",IF(L42="Preventive","Planned","Breakdown"))</f>
        <v/>
      </c>
    </row>
    <row r="43">
      <c r="A43" s="2" t="n">
        <v>39</v>
      </c>
      <c r="B43" s="4" t="n">
        <v>46035</v>
      </c>
      <c r="C43" s="2" t="inlineStr">
        <is>
          <t>Night</t>
        </is>
      </c>
      <c r="D43" s="2" t="inlineStr">
        <is>
          <t>Line 1</t>
        </is>
      </c>
      <c r="E43" s="2" t="inlineStr">
        <is>
          <t>Salt &amp; Vinegar</t>
        </is>
      </c>
      <c r="F43" s="2" t="n">
        <v>904</v>
      </c>
      <c r="G43" s="2" t="n">
        <v>752</v>
      </c>
      <c r="H43" s="2" t="n">
        <v>737</v>
      </c>
      <c r="I43" s="2" t="n">
        <v>15</v>
      </c>
      <c r="J43" s="2" t="n">
        <v>0.39</v>
      </c>
      <c r="K43" s="2" t="inlineStr">
        <is>
          <t>No Downtime</t>
        </is>
      </c>
      <c r="L43" s="2" t="inlineStr">
        <is>
          <t>None</t>
        </is>
      </c>
      <c r="M43" s="2" t="n">
        <v>1630.7</v>
      </c>
      <c r="N43" s="2" t="n">
        <v>237.1</v>
      </c>
      <c r="O43" s="2" t="n">
        <v>82912.8</v>
      </c>
      <c r="P43" s="2" t="n">
        <v>183.4</v>
      </c>
      <c r="Q43" s="2" t="n">
        <v>1.6</v>
      </c>
      <c r="R43" s="2" t="n">
        <v>0</v>
      </c>
      <c r="S43" s="5">
        <f>G43/F43</f>
        <v/>
      </c>
      <c r="T43" s="5">
        <f>MAX(0,1-J43/8)</f>
        <v/>
      </c>
      <c r="U43" s="5">
        <f>IFERROR(G43/(F43*T43),0)</f>
        <v/>
      </c>
      <c r="V43" s="5">
        <f>IFERROR(H43/G43,0)</f>
        <v/>
      </c>
      <c r="W43" s="5">
        <f>T43*U43*V43</f>
        <v/>
      </c>
      <c r="X43" s="5">
        <f>IFERROR(I43/G43,0)</f>
        <v/>
      </c>
      <c r="Y43" s="6">
        <f>IFERROR(G43/M43,0)</f>
        <v/>
      </c>
      <c r="Z43" s="6">
        <f>IFERROR(O43/G43,0)</f>
        <v/>
      </c>
      <c r="AA43" s="2">
        <f>IF(L43="None","No Maintenance",IF(L43="Preventive","Planned","Breakdown"))</f>
        <v/>
      </c>
    </row>
    <row r="44">
      <c r="A44" s="2" t="n">
        <v>40</v>
      </c>
      <c r="B44" s="4" t="n">
        <v>46036</v>
      </c>
      <c r="C44" s="2" t="inlineStr">
        <is>
          <t>Day</t>
        </is>
      </c>
      <c r="D44" s="2" t="inlineStr">
        <is>
          <t>Line 2</t>
        </is>
      </c>
      <c r="E44" s="2" t="inlineStr">
        <is>
          <t>Salt &amp; Vinegar</t>
        </is>
      </c>
      <c r="F44" s="2" t="n">
        <v>962</v>
      </c>
      <c r="G44" s="2" t="n">
        <v>612.1</v>
      </c>
      <c r="H44" s="2" t="n">
        <v>597</v>
      </c>
      <c r="I44" s="2" t="n">
        <v>15</v>
      </c>
      <c r="J44" s="2" t="n">
        <v>2.06</v>
      </c>
      <c r="K44" s="2" t="inlineStr">
        <is>
          <t>Fryer Temperature</t>
        </is>
      </c>
      <c r="L44" s="2" t="inlineStr">
        <is>
          <t>Corrective</t>
        </is>
      </c>
      <c r="M44" s="2" t="n">
        <v>1289.2</v>
      </c>
      <c r="N44" s="2" t="n">
        <v>188</v>
      </c>
      <c r="O44" s="2" t="n">
        <v>74011.2</v>
      </c>
      <c r="P44" s="2" t="n">
        <v>179.5</v>
      </c>
      <c r="Q44" s="2" t="n">
        <v>1.43</v>
      </c>
      <c r="R44" s="2" t="n">
        <v>878.72</v>
      </c>
      <c r="S44" s="5">
        <f>G44/F44</f>
        <v/>
      </c>
      <c r="T44" s="5">
        <f>MAX(0,1-J44/8)</f>
        <v/>
      </c>
      <c r="U44" s="5">
        <f>IFERROR(G44/(F44*T44),0)</f>
        <v/>
      </c>
      <c r="V44" s="5">
        <f>IFERROR(H44/G44,0)</f>
        <v/>
      </c>
      <c r="W44" s="5">
        <f>T44*U44*V44</f>
        <v/>
      </c>
      <c r="X44" s="5">
        <f>IFERROR(I44/G44,0)</f>
        <v/>
      </c>
      <c r="Y44" s="6">
        <f>IFERROR(G44/M44,0)</f>
        <v/>
      </c>
      <c r="Z44" s="6">
        <f>IFERROR(O44/G44,0)</f>
        <v/>
      </c>
      <c r="AA44" s="2">
        <f>IF(L44="None","No Maintenance",IF(L44="Preventive","Planned","Breakdown"))</f>
        <v/>
      </c>
    </row>
    <row r="45">
      <c r="A45" s="2" t="n">
        <v>41</v>
      </c>
      <c r="B45" s="4" t="n">
        <v>46036</v>
      </c>
      <c r="C45" s="2" t="inlineStr">
        <is>
          <t>Evening</t>
        </is>
      </c>
      <c r="D45" s="2" t="inlineStr">
        <is>
          <t>Line 2</t>
        </is>
      </c>
      <c r="E45" s="2" t="inlineStr">
        <is>
          <t>Classic Chips</t>
        </is>
      </c>
      <c r="F45" s="2" t="n">
        <v>1045</v>
      </c>
      <c r="G45" s="2" t="n">
        <v>887.5</v>
      </c>
      <c r="H45" s="2" t="n">
        <v>878.4</v>
      </c>
      <c r="I45" s="2" t="n">
        <v>9.1</v>
      </c>
      <c r="J45" s="2" t="n">
        <v>0.32</v>
      </c>
      <c r="K45" s="2" t="inlineStr">
        <is>
          <t>No Downtime</t>
        </is>
      </c>
      <c r="L45" s="2" t="inlineStr">
        <is>
          <t>None</t>
        </is>
      </c>
      <c r="M45" s="2" t="n">
        <v>1813.1</v>
      </c>
      <c r="N45" s="2" t="n">
        <v>286.1</v>
      </c>
      <c r="O45" s="2" t="n">
        <v>102605.2</v>
      </c>
      <c r="P45" s="2" t="n">
        <v>180.4</v>
      </c>
      <c r="Q45" s="2" t="n">
        <v>1.56</v>
      </c>
      <c r="R45" s="2" t="n">
        <v>0</v>
      </c>
      <c r="S45" s="5">
        <f>G45/F45</f>
        <v/>
      </c>
      <c r="T45" s="5">
        <f>MAX(0,1-J45/8)</f>
        <v/>
      </c>
      <c r="U45" s="5">
        <f>IFERROR(G45/(F45*T45),0)</f>
        <v/>
      </c>
      <c r="V45" s="5">
        <f>IFERROR(H45/G45,0)</f>
        <v/>
      </c>
      <c r="W45" s="5">
        <f>T45*U45*V45</f>
        <v/>
      </c>
      <c r="X45" s="5">
        <f>IFERROR(I45/G45,0)</f>
        <v/>
      </c>
      <c r="Y45" s="6">
        <f>IFERROR(G45/M45,0)</f>
        <v/>
      </c>
      <c r="Z45" s="6">
        <f>IFERROR(O45/G45,0)</f>
        <v/>
      </c>
      <c r="AA45" s="2">
        <f>IF(L45="None","No Maintenance",IF(L45="Preventive","Planned","Breakdown"))</f>
        <v/>
      </c>
    </row>
    <row r="46">
      <c r="A46" s="2" t="n">
        <v>42</v>
      </c>
      <c r="B46" s="4" t="n">
        <v>46036</v>
      </c>
      <c r="C46" s="2" t="inlineStr">
        <is>
          <t>Night</t>
        </is>
      </c>
      <c r="D46" s="2" t="inlineStr">
        <is>
          <t>Line 2</t>
        </is>
      </c>
      <c r="E46" s="2" t="inlineStr">
        <is>
          <t>Salt &amp; Vinegar</t>
        </is>
      </c>
      <c r="F46" s="2" t="n">
        <v>953</v>
      </c>
      <c r="G46" s="2" t="n">
        <v>731.6</v>
      </c>
      <c r="H46" s="2" t="n">
        <v>712.1</v>
      </c>
      <c r="I46" s="2" t="n">
        <v>19.6</v>
      </c>
      <c r="J46" s="2" t="n">
        <v>0.02</v>
      </c>
      <c r="K46" s="2" t="inlineStr">
        <is>
          <t>No Downtime</t>
        </is>
      </c>
      <c r="L46" s="2" t="inlineStr">
        <is>
          <t>None</t>
        </is>
      </c>
      <c r="M46" s="2" t="n">
        <v>1475.2</v>
      </c>
      <c r="N46" s="2" t="n">
        <v>237.1</v>
      </c>
      <c r="O46" s="2" t="n">
        <v>88741.10000000001</v>
      </c>
      <c r="P46" s="2" t="n">
        <v>178.8</v>
      </c>
      <c r="Q46" s="2" t="n">
        <v>1.54</v>
      </c>
      <c r="R46" s="2" t="n">
        <v>0</v>
      </c>
      <c r="S46" s="5">
        <f>G46/F46</f>
        <v/>
      </c>
      <c r="T46" s="5">
        <f>MAX(0,1-J46/8)</f>
        <v/>
      </c>
      <c r="U46" s="5">
        <f>IFERROR(G46/(F46*T46),0)</f>
        <v/>
      </c>
      <c r="V46" s="5">
        <f>IFERROR(H46/G46,0)</f>
        <v/>
      </c>
      <c r="W46" s="5">
        <f>T46*U46*V46</f>
        <v/>
      </c>
      <c r="X46" s="5">
        <f>IFERROR(I46/G46,0)</f>
        <v/>
      </c>
      <c r="Y46" s="6">
        <f>IFERROR(G46/M46,0)</f>
        <v/>
      </c>
      <c r="Z46" s="6">
        <f>IFERROR(O46/G46,0)</f>
        <v/>
      </c>
      <c r="AA46" s="2">
        <f>IF(L46="None","No Maintenance",IF(L46="Preventive","Planned","Breakdown"))</f>
        <v/>
      </c>
    </row>
    <row r="47">
      <c r="A47" s="2" t="n">
        <v>43</v>
      </c>
      <c r="B47" s="4" t="n">
        <v>46037</v>
      </c>
      <c r="C47" s="2" t="inlineStr">
        <is>
          <t>Day</t>
        </is>
      </c>
      <c r="D47" s="2" t="inlineStr">
        <is>
          <t>Line 1</t>
        </is>
      </c>
      <c r="E47" s="2" t="inlineStr">
        <is>
          <t>Paprika Chips</t>
        </is>
      </c>
      <c r="F47" s="2" t="n">
        <v>982</v>
      </c>
      <c r="G47" s="2" t="n">
        <v>920.7</v>
      </c>
      <c r="H47" s="2" t="n">
        <v>904.2</v>
      </c>
      <c r="I47" s="2" t="n">
        <v>16.5</v>
      </c>
      <c r="J47" s="2" t="n">
        <v>0.21</v>
      </c>
      <c r="K47" s="2" t="inlineStr">
        <is>
          <t>No Downtime</t>
        </is>
      </c>
      <c r="L47" s="2" t="inlineStr">
        <is>
          <t>None</t>
        </is>
      </c>
      <c r="M47" s="2" t="n">
        <v>1895.6</v>
      </c>
      <c r="N47" s="2" t="n">
        <v>309.5</v>
      </c>
      <c r="O47" s="2" t="n">
        <v>105133.6</v>
      </c>
      <c r="P47" s="2" t="n">
        <v>182.7</v>
      </c>
      <c r="Q47" s="2" t="n">
        <v>1.7</v>
      </c>
      <c r="R47" s="2" t="n">
        <v>0</v>
      </c>
      <c r="S47" s="5">
        <f>G47/F47</f>
        <v/>
      </c>
      <c r="T47" s="5">
        <f>MAX(0,1-J47/8)</f>
        <v/>
      </c>
      <c r="U47" s="5">
        <f>IFERROR(G47/(F47*T47),0)</f>
        <v/>
      </c>
      <c r="V47" s="5">
        <f>IFERROR(H47/G47,0)</f>
        <v/>
      </c>
      <c r="W47" s="5">
        <f>T47*U47*V47</f>
        <v/>
      </c>
      <c r="X47" s="5">
        <f>IFERROR(I47/G47,0)</f>
        <v/>
      </c>
      <c r="Y47" s="6">
        <f>IFERROR(G47/M47,0)</f>
        <v/>
      </c>
      <c r="Z47" s="6">
        <f>IFERROR(O47/G47,0)</f>
        <v/>
      </c>
      <c r="AA47" s="2">
        <f>IF(L47="None","No Maintenance",IF(L47="Preventive","Planned","Breakdown"))</f>
        <v/>
      </c>
    </row>
    <row r="48">
      <c r="A48" s="2" t="n">
        <v>44</v>
      </c>
      <c r="B48" s="4" t="n">
        <v>46037</v>
      </c>
      <c r="C48" s="2" t="inlineStr">
        <is>
          <t>Evening</t>
        </is>
      </c>
      <c r="D48" s="2" t="inlineStr">
        <is>
          <t>Line 1</t>
        </is>
      </c>
      <c r="E48" s="2" t="inlineStr">
        <is>
          <t>Classic Chips</t>
        </is>
      </c>
      <c r="F48" s="2" t="n">
        <v>1020</v>
      </c>
      <c r="G48" s="2" t="n">
        <v>682.6</v>
      </c>
      <c r="H48" s="2" t="n">
        <v>670.8</v>
      </c>
      <c r="I48" s="2" t="n">
        <v>11.8</v>
      </c>
      <c r="J48" s="2" t="n">
        <v>3.13</v>
      </c>
      <c r="K48" s="2" t="inlineStr">
        <is>
          <t>Packaging Machine</t>
        </is>
      </c>
      <c r="L48" s="2" t="inlineStr">
        <is>
          <t>Corrective</t>
        </is>
      </c>
      <c r="M48" s="2" t="n">
        <v>1468.1</v>
      </c>
      <c r="N48" s="2" t="n">
        <v>188.7</v>
      </c>
      <c r="O48" s="2" t="n">
        <v>81770.2</v>
      </c>
      <c r="P48" s="2" t="n">
        <v>172.5</v>
      </c>
      <c r="Q48" s="2" t="n">
        <v>1.76</v>
      </c>
      <c r="R48" s="2" t="n">
        <v>872.89</v>
      </c>
      <c r="S48" s="5">
        <f>G48/F48</f>
        <v/>
      </c>
      <c r="T48" s="5">
        <f>MAX(0,1-J48/8)</f>
        <v/>
      </c>
      <c r="U48" s="5">
        <f>IFERROR(G48/(F48*T48),0)</f>
        <v/>
      </c>
      <c r="V48" s="5">
        <f>IFERROR(H48/G48,0)</f>
        <v/>
      </c>
      <c r="W48" s="5">
        <f>T48*U48*V48</f>
        <v/>
      </c>
      <c r="X48" s="5">
        <f>IFERROR(I48/G48,0)</f>
        <v/>
      </c>
      <c r="Y48" s="6">
        <f>IFERROR(G48/M48,0)</f>
        <v/>
      </c>
      <c r="Z48" s="6">
        <f>IFERROR(O48/G48,0)</f>
        <v/>
      </c>
      <c r="AA48" s="2">
        <f>IF(L48="None","No Maintenance",IF(L48="Preventive","Planned","Breakdown"))</f>
        <v/>
      </c>
    </row>
    <row r="49">
      <c r="A49" s="2" t="n">
        <v>45</v>
      </c>
      <c r="B49" s="4" t="n">
        <v>46037</v>
      </c>
      <c r="C49" s="2" t="inlineStr">
        <is>
          <t>Night</t>
        </is>
      </c>
      <c r="D49" s="2" t="inlineStr">
        <is>
          <t>Line 2</t>
        </is>
      </c>
      <c r="E49" s="2" t="inlineStr">
        <is>
          <t>Classic Chips</t>
        </is>
      </c>
      <c r="F49" s="2" t="n">
        <v>912</v>
      </c>
      <c r="G49" s="2" t="n">
        <v>522.1</v>
      </c>
      <c r="H49" s="2" t="n">
        <v>514</v>
      </c>
      <c r="I49" s="2" t="n">
        <v>8.199999999999999</v>
      </c>
      <c r="J49" s="2" t="n">
        <v>3.04</v>
      </c>
      <c r="K49" s="2" t="inlineStr">
        <is>
          <t>Planned Maintenance</t>
        </is>
      </c>
      <c r="L49" s="2" t="inlineStr">
        <is>
          <t>Preventive</t>
        </is>
      </c>
      <c r="M49" s="2" t="n">
        <v>1064</v>
      </c>
      <c r="N49" s="2" t="n">
        <v>172.1</v>
      </c>
      <c r="O49" s="2" t="n">
        <v>55817.1</v>
      </c>
      <c r="P49" s="2" t="n">
        <v>169.2</v>
      </c>
      <c r="Q49" s="2" t="n">
        <v>1.67</v>
      </c>
      <c r="R49" s="2" t="n">
        <v>254.57</v>
      </c>
      <c r="S49" s="5">
        <f>G49/F49</f>
        <v/>
      </c>
      <c r="T49" s="5">
        <f>MAX(0,1-J49/8)</f>
        <v/>
      </c>
      <c r="U49" s="5">
        <f>IFERROR(G49/(F49*T49),0)</f>
        <v/>
      </c>
      <c r="V49" s="5">
        <f>IFERROR(H49/G49,0)</f>
        <v/>
      </c>
      <c r="W49" s="5">
        <f>T49*U49*V49</f>
        <v/>
      </c>
      <c r="X49" s="5">
        <f>IFERROR(I49/G49,0)</f>
        <v/>
      </c>
      <c r="Y49" s="6">
        <f>IFERROR(G49/M49,0)</f>
        <v/>
      </c>
      <c r="Z49" s="6">
        <f>IFERROR(O49/G49,0)</f>
        <v/>
      </c>
      <c r="AA49" s="2">
        <f>IF(L49="None","No Maintenance",IF(L49="Preventive","Planned","Breakdown"))</f>
        <v/>
      </c>
    </row>
    <row r="50">
      <c r="A50" s="2" t="n">
        <v>46</v>
      </c>
      <c r="B50" s="4" t="n">
        <v>46038</v>
      </c>
      <c r="C50" s="2" t="inlineStr">
        <is>
          <t>Day</t>
        </is>
      </c>
      <c r="D50" s="2" t="inlineStr">
        <is>
          <t>Line 1</t>
        </is>
      </c>
      <c r="E50" s="2" t="inlineStr">
        <is>
          <t>Salt &amp; Vinegar</t>
        </is>
      </c>
      <c r="F50" s="2" t="n">
        <v>971</v>
      </c>
      <c r="G50" s="2" t="n">
        <v>652.9</v>
      </c>
      <c r="H50" s="2" t="n">
        <v>640.5</v>
      </c>
      <c r="I50" s="2" t="n">
        <v>12.4</v>
      </c>
      <c r="J50" s="2" t="n">
        <v>3.56</v>
      </c>
      <c r="K50" s="2" t="inlineStr">
        <is>
          <t>Conveyor Jam</t>
        </is>
      </c>
      <c r="L50" s="2" t="inlineStr">
        <is>
          <t>Corrective</t>
        </is>
      </c>
      <c r="M50" s="2" t="n">
        <v>1409.2</v>
      </c>
      <c r="N50" s="2" t="n">
        <v>216.6</v>
      </c>
      <c r="O50" s="2" t="n">
        <v>78676.39999999999</v>
      </c>
      <c r="P50" s="2" t="n">
        <v>178.5</v>
      </c>
      <c r="Q50" s="2" t="n">
        <v>1.23</v>
      </c>
      <c r="R50" s="2" t="n">
        <v>478.06</v>
      </c>
      <c r="S50" s="5">
        <f>G50/F50</f>
        <v/>
      </c>
      <c r="T50" s="5">
        <f>MAX(0,1-J50/8)</f>
        <v/>
      </c>
      <c r="U50" s="5">
        <f>IFERROR(G50/(F50*T50),0)</f>
        <v/>
      </c>
      <c r="V50" s="5">
        <f>IFERROR(H50/G50,0)</f>
        <v/>
      </c>
      <c r="W50" s="5">
        <f>T50*U50*V50</f>
        <v/>
      </c>
      <c r="X50" s="5">
        <f>IFERROR(I50/G50,0)</f>
        <v/>
      </c>
      <c r="Y50" s="6">
        <f>IFERROR(G50/M50,0)</f>
        <v/>
      </c>
      <c r="Z50" s="6">
        <f>IFERROR(O50/G50,0)</f>
        <v/>
      </c>
      <c r="AA50" s="2">
        <f>IF(L50="None","No Maintenance",IF(L50="Preventive","Planned","Breakdown"))</f>
        <v/>
      </c>
    </row>
    <row r="51">
      <c r="A51" s="2" t="n">
        <v>47</v>
      </c>
      <c r="B51" s="4" t="n">
        <v>46038</v>
      </c>
      <c r="C51" s="2" t="inlineStr">
        <is>
          <t>Evening</t>
        </is>
      </c>
      <c r="D51" s="2" t="inlineStr">
        <is>
          <t>Line 1</t>
        </is>
      </c>
      <c r="E51" s="2" t="inlineStr">
        <is>
          <t>Classic Chips</t>
        </is>
      </c>
      <c r="F51" s="2" t="n">
        <v>921</v>
      </c>
      <c r="G51" s="2" t="n">
        <v>812.6</v>
      </c>
      <c r="H51" s="2" t="n">
        <v>805.9</v>
      </c>
      <c r="I51" s="2" t="n">
        <v>6.8</v>
      </c>
      <c r="J51" s="2" t="n">
        <v>0.84</v>
      </c>
      <c r="K51" s="2" t="inlineStr">
        <is>
          <t>Quality Hold</t>
        </is>
      </c>
      <c r="L51" s="2" t="inlineStr">
        <is>
          <t>Emergency</t>
        </is>
      </c>
      <c r="M51" s="2" t="n">
        <v>1672.3</v>
      </c>
      <c r="N51" s="2" t="n">
        <v>273.6</v>
      </c>
      <c r="O51" s="2" t="n">
        <v>97633.3</v>
      </c>
      <c r="P51" s="2" t="n">
        <v>177.6</v>
      </c>
      <c r="Q51" s="2" t="n">
        <v>1.61</v>
      </c>
      <c r="R51" s="2" t="n">
        <v>702.45</v>
      </c>
      <c r="S51" s="5">
        <f>G51/F51</f>
        <v/>
      </c>
      <c r="T51" s="5">
        <f>MAX(0,1-J51/8)</f>
        <v/>
      </c>
      <c r="U51" s="5">
        <f>IFERROR(G51/(F51*T51),0)</f>
        <v/>
      </c>
      <c r="V51" s="5">
        <f>IFERROR(H51/G51,0)</f>
        <v/>
      </c>
      <c r="W51" s="5">
        <f>T51*U51*V51</f>
        <v/>
      </c>
      <c r="X51" s="5">
        <f>IFERROR(I51/G51,0)</f>
        <v/>
      </c>
      <c r="Y51" s="6">
        <f>IFERROR(G51/M51,0)</f>
        <v/>
      </c>
      <c r="Z51" s="6">
        <f>IFERROR(O51/G51,0)</f>
        <v/>
      </c>
      <c r="AA51" s="2">
        <f>IF(L51="None","No Maintenance",IF(L51="Preventive","Planned","Breakdown"))</f>
        <v/>
      </c>
    </row>
    <row r="52">
      <c r="A52" s="2" t="n">
        <v>48</v>
      </c>
      <c r="B52" s="4" t="n">
        <v>46038</v>
      </c>
      <c r="C52" s="2" t="inlineStr">
        <is>
          <t>Night</t>
        </is>
      </c>
      <c r="D52" s="2" t="inlineStr">
        <is>
          <t>Line 2</t>
        </is>
      </c>
      <c r="E52" s="2" t="inlineStr">
        <is>
          <t>Paprika Chips</t>
        </is>
      </c>
      <c r="F52" s="2" t="n">
        <v>962</v>
      </c>
      <c r="G52" s="2" t="n">
        <v>800</v>
      </c>
      <c r="H52" s="2" t="n">
        <v>784.9</v>
      </c>
      <c r="I52" s="2" t="n">
        <v>15.1</v>
      </c>
      <c r="J52" s="2" t="n">
        <v>0.08</v>
      </c>
      <c r="K52" s="2" t="inlineStr">
        <is>
          <t>No Downtime</t>
        </is>
      </c>
      <c r="L52" s="2" t="inlineStr">
        <is>
          <t>None</t>
        </is>
      </c>
      <c r="M52" s="2" t="n">
        <v>1620.7</v>
      </c>
      <c r="N52" s="2" t="n">
        <v>239.9</v>
      </c>
      <c r="O52" s="2" t="n">
        <v>89178.10000000001</v>
      </c>
      <c r="P52" s="2" t="n">
        <v>184.3</v>
      </c>
      <c r="Q52" s="2" t="n">
        <v>1.7</v>
      </c>
      <c r="R52" s="2" t="n">
        <v>0</v>
      </c>
      <c r="S52" s="5">
        <f>G52/F52</f>
        <v/>
      </c>
      <c r="T52" s="5">
        <f>MAX(0,1-J52/8)</f>
        <v/>
      </c>
      <c r="U52" s="5">
        <f>IFERROR(G52/(F52*T52),0)</f>
        <v/>
      </c>
      <c r="V52" s="5">
        <f>IFERROR(H52/G52,0)</f>
        <v/>
      </c>
      <c r="W52" s="5">
        <f>T52*U52*V52</f>
        <v/>
      </c>
      <c r="X52" s="5">
        <f>IFERROR(I52/G52,0)</f>
        <v/>
      </c>
      <c r="Y52" s="6">
        <f>IFERROR(G52/M52,0)</f>
        <v/>
      </c>
      <c r="Z52" s="6">
        <f>IFERROR(O52/G52,0)</f>
        <v/>
      </c>
      <c r="AA52" s="2">
        <f>IF(L52="None","No Maintenance",IF(L52="Preventive","Planned","Breakdown"))</f>
        <v/>
      </c>
    </row>
    <row r="53">
      <c r="A53" s="2" t="n">
        <v>49</v>
      </c>
      <c r="B53" s="4" t="n">
        <v>46039</v>
      </c>
      <c r="C53" s="2" t="inlineStr">
        <is>
          <t>Day</t>
        </is>
      </c>
      <c r="D53" s="2" t="inlineStr">
        <is>
          <t>Line 1</t>
        </is>
      </c>
      <c r="E53" s="2" t="inlineStr">
        <is>
          <t>Classic Chips</t>
        </is>
      </c>
      <c r="F53" s="2" t="n">
        <v>936</v>
      </c>
      <c r="G53" s="2" t="n">
        <v>767.5</v>
      </c>
      <c r="H53" s="2" t="n">
        <v>758.9</v>
      </c>
      <c r="I53" s="2" t="n">
        <v>8.699999999999999</v>
      </c>
      <c r="J53" s="2" t="n">
        <v>0.67</v>
      </c>
      <c r="K53" s="2" t="inlineStr">
        <is>
          <t>Conveyor Jam</t>
        </is>
      </c>
      <c r="L53" s="2" t="inlineStr">
        <is>
          <t>Corrective</t>
        </is>
      </c>
      <c r="M53" s="2" t="n">
        <v>1618.6</v>
      </c>
      <c r="N53" s="2" t="n">
        <v>231.5</v>
      </c>
      <c r="O53" s="2" t="n">
        <v>93518.7</v>
      </c>
      <c r="P53" s="2" t="n">
        <v>178.4</v>
      </c>
      <c r="Q53" s="2" t="n">
        <v>1.64</v>
      </c>
      <c r="R53" s="2" t="n">
        <v>516.72</v>
      </c>
      <c r="S53" s="5">
        <f>G53/F53</f>
        <v/>
      </c>
      <c r="T53" s="5">
        <f>MAX(0,1-J53/8)</f>
        <v/>
      </c>
      <c r="U53" s="5">
        <f>IFERROR(G53/(F53*T53),0)</f>
        <v/>
      </c>
      <c r="V53" s="5">
        <f>IFERROR(H53/G53,0)</f>
        <v/>
      </c>
      <c r="W53" s="5">
        <f>T53*U53*V53</f>
        <v/>
      </c>
      <c r="X53" s="5">
        <f>IFERROR(I53/G53,0)</f>
        <v/>
      </c>
      <c r="Y53" s="6">
        <f>IFERROR(G53/M53,0)</f>
        <v/>
      </c>
      <c r="Z53" s="6">
        <f>IFERROR(O53/G53,0)</f>
        <v/>
      </c>
      <c r="AA53" s="2">
        <f>IF(L53="None","No Maintenance",IF(L53="Preventive","Planned","Breakdown"))</f>
        <v/>
      </c>
    </row>
    <row r="54">
      <c r="A54" s="2" t="n">
        <v>50</v>
      </c>
      <c r="B54" s="4" t="n">
        <v>46039</v>
      </c>
      <c r="C54" s="2" t="inlineStr">
        <is>
          <t>Evening</t>
        </is>
      </c>
      <c r="D54" s="2" t="inlineStr">
        <is>
          <t>Line 2</t>
        </is>
      </c>
      <c r="E54" s="2" t="inlineStr">
        <is>
          <t>Salt &amp; Vinegar</t>
        </is>
      </c>
      <c r="F54" s="2" t="n">
        <v>1022</v>
      </c>
      <c r="G54" s="2" t="n">
        <v>944.9</v>
      </c>
      <c r="H54" s="2" t="n">
        <v>932.8</v>
      </c>
      <c r="I54" s="2" t="n">
        <v>12.1</v>
      </c>
      <c r="J54" s="2" t="n">
        <v>0.02</v>
      </c>
      <c r="K54" s="2" t="inlineStr">
        <is>
          <t>No Downtime</t>
        </is>
      </c>
      <c r="L54" s="2" t="inlineStr">
        <is>
          <t>None</t>
        </is>
      </c>
      <c r="M54" s="2" t="n">
        <v>1985.4</v>
      </c>
      <c r="N54" s="2" t="n">
        <v>269.4</v>
      </c>
      <c r="O54" s="2" t="n">
        <v>115957.1</v>
      </c>
      <c r="P54" s="2" t="n">
        <v>174.6</v>
      </c>
      <c r="Q54" s="2" t="n">
        <v>1.45</v>
      </c>
      <c r="R54" s="2" t="n">
        <v>0</v>
      </c>
      <c r="S54" s="5">
        <f>G54/F54</f>
        <v/>
      </c>
      <c r="T54" s="5">
        <f>MAX(0,1-J54/8)</f>
        <v/>
      </c>
      <c r="U54" s="5">
        <f>IFERROR(G54/(F54*T54),0)</f>
        <v/>
      </c>
      <c r="V54" s="5">
        <f>IFERROR(H54/G54,0)</f>
        <v/>
      </c>
      <c r="W54" s="5">
        <f>T54*U54*V54</f>
        <v/>
      </c>
      <c r="X54" s="5">
        <f>IFERROR(I54/G54,0)</f>
        <v/>
      </c>
      <c r="Y54" s="6">
        <f>IFERROR(G54/M54,0)</f>
        <v/>
      </c>
      <c r="Z54" s="6">
        <f>IFERROR(O54/G54,0)</f>
        <v/>
      </c>
      <c r="AA54" s="2">
        <f>IF(L54="None","No Maintenance",IF(L54="Preventive","Planned","Breakdown"))</f>
        <v/>
      </c>
    </row>
    <row r="55">
      <c r="A55" s="2" t="n">
        <v>51</v>
      </c>
      <c r="B55" s="4" t="n">
        <v>46039</v>
      </c>
      <c r="C55" s="2" t="inlineStr">
        <is>
          <t>Night</t>
        </is>
      </c>
      <c r="D55" s="2" t="inlineStr">
        <is>
          <t>Line 2</t>
        </is>
      </c>
      <c r="E55" s="2" t="inlineStr">
        <is>
          <t>Classic Chips</t>
        </is>
      </c>
      <c r="F55" s="2" t="n">
        <v>970</v>
      </c>
      <c r="G55" s="2" t="n">
        <v>584.6</v>
      </c>
      <c r="H55" s="2" t="n">
        <v>577.2</v>
      </c>
      <c r="I55" s="2" t="n">
        <v>7.4</v>
      </c>
      <c r="J55" s="2" t="n">
        <v>3.35</v>
      </c>
      <c r="K55" s="2" t="inlineStr">
        <is>
          <t>Conveyor Jam</t>
        </is>
      </c>
      <c r="L55" s="2" t="inlineStr">
        <is>
          <t>Corrective</t>
        </is>
      </c>
      <c r="M55" s="2" t="n">
        <v>1195.5</v>
      </c>
      <c r="N55" s="2" t="n">
        <v>191.4</v>
      </c>
      <c r="O55" s="2" t="n">
        <v>75637.10000000001</v>
      </c>
      <c r="P55" s="2" t="n">
        <v>171</v>
      </c>
      <c r="Q55" s="2" t="n">
        <v>1.82</v>
      </c>
      <c r="R55" s="2" t="n">
        <v>801.97</v>
      </c>
      <c r="S55" s="5">
        <f>G55/F55</f>
        <v/>
      </c>
      <c r="T55" s="5">
        <f>MAX(0,1-J55/8)</f>
        <v/>
      </c>
      <c r="U55" s="5">
        <f>IFERROR(G55/(F55*T55),0)</f>
        <v/>
      </c>
      <c r="V55" s="5">
        <f>IFERROR(H55/G55,0)</f>
        <v/>
      </c>
      <c r="W55" s="5">
        <f>T55*U55*V55</f>
        <v/>
      </c>
      <c r="X55" s="5">
        <f>IFERROR(I55/G55,0)</f>
        <v/>
      </c>
      <c r="Y55" s="6">
        <f>IFERROR(G55/M55,0)</f>
        <v/>
      </c>
      <c r="Z55" s="6">
        <f>IFERROR(O55/G55,0)</f>
        <v/>
      </c>
      <c r="AA55" s="2">
        <f>IF(L55="None","No Maintenance",IF(L55="Preventive","Planned","Breakdown"))</f>
        <v/>
      </c>
    </row>
    <row r="56">
      <c r="A56" s="2" t="n">
        <v>52</v>
      </c>
      <c r="B56" s="4" t="n">
        <v>46040</v>
      </c>
      <c r="C56" s="2" t="inlineStr">
        <is>
          <t>Day</t>
        </is>
      </c>
      <c r="D56" s="2" t="inlineStr">
        <is>
          <t>Line 2</t>
        </is>
      </c>
      <c r="E56" s="2" t="inlineStr">
        <is>
          <t>Classic Chips</t>
        </is>
      </c>
      <c r="F56" s="2" t="n">
        <v>937</v>
      </c>
      <c r="G56" s="2" t="n">
        <v>611.2</v>
      </c>
      <c r="H56" s="2" t="n">
        <v>600.9</v>
      </c>
      <c r="I56" s="2" t="n">
        <v>10.2</v>
      </c>
      <c r="J56" s="2" t="n">
        <v>2.24</v>
      </c>
      <c r="K56" s="2" t="inlineStr">
        <is>
          <t>Quality Hold</t>
        </is>
      </c>
      <c r="L56" s="2" t="inlineStr">
        <is>
          <t>Corrective</t>
        </is>
      </c>
      <c r="M56" s="2" t="n">
        <v>1258.1</v>
      </c>
      <c r="N56" s="2" t="n">
        <v>201.4</v>
      </c>
      <c r="O56" s="2" t="n">
        <v>68448.8</v>
      </c>
      <c r="P56" s="2" t="n">
        <v>176.5</v>
      </c>
      <c r="Q56" s="2" t="n">
        <v>1.77</v>
      </c>
      <c r="R56" s="2" t="n">
        <v>408.07</v>
      </c>
      <c r="S56" s="5">
        <f>G56/F56</f>
        <v/>
      </c>
      <c r="T56" s="5">
        <f>MAX(0,1-J56/8)</f>
        <v/>
      </c>
      <c r="U56" s="5">
        <f>IFERROR(G56/(F56*T56),0)</f>
        <v/>
      </c>
      <c r="V56" s="5">
        <f>IFERROR(H56/G56,0)</f>
        <v/>
      </c>
      <c r="W56" s="5">
        <f>T56*U56*V56</f>
        <v/>
      </c>
      <c r="X56" s="5">
        <f>IFERROR(I56/G56,0)</f>
        <v/>
      </c>
      <c r="Y56" s="6">
        <f>IFERROR(G56/M56,0)</f>
        <v/>
      </c>
      <c r="Z56" s="6">
        <f>IFERROR(O56/G56,0)</f>
        <v/>
      </c>
      <c r="AA56" s="2">
        <f>IF(L56="None","No Maintenance",IF(L56="Preventive","Planned","Breakdown"))</f>
        <v/>
      </c>
    </row>
    <row r="57">
      <c r="A57" s="2" t="n">
        <v>53</v>
      </c>
      <c r="B57" s="4" t="n">
        <v>46040</v>
      </c>
      <c r="C57" s="2" t="inlineStr">
        <is>
          <t>Evening</t>
        </is>
      </c>
      <c r="D57" s="2" t="inlineStr">
        <is>
          <t>Line 1</t>
        </is>
      </c>
      <c r="E57" s="2" t="inlineStr">
        <is>
          <t>Paprika Chips</t>
        </is>
      </c>
      <c r="F57" s="2" t="n">
        <v>936</v>
      </c>
      <c r="G57" s="2" t="n">
        <v>630.1</v>
      </c>
      <c r="H57" s="2" t="n">
        <v>618.4</v>
      </c>
      <c r="I57" s="2" t="n">
        <v>11.8</v>
      </c>
      <c r="J57" s="2" t="n">
        <v>2.71</v>
      </c>
      <c r="K57" s="2" t="inlineStr">
        <is>
          <t>Raw Material Shortage</t>
        </is>
      </c>
      <c r="L57" s="2" t="inlineStr">
        <is>
          <t>Corrective</t>
        </is>
      </c>
      <c r="M57" s="2" t="n">
        <v>1299.9</v>
      </c>
      <c r="N57" s="2" t="n">
        <v>202.5</v>
      </c>
      <c r="O57" s="2" t="n">
        <v>73156.10000000001</v>
      </c>
      <c r="P57" s="2" t="n">
        <v>179.3</v>
      </c>
      <c r="Q57" s="2" t="n">
        <v>1.63</v>
      </c>
      <c r="R57" s="2" t="n">
        <v>726.1900000000001</v>
      </c>
      <c r="S57" s="5">
        <f>G57/F57</f>
        <v/>
      </c>
      <c r="T57" s="5">
        <f>MAX(0,1-J57/8)</f>
        <v/>
      </c>
      <c r="U57" s="5">
        <f>IFERROR(G57/(F57*T57),0)</f>
        <v/>
      </c>
      <c r="V57" s="5">
        <f>IFERROR(H57/G57,0)</f>
        <v/>
      </c>
      <c r="W57" s="5">
        <f>T57*U57*V57</f>
        <v/>
      </c>
      <c r="X57" s="5">
        <f>IFERROR(I57/G57,0)</f>
        <v/>
      </c>
      <c r="Y57" s="6">
        <f>IFERROR(G57/M57,0)</f>
        <v/>
      </c>
      <c r="Z57" s="6">
        <f>IFERROR(O57/G57,0)</f>
        <v/>
      </c>
      <c r="AA57" s="2">
        <f>IF(L57="None","No Maintenance",IF(L57="Preventive","Planned","Breakdown"))</f>
        <v/>
      </c>
    </row>
    <row r="58">
      <c r="A58" s="2" t="n">
        <v>54</v>
      </c>
      <c r="B58" s="4" t="n">
        <v>46040</v>
      </c>
      <c r="C58" s="2" t="inlineStr">
        <is>
          <t>Night</t>
        </is>
      </c>
      <c r="D58" s="2" t="inlineStr">
        <is>
          <t>Line 1</t>
        </is>
      </c>
      <c r="E58" s="2" t="inlineStr">
        <is>
          <t>Classic Chips</t>
        </is>
      </c>
      <c r="F58" s="2" t="n">
        <v>904</v>
      </c>
      <c r="G58" s="2" t="n">
        <v>718.2</v>
      </c>
      <c r="H58" s="2" t="n">
        <v>708.6</v>
      </c>
      <c r="I58" s="2" t="n">
        <v>9.6</v>
      </c>
      <c r="J58" s="2" t="n">
        <v>0.34</v>
      </c>
      <c r="K58" s="2" t="inlineStr">
        <is>
          <t>No Downtime</t>
        </is>
      </c>
      <c r="L58" s="2" t="inlineStr">
        <is>
          <t>None</t>
        </is>
      </c>
      <c r="M58" s="2" t="n">
        <v>1456.7</v>
      </c>
      <c r="N58" s="2" t="n">
        <v>220.2</v>
      </c>
      <c r="O58" s="2" t="n">
        <v>83989.89999999999</v>
      </c>
      <c r="P58" s="2" t="n">
        <v>177.2</v>
      </c>
      <c r="Q58" s="2" t="n">
        <v>1.81</v>
      </c>
      <c r="R58" s="2" t="n">
        <v>0</v>
      </c>
      <c r="S58" s="5">
        <f>G58/F58</f>
        <v/>
      </c>
      <c r="T58" s="5">
        <f>MAX(0,1-J58/8)</f>
        <v/>
      </c>
      <c r="U58" s="5">
        <f>IFERROR(G58/(F58*T58),0)</f>
        <v/>
      </c>
      <c r="V58" s="5">
        <f>IFERROR(H58/G58,0)</f>
        <v/>
      </c>
      <c r="W58" s="5">
        <f>T58*U58*V58</f>
        <v/>
      </c>
      <c r="X58" s="5">
        <f>IFERROR(I58/G58,0)</f>
        <v/>
      </c>
      <c r="Y58" s="6">
        <f>IFERROR(G58/M58,0)</f>
        <v/>
      </c>
      <c r="Z58" s="6">
        <f>IFERROR(O58/G58,0)</f>
        <v/>
      </c>
      <c r="AA58" s="2">
        <f>IF(L58="None","No Maintenance",IF(L58="Preventive","Planned","Breakdown"))</f>
        <v/>
      </c>
    </row>
    <row r="59">
      <c r="A59" s="2" t="n">
        <v>55</v>
      </c>
      <c r="B59" s="4" t="n">
        <v>46041</v>
      </c>
      <c r="C59" s="2" t="inlineStr">
        <is>
          <t>Day</t>
        </is>
      </c>
      <c r="D59" s="2" t="inlineStr">
        <is>
          <t>Line 2</t>
        </is>
      </c>
      <c r="E59" s="2" t="inlineStr">
        <is>
          <t>Classic Chips</t>
        </is>
      </c>
      <c r="F59" s="2" t="n">
        <v>956</v>
      </c>
      <c r="G59" s="2" t="n">
        <v>839.9</v>
      </c>
      <c r="H59" s="2" t="n">
        <v>826.5</v>
      </c>
      <c r="I59" s="2" t="n">
        <v>13.4</v>
      </c>
      <c r="J59" s="2" t="n">
        <v>0.19</v>
      </c>
      <c r="K59" s="2" t="inlineStr">
        <is>
          <t>No Downtime</t>
        </is>
      </c>
      <c r="L59" s="2" t="inlineStr">
        <is>
          <t>None</t>
        </is>
      </c>
      <c r="M59" s="2" t="n">
        <v>1650.1</v>
      </c>
      <c r="N59" s="2" t="n">
        <v>252</v>
      </c>
      <c r="O59" s="2" t="n">
        <v>101785.5</v>
      </c>
      <c r="P59" s="2" t="n">
        <v>173.8</v>
      </c>
      <c r="Q59" s="2" t="n">
        <v>1.64</v>
      </c>
      <c r="R59" s="2" t="n">
        <v>0</v>
      </c>
      <c r="S59" s="5">
        <f>G59/F59</f>
        <v/>
      </c>
      <c r="T59" s="5">
        <f>MAX(0,1-J59/8)</f>
        <v/>
      </c>
      <c r="U59" s="5">
        <f>IFERROR(G59/(F59*T59),0)</f>
        <v/>
      </c>
      <c r="V59" s="5">
        <f>IFERROR(H59/G59,0)</f>
        <v/>
      </c>
      <c r="W59" s="5">
        <f>T59*U59*V59</f>
        <v/>
      </c>
      <c r="X59" s="5">
        <f>IFERROR(I59/G59,0)</f>
        <v/>
      </c>
      <c r="Y59" s="6">
        <f>IFERROR(G59/M59,0)</f>
        <v/>
      </c>
      <c r="Z59" s="6">
        <f>IFERROR(O59/G59,0)</f>
        <v/>
      </c>
      <c r="AA59" s="2">
        <f>IF(L59="None","No Maintenance",IF(L59="Preventive","Planned","Breakdown"))</f>
        <v/>
      </c>
    </row>
    <row r="60">
      <c r="A60" s="2" t="n">
        <v>56</v>
      </c>
      <c r="B60" s="4" t="n">
        <v>46041</v>
      </c>
      <c r="C60" s="2" t="inlineStr">
        <is>
          <t>Evening</t>
        </is>
      </c>
      <c r="D60" s="2" t="inlineStr">
        <is>
          <t>Line 1</t>
        </is>
      </c>
      <c r="E60" s="2" t="inlineStr">
        <is>
          <t>Paprika Chips</t>
        </is>
      </c>
      <c r="F60" s="2" t="n">
        <v>1047</v>
      </c>
      <c r="G60" s="2" t="n">
        <v>935.6</v>
      </c>
      <c r="H60" s="2" t="n">
        <v>917.9</v>
      </c>
      <c r="I60" s="2" t="n">
        <v>17.7</v>
      </c>
      <c r="J60" s="2" t="n">
        <v>0.22</v>
      </c>
      <c r="K60" s="2" t="inlineStr">
        <is>
          <t>No Downtime</t>
        </is>
      </c>
      <c r="L60" s="2" t="inlineStr">
        <is>
          <t>None</t>
        </is>
      </c>
      <c r="M60" s="2" t="n">
        <v>1920.4</v>
      </c>
      <c r="N60" s="2" t="n">
        <v>295.1</v>
      </c>
      <c r="O60" s="2" t="n">
        <v>108682.8</v>
      </c>
      <c r="P60" s="2" t="n">
        <v>172.6</v>
      </c>
      <c r="Q60" s="2" t="n">
        <v>1.95</v>
      </c>
      <c r="R60" s="2" t="n">
        <v>0</v>
      </c>
      <c r="S60" s="5">
        <f>G60/F60</f>
        <v/>
      </c>
      <c r="T60" s="5">
        <f>MAX(0,1-J60/8)</f>
        <v/>
      </c>
      <c r="U60" s="5">
        <f>IFERROR(G60/(F60*T60),0)</f>
        <v/>
      </c>
      <c r="V60" s="5">
        <f>IFERROR(H60/G60,0)</f>
        <v/>
      </c>
      <c r="W60" s="5">
        <f>T60*U60*V60</f>
        <v/>
      </c>
      <c r="X60" s="5">
        <f>IFERROR(I60/G60,0)</f>
        <v/>
      </c>
      <c r="Y60" s="6">
        <f>IFERROR(G60/M60,0)</f>
        <v/>
      </c>
      <c r="Z60" s="6">
        <f>IFERROR(O60/G60,0)</f>
        <v/>
      </c>
      <c r="AA60" s="2">
        <f>IF(L60="None","No Maintenance",IF(L60="Preventive","Planned","Breakdown"))</f>
        <v/>
      </c>
    </row>
    <row r="61">
      <c r="A61" s="2" t="n">
        <v>57</v>
      </c>
      <c r="B61" s="4" t="n">
        <v>46041</v>
      </c>
      <c r="C61" s="2" t="inlineStr">
        <is>
          <t>Night</t>
        </is>
      </c>
      <c r="D61" s="2" t="inlineStr">
        <is>
          <t>Line 2</t>
        </is>
      </c>
      <c r="E61" s="2" t="inlineStr">
        <is>
          <t>Classic Chips</t>
        </is>
      </c>
      <c r="F61" s="2" t="n">
        <v>1009</v>
      </c>
      <c r="G61" s="2" t="n">
        <v>632.3</v>
      </c>
      <c r="H61" s="2" t="n">
        <v>627.5</v>
      </c>
      <c r="I61" s="2" t="n">
        <v>4.8</v>
      </c>
      <c r="J61" s="2" t="n">
        <v>1.89</v>
      </c>
      <c r="K61" s="2" t="inlineStr">
        <is>
          <t>Electrical Fault</t>
        </is>
      </c>
      <c r="L61" s="2" t="inlineStr">
        <is>
          <t>Emergency</t>
        </is>
      </c>
      <c r="M61" s="2" t="n">
        <v>1256.8</v>
      </c>
      <c r="N61" s="2" t="n">
        <v>203.1</v>
      </c>
      <c r="O61" s="2" t="n">
        <v>76823.7</v>
      </c>
      <c r="P61" s="2" t="n">
        <v>170.7</v>
      </c>
      <c r="Q61" s="2" t="n">
        <v>1.56</v>
      </c>
      <c r="R61" s="2" t="n">
        <v>1576.12</v>
      </c>
      <c r="S61" s="5">
        <f>G61/F61</f>
        <v/>
      </c>
      <c r="T61" s="5">
        <f>MAX(0,1-J61/8)</f>
        <v/>
      </c>
      <c r="U61" s="5">
        <f>IFERROR(G61/(F61*T61),0)</f>
        <v/>
      </c>
      <c r="V61" s="5">
        <f>IFERROR(H61/G61,0)</f>
        <v/>
      </c>
      <c r="W61" s="5">
        <f>T61*U61*V61</f>
        <v/>
      </c>
      <c r="X61" s="5">
        <f>IFERROR(I61/G61,0)</f>
        <v/>
      </c>
      <c r="Y61" s="6">
        <f>IFERROR(G61/M61,0)</f>
        <v/>
      </c>
      <c r="Z61" s="6">
        <f>IFERROR(O61/G61,0)</f>
        <v/>
      </c>
      <c r="AA61" s="2">
        <f>IF(L61="None","No Maintenance",IF(L61="Preventive","Planned","Breakdown"))</f>
        <v/>
      </c>
    </row>
    <row r="62">
      <c r="A62" s="2" t="n">
        <v>58</v>
      </c>
      <c r="B62" s="4" t="n">
        <v>46042</v>
      </c>
      <c r="C62" s="2" t="inlineStr">
        <is>
          <t>Day</t>
        </is>
      </c>
      <c r="D62" s="2" t="inlineStr">
        <is>
          <t>Line 1</t>
        </is>
      </c>
      <c r="E62" s="2" t="inlineStr">
        <is>
          <t>Classic Chips</t>
        </is>
      </c>
      <c r="F62" s="2" t="n">
        <v>990</v>
      </c>
      <c r="G62" s="2" t="n">
        <v>934.4</v>
      </c>
      <c r="H62" s="2" t="n">
        <v>927.6</v>
      </c>
      <c r="I62" s="2" t="n">
        <v>6.8</v>
      </c>
      <c r="J62" s="2" t="n">
        <v>0.1</v>
      </c>
      <c r="K62" s="2" t="inlineStr">
        <is>
          <t>No Downtime</t>
        </is>
      </c>
      <c r="L62" s="2" t="inlineStr">
        <is>
          <t>None</t>
        </is>
      </c>
      <c r="M62" s="2" t="n">
        <v>1893.2</v>
      </c>
      <c r="N62" s="2" t="n">
        <v>267.6</v>
      </c>
      <c r="O62" s="2" t="n">
        <v>113940.6</v>
      </c>
      <c r="P62" s="2" t="n">
        <v>178.9</v>
      </c>
      <c r="Q62" s="2" t="n">
        <v>1.41</v>
      </c>
      <c r="R62" s="2" t="n">
        <v>0</v>
      </c>
      <c r="S62" s="5">
        <f>G62/F62</f>
        <v/>
      </c>
      <c r="T62" s="5">
        <f>MAX(0,1-J62/8)</f>
        <v/>
      </c>
      <c r="U62" s="5">
        <f>IFERROR(G62/(F62*T62),0)</f>
        <v/>
      </c>
      <c r="V62" s="5">
        <f>IFERROR(H62/G62,0)</f>
        <v/>
      </c>
      <c r="W62" s="5">
        <f>T62*U62*V62</f>
        <v/>
      </c>
      <c r="X62" s="5">
        <f>IFERROR(I62/G62,0)</f>
        <v/>
      </c>
      <c r="Y62" s="6">
        <f>IFERROR(G62/M62,0)</f>
        <v/>
      </c>
      <c r="Z62" s="6">
        <f>IFERROR(O62/G62,0)</f>
        <v/>
      </c>
      <c r="AA62" s="2">
        <f>IF(L62="None","No Maintenance",IF(L62="Preventive","Planned","Breakdown"))</f>
        <v/>
      </c>
    </row>
    <row r="63">
      <c r="A63" s="2" t="n">
        <v>59</v>
      </c>
      <c r="B63" s="4" t="n">
        <v>46042</v>
      </c>
      <c r="C63" s="2" t="inlineStr">
        <is>
          <t>Evening</t>
        </is>
      </c>
      <c r="D63" s="2" t="inlineStr">
        <is>
          <t>Line 1</t>
        </is>
      </c>
      <c r="E63" s="2" t="inlineStr">
        <is>
          <t>Paprika Chips</t>
        </is>
      </c>
      <c r="F63" s="2" t="n">
        <v>973</v>
      </c>
      <c r="G63" s="2" t="n">
        <v>859.3</v>
      </c>
      <c r="H63" s="2" t="n">
        <v>844.8</v>
      </c>
      <c r="I63" s="2" t="n">
        <v>14.5</v>
      </c>
      <c r="J63" s="2" t="n">
        <v>0.24</v>
      </c>
      <c r="K63" s="2" t="inlineStr">
        <is>
          <t>No Downtime</t>
        </is>
      </c>
      <c r="L63" s="2" t="inlineStr">
        <is>
          <t>None</t>
        </is>
      </c>
      <c r="M63" s="2" t="n">
        <v>1752.8</v>
      </c>
      <c r="N63" s="2" t="n">
        <v>251.9</v>
      </c>
      <c r="O63" s="2" t="n">
        <v>107618.2</v>
      </c>
      <c r="P63" s="2" t="n">
        <v>177.7</v>
      </c>
      <c r="Q63" s="2" t="n">
        <v>1.48</v>
      </c>
      <c r="R63" s="2" t="n">
        <v>0</v>
      </c>
      <c r="S63" s="5">
        <f>G63/F63</f>
        <v/>
      </c>
      <c r="T63" s="5">
        <f>MAX(0,1-J63/8)</f>
        <v/>
      </c>
      <c r="U63" s="5">
        <f>IFERROR(G63/(F63*T63),0)</f>
        <v/>
      </c>
      <c r="V63" s="5">
        <f>IFERROR(H63/G63,0)</f>
        <v/>
      </c>
      <c r="W63" s="5">
        <f>T63*U63*V63</f>
        <v/>
      </c>
      <c r="X63" s="5">
        <f>IFERROR(I63/G63,0)</f>
        <v/>
      </c>
      <c r="Y63" s="6">
        <f>IFERROR(G63/M63,0)</f>
        <v/>
      </c>
      <c r="Z63" s="6">
        <f>IFERROR(O63/G63,0)</f>
        <v/>
      </c>
      <c r="AA63" s="2">
        <f>IF(L63="None","No Maintenance",IF(L63="Preventive","Planned","Breakdown"))</f>
        <v/>
      </c>
    </row>
    <row r="64">
      <c r="A64" s="2" t="n">
        <v>60</v>
      </c>
      <c r="B64" s="4" t="n">
        <v>46042</v>
      </c>
      <c r="C64" s="2" t="inlineStr">
        <is>
          <t>Night</t>
        </is>
      </c>
      <c r="D64" s="2" t="inlineStr">
        <is>
          <t>Line 1</t>
        </is>
      </c>
      <c r="E64" s="2" t="inlineStr">
        <is>
          <t>Salt &amp; Vinegar</t>
        </is>
      </c>
      <c r="F64" s="2" t="n">
        <v>996</v>
      </c>
      <c r="G64" s="2" t="n">
        <v>833.7</v>
      </c>
      <c r="H64" s="2" t="n">
        <v>822.7</v>
      </c>
      <c r="I64" s="2" t="n">
        <v>11</v>
      </c>
      <c r="J64" s="2" t="n">
        <v>0.25</v>
      </c>
      <c r="K64" s="2" t="inlineStr">
        <is>
          <t>No Downtime</t>
        </is>
      </c>
      <c r="L64" s="2" t="inlineStr">
        <is>
          <t>None</t>
        </is>
      </c>
      <c r="M64" s="2" t="n">
        <v>1779.8</v>
      </c>
      <c r="N64" s="2" t="n">
        <v>264.7</v>
      </c>
      <c r="O64" s="2" t="n">
        <v>92534.60000000001</v>
      </c>
      <c r="P64" s="2" t="n">
        <v>178.9</v>
      </c>
      <c r="Q64" s="2" t="n">
        <v>1.6</v>
      </c>
      <c r="R64" s="2" t="n">
        <v>0</v>
      </c>
      <c r="S64" s="5">
        <f>G64/F64</f>
        <v/>
      </c>
      <c r="T64" s="5">
        <f>MAX(0,1-J64/8)</f>
        <v/>
      </c>
      <c r="U64" s="5">
        <f>IFERROR(G64/(F64*T64),0)</f>
        <v/>
      </c>
      <c r="V64" s="5">
        <f>IFERROR(H64/G64,0)</f>
        <v/>
      </c>
      <c r="W64" s="5">
        <f>T64*U64*V64</f>
        <v/>
      </c>
      <c r="X64" s="5">
        <f>IFERROR(I64/G64,0)</f>
        <v/>
      </c>
      <c r="Y64" s="6">
        <f>IFERROR(G64/M64,0)</f>
        <v/>
      </c>
      <c r="Z64" s="6">
        <f>IFERROR(O64/G64,0)</f>
        <v/>
      </c>
      <c r="AA64" s="2">
        <f>IF(L64="None","No Maintenance",IF(L64="Preventive","Planned","Breakdown"))</f>
        <v/>
      </c>
    </row>
    <row r="65">
      <c r="A65" s="2" t="n">
        <v>61</v>
      </c>
      <c r="B65" s="4" t="n">
        <v>46043</v>
      </c>
      <c r="C65" s="2" t="inlineStr">
        <is>
          <t>Day</t>
        </is>
      </c>
      <c r="D65" s="2" t="inlineStr">
        <is>
          <t>Line 2</t>
        </is>
      </c>
      <c r="E65" s="2" t="inlineStr">
        <is>
          <t>Salt &amp; Vinegar</t>
        </is>
      </c>
      <c r="F65" s="2" t="n">
        <v>990</v>
      </c>
      <c r="G65" s="2" t="n">
        <v>617.4</v>
      </c>
      <c r="H65" s="2" t="n">
        <v>612.1</v>
      </c>
      <c r="I65" s="2" t="n">
        <v>5.4</v>
      </c>
      <c r="J65" s="2" t="n">
        <v>3.56</v>
      </c>
      <c r="K65" s="2" t="inlineStr">
        <is>
          <t>Packaging Machine</t>
        </is>
      </c>
      <c r="L65" s="2" t="inlineStr">
        <is>
          <t>Corrective</t>
        </is>
      </c>
      <c r="M65" s="2" t="n">
        <v>1293.6</v>
      </c>
      <c r="N65" s="2" t="n">
        <v>169.5</v>
      </c>
      <c r="O65" s="2" t="n">
        <v>74392.10000000001</v>
      </c>
      <c r="P65" s="2" t="n">
        <v>179.1</v>
      </c>
      <c r="Q65" s="2" t="n">
        <v>1.65</v>
      </c>
      <c r="R65" s="2" t="n">
        <v>394.72</v>
      </c>
      <c r="S65" s="5">
        <f>G65/F65</f>
        <v/>
      </c>
      <c r="T65" s="5">
        <f>MAX(0,1-J65/8)</f>
        <v/>
      </c>
      <c r="U65" s="5">
        <f>IFERROR(G65/(F65*T65),0)</f>
        <v/>
      </c>
      <c r="V65" s="5">
        <f>IFERROR(H65/G65,0)</f>
        <v/>
      </c>
      <c r="W65" s="5">
        <f>T65*U65*V65</f>
        <v/>
      </c>
      <c r="X65" s="5">
        <f>IFERROR(I65/G65,0)</f>
        <v/>
      </c>
      <c r="Y65" s="6">
        <f>IFERROR(G65/M65,0)</f>
        <v/>
      </c>
      <c r="Z65" s="6">
        <f>IFERROR(O65/G65,0)</f>
        <v/>
      </c>
      <c r="AA65" s="2">
        <f>IF(L65="None","No Maintenance",IF(L65="Preventive","Planned","Breakdown"))</f>
        <v/>
      </c>
    </row>
    <row r="66">
      <c r="A66" s="2" t="n">
        <v>62</v>
      </c>
      <c r="B66" s="4" t="n">
        <v>46043</v>
      </c>
      <c r="C66" s="2" t="inlineStr">
        <is>
          <t>Evening</t>
        </is>
      </c>
      <c r="D66" s="2" t="inlineStr">
        <is>
          <t>Line 1</t>
        </is>
      </c>
      <c r="E66" s="2" t="inlineStr">
        <is>
          <t>Paprika Chips</t>
        </is>
      </c>
      <c r="F66" s="2" t="n">
        <v>1027</v>
      </c>
      <c r="G66" s="2" t="n">
        <v>998.3</v>
      </c>
      <c r="H66" s="2" t="n">
        <v>979.6</v>
      </c>
      <c r="I66" s="2" t="n">
        <v>18.6</v>
      </c>
      <c r="J66" s="2" t="n">
        <v>0.25</v>
      </c>
      <c r="K66" s="2" t="inlineStr">
        <is>
          <t>No Downtime</t>
        </is>
      </c>
      <c r="L66" s="2" t="inlineStr">
        <is>
          <t>None</t>
        </is>
      </c>
      <c r="M66" s="2" t="n">
        <v>2119.9</v>
      </c>
      <c r="N66" s="2" t="n">
        <v>303.6</v>
      </c>
      <c r="O66" s="2" t="n">
        <v>111402.1</v>
      </c>
      <c r="P66" s="2" t="n">
        <v>183</v>
      </c>
      <c r="Q66" s="2" t="n">
        <v>1.62</v>
      </c>
      <c r="R66" s="2" t="n">
        <v>0</v>
      </c>
      <c r="S66" s="5">
        <f>G66/F66</f>
        <v/>
      </c>
      <c r="T66" s="5">
        <f>MAX(0,1-J66/8)</f>
        <v/>
      </c>
      <c r="U66" s="5">
        <f>IFERROR(G66/(F66*T66),0)</f>
        <v/>
      </c>
      <c r="V66" s="5">
        <f>IFERROR(H66/G66,0)</f>
        <v/>
      </c>
      <c r="W66" s="5">
        <f>T66*U66*V66</f>
        <v/>
      </c>
      <c r="X66" s="5">
        <f>IFERROR(I66/G66,0)</f>
        <v/>
      </c>
      <c r="Y66" s="6">
        <f>IFERROR(G66/M66,0)</f>
        <v/>
      </c>
      <c r="Z66" s="6">
        <f>IFERROR(O66/G66,0)</f>
        <v/>
      </c>
      <c r="AA66" s="2">
        <f>IF(L66="None","No Maintenance",IF(L66="Preventive","Planned","Breakdown"))</f>
        <v/>
      </c>
    </row>
    <row r="67">
      <c r="A67" s="2" t="n">
        <v>63</v>
      </c>
      <c r="B67" s="4" t="n">
        <v>46043</v>
      </c>
      <c r="C67" s="2" t="inlineStr">
        <is>
          <t>Night</t>
        </is>
      </c>
      <c r="D67" s="2" t="inlineStr">
        <is>
          <t>Line 1</t>
        </is>
      </c>
      <c r="E67" s="2" t="inlineStr">
        <is>
          <t>Paprika Chips</t>
        </is>
      </c>
      <c r="F67" s="2" t="n">
        <v>955</v>
      </c>
      <c r="G67" s="2" t="n">
        <v>597.1</v>
      </c>
      <c r="H67" s="2" t="n">
        <v>592.1</v>
      </c>
      <c r="I67" s="2" t="n">
        <v>5</v>
      </c>
      <c r="J67" s="2" t="n">
        <v>2.16</v>
      </c>
      <c r="K67" s="2" t="inlineStr">
        <is>
          <t>Planned Maintenance</t>
        </is>
      </c>
      <c r="L67" s="2" t="inlineStr">
        <is>
          <t>Preventive</t>
        </is>
      </c>
      <c r="M67" s="2" t="n">
        <v>1195.4</v>
      </c>
      <c r="N67" s="2" t="n">
        <v>193.3</v>
      </c>
      <c r="O67" s="2" t="n">
        <v>68711.7</v>
      </c>
      <c r="P67" s="2" t="n">
        <v>179.8</v>
      </c>
      <c r="Q67" s="2" t="n">
        <v>2.15</v>
      </c>
      <c r="R67" s="2" t="n">
        <v>165.27</v>
      </c>
      <c r="S67" s="5">
        <f>G67/F67</f>
        <v/>
      </c>
      <c r="T67" s="5">
        <f>MAX(0,1-J67/8)</f>
        <v/>
      </c>
      <c r="U67" s="5">
        <f>IFERROR(G67/(F67*T67),0)</f>
        <v/>
      </c>
      <c r="V67" s="5">
        <f>IFERROR(H67/G67,0)</f>
        <v/>
      </c>
      <c r="W67" s="5">
        <f>T67*U67*V67</f>
        <v/>
      </c>
      <c r="X67" s="5">
        <f>IFERROR(I67/G67,0)</f>
        <v/>
      </c>
      <c r="Y67" s="6">
        <f>IFERROR(G67/M67,0)</f>
        <v/>
      </c>
      <c r="Z67" s="6">
        <f>IFERROR(O67/G67,0)</f>
        <v/>
      </c>
      <c r="AA67" s="2">
        <f>IF(L67="None","No Maintenance",IF(L67="Preventive","Planned","Breakdown"))</f>
        <v/>
      </c>
    </row>
    <row r="68">
      <c r="A68" s="2" t="n">
        <v>64</v>
      </c>
      <c r="B68" s="4" t="n">
        <v>46044</v>
      </c>
      <c r="C68" s="2" t="inlineStr">
        <is>
          <t>Day</t>
        </is>
      </c>
      <c r="D68" s="2" t="inlineStr">
        <is>
          <t>Line 1</t>
        </is>
      </c>
      <c r="E68" s="2" t="inlineStr">
        <is>
          <t>Classic Chips</t>
        </is>
      </c>
      <c r="F68" s="2" t="n">
        <v>988</v>
      </c>
      <c r="G68" s="2" t="n">
        <v>667.7</v>
      </c>
      <c r="H68" s="2" t="n">
        <v>661</v>
      </c>
      <c r="I68" s="2" t="n">
        <v>6.7</v>
      </c>
      <c r="J68" s="2" t="n">
        <v>3.51</v>
      </c>
      <c r="K68" s="2" t="inlineStr">
        <is>
          <t>Quality Hold</t>
        </is>
      </c>
      <c r="L68" s="2" t="inlineStr">
        <is>
          <t>Corrective</t>
        </is>
      </c>
      <c r="M68" s="2" t="n">
        <v>1362.2</v>
      </c>
      <c r="N68" s="2" t="n">
        <v>207.3</v>
      </c>
      <c r="O68" s="2" t="n">
        <v>84437.89999999999</v>
      </c>
      <c r="P68" s="2" t="n">
        <v>182.9</v>
      </c>
      <c r="Q68" s="2" t="n">
        <v>1.63</v>
      </c>
      <c r="R68" s="2" t="n">
        <v>316.11</v>
      </c>
      <c r="S68" s="5">
        <f>G68/F68</f>
        <v/>
      </c>
      <c r="T68" s="5">
        <f>MAX(0,1-J68/8)</f>
        <v/>
      </c>
      <c r="U68" s="5">
        <f>IFERROR(G68/(F68*T68),0)</f>
        <v/>
      </c>
      <c r="V68" s="5">
        <f>IFERROR(H68/G68,0)</f>
        <v/>
      </c>
      <c r="W68" s="5">
        <f>T68*U68*V68</f>
        <v/>
      </c>
      <c r="X68" s="5">
        <f>IFERROR(I68/G68,0)</f>
        <v/>
      </c>
      <c r="Y68" s="6">
        <f>IFERROR(G68/M68,0)</f>
        <v/>
      </c>
      <c r="Z68" s="6">
        <f>IFERROR(O68/G68,0)</f>
        <v/>
      </c>
      <c r="AA68" s="2">
        <f>IF(L68="None","No Maintenance",IF(L68="Preventive","Planned","Breakdown"))</f>
        <v/>
      </c>
    </row>
    <row r="69">
      <c r="A69" s="2" t="n">
        <v>65</v>
      </c>
      <c r="B69" s="4" t="n">
        <v>46044</v>
      </c>
      <c r="C69" s="2" t="inlineStr">
        <is>
          <t>Evening</t>
        </is>
      </c>
      <c r="D69" s="2" t="inlineStr">
        <is>
          <t>Line 2</t>
        </is>
      </c>
      <c r="E69" s="2" t="inlineStr">
        <is>
          <t>Salt &amp; Vinegar</t>
        </is>
      </c>
      <c r="F69" s="2" t="n">
        <v>1047</v>
      </c>
      <c r="G69" s="2" t="n">
        <v>871.3</v>
      </c>
      <c r="H69" s="2" t="n">
        <v>866.2</v>
      </c>
      <c r="I69" s="2" t="n">
        <v>5</v>
      </c>
      <c r="J69" s="2" t="n">
        <v>0.12</v>
      </c>
      <c r="K69" s="2" t="inlineStr">
        <is>
          <t>No Downtime</t>
        </is>
      </c>
      <c r="L69" s="2" t="inlineStr">
        <is>
          <t>None</t>
        </is>
      </c>
      <c r="M69" s="2" t="n">
        <v>1778.4</v>
      </c>
      <c r="N69" s="2" t="n">
        <v>319</v>
      </c>
      <c r="O69" s="2" t="n">
        <v>102355.2</v>
      </c>
      <c r="P69" s="2" t="n">
        <v>182.1</v>
      </c>
      <c r="Q69" s="2" t="n">
        <v>1.43</v>
      </c>
      <c r="R69" s="2" t="n">
        <v>0</v>
      </c>
      <c r="S69" s="5">
        <f>G69/F69</f>
        <v/>
      </c>
      <c r="T69" s="5">
        <f>MAX(0,1-J69/8)</f>
        <v/>
      </c>
      <c r="U69" s="5">
        <f>IFERROR(G69/(F69*T69),0)</f>
        <v/>
      </c>
      <c r="V69" s="5">
        <f>IFERROR(H69/G69,0)</f>
        <v/>
      </c>
      <c r="W69" s="5">
        <f>T69*U69*V69</f>
        <v/>
      </c>
      <c r="X69" s="5">
        <f>IFERROR(I69/G69,0)</f>
        <v/>
      </c>
      <c r="Y69" s="6">
        <f>IFERROR(G69/M69,0)</f>
        <v/>
      </c>
      <c r="Z69" s="6">
        <f>IFERROR(O69/G69,0)</f>
        <v/>
      </c>
      <c r="AA69" s="2">
        <f>IF(L69="None","No Maintenance",IF(L69="Preventive","Planned","Breakdown"))</f>
        <v/>
      </c>
    </row>
    <row r="70">
      <c r="A70" s="2" t="n">
        <v>66</v>
      </c>
      <c r="B70" s="4" t="n">
        <v>46044</v>
      </c>
      <c r="C70" s="2" t="inlineStr">
        <is>
          <t>Night</t>
        </is>
      </c>
      <c r="D70" s="2" t="inlineStr">
        <is>
          <t>Line 1</t>
        </is>
      </c>
      <c r="E70" s="2" t="inlineStr">
        <is>
          <t>Paprika Chips</t>
        </is>
      </c>
      <c r="F70" s="2" t="n">
        <v>1016</v>
      </c>
      <c r="G70" s="2" t="n">
        <v>857.2</v>
      </c>
      <c r="H70" s="2" t="n">
        <v>839.6</v>
      </c>
      <c r="I70" s="2" t="n">
        <v>17.6</v>
      </c>
      <c r="J70" s="2" t="n">
        <v>0.04</v>
      </c>
      <c r="K70" s="2" t="inlineStr">
        <is>
          <t>No Downtime</t>
        </is>
      </c>
      <c r="L70" s="2" t="inlineStr">
        <is>
          <t>None</t>
        </is>
      </c>
      <c r="M70" s="2" t="n">
        <v>1820.5</v>
      </c>
      <c r="N70" s="2" t="n">
        <v>251.6</v>
      </c>
      <c r="O70" s="2" t="n">
        <v>99908.60000000001</v>
      </c>
      <c r="P70" s="2" t="n">
        <v>181.5</v>
      </c>
      <c r="Q70" s="2" t="n">
        <v>1.49</v>
      </c>
      <c r="R70" s="2" t="n">
        <v>0</v>
      </c>
      <c r="S70" s="5">
        <f>G70/F70</f>
        <v/>
      </c>
      <c r="T70" s="5">
        <f>MAX(0,1-J70/8)</f>
        <v/>
      </c>
      <c r="U70" s="5">
        <f>IFERROR(G70/(F70*T70),0)</f>
        <v/>
      </c>
      <c r="V70" s="5">
        <f>IFERROR(H70/G70,0)</f>
        <v/>
      </c>
      <c r="W70" s="5">
        <f>T70*U70*V70</f>
        <v/>
      </c>
      <c r="X70" s="5">
        <f>IFERROR(I70/G70,0)</f>
        <v/>
      </c>
      <c r="Y70" s="6">
        <f>IFERROR(G70/M70,0)</f>
        <v/>
      </c>
      <c r="Z70" s="6">
        <f>IFERROR(O70/G70,0)</f>
        <v/>
      </c>
      <c r="AA70" s="2">
        <f>IF(L70="None","No Maintenance",IF(L70="Preventive","Planned","Breakdown"))</f>
        <v/>
      </c>
    </row>
    <row r="71">
      <c r="A71" s="2" t="n">
        <v>67</v>
      </c>
      <c r="B71" s="4" t="n">
        <v>46045</v>
      </c>
      <c r="C71" s="2" t="inlineStr">
        <is>
          <t>Day</t>
        </is>
      </c>
      <c r="D71" s="2" t="inlineStr">
        <is>
          <t>Line 1</t>
        </is>
      </c>
      <c r="E71" s="2" t="inlineStr">
        <is>
          <t>Classic Chips</t>
        </is>
      </c>
      <c r="F71" s="2" t="n">
        <v>960</v>
      </c>
      <c r="G71" s="2" t="n">
        <v>692.7</v>
      </c>
      <c r="H71" s="2" t="n">
        <v>685.4</v>
      </c>
      <c r="I71" s="2" t="n">
        <v>7.3</v>
      </c>
      <c r="J71" s="2" t="n">
        <v>3.46</v>
      </c>
      <c r="K71" s="2" t="inlineStr">
        <is>
          <t>Conveyor Jam</t>
        </is>
      </c>
      <c r="L71" s="2" t="inlineStr">
        <is>
          <t>Emergency</t>
        </is>
      </c>
      <c r="M71" s="2" t="n">
        <v>1408.5</v>
      </c>
      <c r="N71" s="2" t="n">
        <v>232.5</v>
      </c>
      <c r="O71" s="2" t="n">
        <v>81091.3</v>
      </c>
      <c r="P71" s="2" t="n">
        <v>182</v>
      </c>
      <c r="Q71" s="2" t="n">
        <v>1.68</v>
      </c>
      <c r="R71" s="2" t="n">
        <v>766.25</v>
      </c>
      <c r="S71" s="5">
        <f>G71/F71</f>
        <v/>
      </c>
      <c r="T71" s="5">
        <f>MAX(0,1-J71/8)</f>
        <v/>
      </c>
      <c r="U71" s="5">
        <f>IFERROR(G71/(F71*T71),0)</f>
        <v/>
      </c>
      <c r="V71" s="5">
        <f>IFERROR(H71/G71,0)</f>
        <v/>
      </c>
      <c r="W71" s="5">
        <f>T71*U71*V71</f>
        <v/>
      </c>
      <c r="X71" s="5">
        <f>IFERROR(I71/G71,0)</f>
        <v/>
      </c>
      <c r="Y71" s="6">
        <f>IFERROR(G71/M71,0)</f>
        <v/>
      </c>
      <c r="Z71" s="6">
        <f>IFERROR(O71/G71,0)</f>
        <v/>
      </c>
      <c r="AA71" s="2">
        <f>IF(L71="None","No Maintenance",IF(L71="Preventive","Planned","Breakdown"))</f>
        <v/>
      </c>
    </row>
    <row r="72">
      <c r="A72" s="2" t="n">
        <v>68</v>
      </c>
      <c r="B72" s="4" t="n">
        <v>46045</v>
      </c>
      <c r="C72" s="2" t="inlineStr">
        <is>
          <t>Evening</t>
        </is>
      </c>
      <c r="D72" s="2" t="inlineStr">
        <is>
          <t>Line 2</t>
        </is>
      </c>
      <c r="E72" s="2" t="inlineStr">
        <is>
          <t>Paprika Chips</t>
        </is>
      </c>
      <c r="F72" s="2" t="n">
        <v>991</v>
      </c>
      <c r="G72" s="2" t="n">
        <v>889.4</v>
      </c>
      <c r="H72" s="2" t="n">
        <v>861.7</v>
      </c>
      <c r="I72" s="2" t="n">
        <v>27.8</v>
      </c>
      <c r="J72" s="2" t="n">
        <v>0.23</v>
      </c>
      <c r="K72" s="2" t="inlineStr">
        <is>
          <t>No Downtime</t>
        </is>
      </c>
      <c r="L72" s="2" t="inlineStr">
        <is>
          <t>None</t>
        </is>
      </c>
      <c r="M72" s="2" t="n">
        <v>1853.3</v>
      </c>
      <c r="N72" s="2" t="n">
        <v>312.6</v>
      </c>
      <c r="O72" s="2" t="n">
        <v>109168.7</v>
      </c>
      <c r="P72" s="2" t="n">
        <v>176.5</v>
      </c>
      <c r="Q72" s="2" t="n">
        <v>1.43</v>
      </c>
      <c r="R72" s="2" t="n">
        <v>0</v>
      </c>
      <c r="S72" s="5">
        <f>G72/F72</f>
        <v/>
      </c>
      <c r="T72" s="5">
        <f>MAX(0,1-J72/8)</f>
        <v/>
      </c>
      <c r="U72" s="5">
        <f>IFERROR(G72/(F72*T72),0)</f>
        <v/>
      </c>
      <c r="V72" s="5">
        <f>IFERROR(H72/G72,0)</f>
        <v/>
      </c>
      <c r="W72" s="5">
        <f>T72*U72*V72</f>
        <v/>
      </c>
      <c r="X72" s="5">
        <f>IFERROR(I72/G72,0)</f>
        <v/>
      </c>
      <c r="Y72" s="6">
        <f>IFERROR(G72/M72,0)</f>
        <v/>
      </c>
      <c r="Z72" s="6">
        <f>IFERROR(O72/G72,0)</f>
        <v/>
      </c>
      <c r="AA72" s="2">
        <f>IF(L72="None","No Maintenance",IF(L72="Preventive","Planned","Breakdown"))</f>
        <v/>
      </c>
    </row>
    <row r="73">
      <c r="A73" s="2" t="n">
        <v>69</v>
      </c>
      <c r="B73" s="4" t="n">
        <v>46045</v>
      </c>
      <c r="C73" s="2" t="inlineStr">
        <is>
          <t>Night</t>
        </is>
      </c>
      <c r="D73" s="2" t="inlineStr">
        <is>
          <t>Line 1</t>
        </is>
      </c>
      <c r="E73" s="2" t="inlineStr">
        <is>
          <t>Paprika Chips</t>
        </is>
      </c>
      <c r="F73" s="2" t="n">
        <v>923</v>
      </c>
      <c r="G73" s="2" t="n">
        <v>773.4</v>
      </c>
      <c r="H73" s="2" t="n">
        <v>758.8</v>
      </c>
      <c r="I73" s="2" t="n">
        <v>14.6</v>
      </c>
      <c r="J73" s="2" t="n">
        <v>0.67</v>
      </c>
      <c r="K73" s="2" t="inlineStr">
        <is>
          <t>Electrical Fault</t>
        </is>
      </c>
      <c r="L73" s="2" t="inlineStr">
        <is>
          <t>Corrective</t>
        </is>
      </c>
      <c r="M73" s="2" t="n">
        <v>1639.2</v>
      </c>
      <c r="N73" s="2" t="n">
        <v>256.6</v>
      </c>
      <c r="O73" s="2" t="n">
        <v>90976.3</v>
      </c>
      <c r="P73" s="2" t="n">
        <v>177.5</v>
      </c>
      <c r="Q73" s="2" t="n">
        <v>1.64</v>
      </c>
      <c r="R73" s="2" t="n">
        <v>430.85</v>
      </c>
      <c r="S73" s="5">
        <f>G73/F73</f>
        <v/>
      </c>
      <c r="T73" s="5">
        <f>MAX(0,1-J73/8)</f>
        <v/>
      </c>
      <c r="U73" s="5">
        <f>IFERROR(G73/(F73*T73),0)</f>
        <v/>
      </c>
      <c r="V73" s="5">
        <f>IFERROR(H73/G73,0)</f>
        <v/>
      </c>
      <c r="W73" s="5">
        <f>T73*U73*V73</f>
        <v/>
      </c>
      <c r="X73" s="5">
        <f>IFERROR(I73/G73,0)</f>
        <v/>
      </c>
      <c r="Y73" s="6">
        <f>IFERROR(G73/M73,0)</f>
        <v/>
      </c>
      <c r="Z73" s="6">
        <f>IFERROR(O73/G73,0)</f>
        <v/>
      </c>
      <c r="AA73" s="2">
        <f>IF(L73="None","No Maintenance",IF(L73="Preventive","Planned","Breakdown"))</f>
        <v/>
      </c>
    </row>
    <row r="74">
      <c r="A74" s="2" t="n">
        <v>70</v>
      </c>
      <c r="B74" s="4" t="n">
        <v>46046</v>
      </c>
      <c r="C74" s="2" t="inlineStr">
        <is>
          <t>Day</t>
        </is>
      </c>
      <c r="D74" s="2" t="inlineStr">
        <is>
          <t>Line 2</t>
        </is>
      </c>
      <c r="E74" s="2" t="inlineStr">
        <is>
          <t>Classic Chips</t>
        </is>
      </c>
      <c r="F74" s="2" t="n">
        <v>912</v>
      </c>
      <c r="G74" s="2" t="n">
        <v>709.6</v>
      </c>
      <c r="H74" s="2" t="n">
        <v>697.4</v>
      </c>
      <c r="I74" s="2" t="n">
        <v>12.2</v>
      </c>
      <c r="J74" s="2" t="n">
        <v>1.16</v>
      </c>
      <c r="K74" s="2" t="inlineStr">
        <is>
          <t>Conveyor Jam</t>
        </is>
      </c>
      <c r="L74" s="2" t="inlineStr">
        <is>
          <t>Emergency</t>
        </is>
      </c>
      <c r="M74" s="2" t="n">
        <v>1452.8</v>
      </c>
      <c r="N74" s="2" t="n">
        <v>213.9</v>
      </c>
      <c r="O74" s="2" t="n">
        <v>91274.10000000001</v>
      </c>
      <c r="P74" s="2" t="n">
        <v>178.2</v>
      </c>
      <c r="Q74" s="2" t="n">
        <v>1.72</v>
      </c>
      <c r="R74" s="2" t="n">
        <v>1533.81</v>
      </c>
      <c r="S74" s="5">
        <f>G74/F74</f>
        <v/>
      </c>
      <c r="T74" s="5">
        <f>MAX(0,1-J74/8)</f>
        <v/>
      </c>
      <c r="U74" s="5">
        <f>IFERROR(G74/(F74*T74),0)</f>
        <v/>
      </c>
      <c r="V74" s="5">
        <f>IFERROR(H74/G74,0)</f>
        <v/>
      </c>
      <c r="W74" s="5">
        <f>T74*U74*V74</f>
        <v/>
      </c>
      <c r="X74" s="5">
        <f>IFERROR(I74/G74,0)</f>
        <v/>
      </c>
      <c r="Y74" s="6">
        <f>IFERROR(G74/M74,0)</f>
        <v/>
      </c>
      <c r="Z74" s="6">
        <f>IFERROR(O74/G74,0)</f>
        <v/>
      </c>
      <c r="AA74" s="2">
        <f>IF(L74="None","No Maintenance",IF(L74="Preventive","Planned","Breakdown"))</f>
        <v/>
      </c>
    </row>
    <row r="75">
      <c r="A75" s="2" t="n">
        <v>71</v>
      </c>
      <c r="B75" s="4" t="n">
        <v>46046</v>
      </c>
      <c r="C75" s="2" t="inlineStr">
        <is>
          <t>Evening</t>
        </is>
      </c>
      <c r="D75" s="2" t="inlineStr">
        <is>
          <t>Line 2</t>
        </is>
      </c>
      <c r="E75" s="2" t="inlineStr">
        <is>
          <t>Classic Chips</t>
        </is>
      </c>
      <c r="F75" s="2" t="n">
        <v>997</v>
      </c>
      <c r="G75" s="2" t="n">
        <v>801.9</v>
      </c>
      <c r="H75" s="2" t="n">
        <v>789.3</v>
      </c>
      <c r="I75" s="2" t="n">
        <v>12.6</v>
      </c>
      <c r="J75" s="2" t="n">
        <v>0.3</v>
      </c>
      <c r="K75" s="2" t="inlineStr">
        <is>
          <t>No Downtime</t>
        </is>
      </c>
      <c r="L75" s="2" t="inlineStr">
        <is>
          <t>None</t>
        </is>
      </c>
      <c r="M75" s="2" t="n">
        <v>1674.6</v>
      </c>
      <c r="N75" s="2" t="n">
        <v>278.9</v>
      </c>
      <c r="O75" s="2" t="n">
        <v>86830.60000000001</v>
      </c>
      <c r="P75" s="2" t="n">
        <v>179</v>
      </c>
      <c r="Q75" s="2" t="n">
        <v>1.83</v>
      </c>
      <c r="R75" s="2" t="n">
        <v>0</v>
      </c>
      <c r="S75" s="5">
        <f>G75/F75</f>
        <v/>
      </c>
      <c r="T75" s="5">
        <f>MAX(0,1-J75/8)</f>
        <v/>
      </c>
      <c r="U75" s="5">
        <f>IFERROR(G75/(F75*T75),0)</f>
        <v/>
      </c>
      <c r="V75" s="5">
        <f>IFERROR(H75/G75,0)</f>
        <v/>
      </c>
      <c r="W75" s="5">
        <f>T75*U75*V75</f>
        <v/>
      </c>
      <c r="X75" s="5">
        <f>IFERROR(I75/G75,0)</f>
        <v/>
      </c>
      <c r="Y75" s="6">
        <f>IFERROR(G75/M75,0)</f>
        <v/>
      </c>
      <c r="Z75" s="6">
        <f>IFERROR(O75/G75,0)</f>
        <v/>
      </c>
      <c r="AA75" s="2">
        <f>IF(L75="None","No Maintenance",IF(L75="Preventive","Planned","Breakdown"))</f>
        <v/>
      </c>
    </row>
    <row r="76">
      <c r="A76" s="2" t="n">
        <v>72</v>
      </c>
      <c r="B76" s="4" t="n">
        <v>46046</v>
      </c>
      <c r="C76" s="2" t="inlineStr">
        <is>
          <t>Night</t>
        </is>
      </c>
      <c r="D76" s="2" t="inlineStr">
        <is>
          <t>Line 2</t>
        </is>
      </c>
      <c r="E76" s="2" t="inlineStr">
        <is>
          <t>Classic Chips</t>
        </is>
      </c>
      <c r="F76" s="2" t="n">
        <v>973</v>
      </c>
      <c r="G76" s="2" t="n">
        <v>553.5</v>
      </c>
      <c r="H76" s="2" t="n">
        <v>544.6</v>
      </c>
      <c r="I76" s="2" t="n">
        <v>9</v>
      </c>
      <c r="J76" s="2" t="n">
        <v>2.98</v>
      </c>
      <c r="K76" s="2" t="inlineStr">
        <is>
          <t>Planned Maintenance</t>
        </is>
      </c>
      <c r="L76" s="2" t="inlineStr">
        <is>
          <t>Preventive</t>
        </is>
      </c>
      <c r="M76" s="2" t="n">
        <v>1156.9</v>
      </c>
      <c r="N76" s="2" t="n">
        <v>195.6</v>
      </c>
      <c r="O76" s="2" t="n">
        <v>67965.3</v>
      </c>
      <c r="P76" s="2" t="n">
        <v>168</v>
      </c>
      <c r="Q76" s="2" t="n">
        <v>1.58</v>
      </c>
      <c r="R76" s="2" t="n">
        <v>258.44</v>
      </c>
      <c r="S76" s="5">
        <f>G76/F76</f>
        <v/>
      </c>
      <c r="T76" s="5">
        <f>MAX(0,1-J76/8)</f>
        <v/>
      </c>
      <c r="U76" s="5">
        <f>IFERROR(G76/(F76*T76),0)</f>
        <v/>
      </c>
      <c r="V76" s="5">
        <f>IFERROR(H76/G76,0)</f>
        <v/>
      </c>
      <c r="W76" s="5">
        <f>T76*U76*V76</f>
        <v/>
      </c>
      <c r="X76" s="5">
        <f>IFERROR(I76/G76,0)</f>
        <v/>
      </c>
      <c r="Y76" s="6">
        <f>IFERROR(G76/M76,0)</f>
        <v/>
      </c>
      <c r="Z76" s="6">
        <f>IFERROR(O76/G76,0)</f>
        <v/>
      </c>
      <c r="AA76" s="2">
        <f>IF(L76="None","No Maintenance",IF(L76="Preventive","Planned","Breakdown"))</f>
        <v/>
      </c>
    </row>
    <row r="77">
      <c r="A77" s="2" t="n">
        <v>73</v>
      </c>
      <c r="B77" s="4" t="n">
        <v>46047</v>
      </c>
      <c r="C77" s="2" t="inlineStr">
        <is>
          <t>Day</t>
        </is>
      </c>
      <c r="D77" s="2" t="inlineStr">
        <is>
          <t>Line 2</t>
        </is>
      </c>
      <c r="E77" s="2" t="inlineStr">
        <is>
          <t>Salt &amp; Vinegar</t>
        </is>
      </c>
      <c r="F77" s="2" t="n">
        <v>1034</v>
      </c>
      <c r="G77" s="2" t="n">
        <v>656.5</v>
      </c>
      <c r="H77" s="2" t="n">
        <v>647.3</v>
      </c>
      <c r="I77" s="2" t="n">
        <v>9.199999999999999</v>
      </c>
      <c r="J77" s="2" t="n">
        <v>2.91</v>
      </c>
      <c r="K77" s="2" t="inlineStr">
        <is>
          <t>Conveyor Jam</t>
        </is>
      </c>
      <c r="L77" s="2" t="inlineStr">
        <is>
          <t>Corrective</t>
        </is>
      </c>
      <c r="M77" s="2" t="n">
        <v>1332.9</v>
      </c>
      <c r="N77" s="2" t="n">
        <v>199.9</v>
      </c>
      <c r="O77" s="2" t="n">
        <v>74483.89999999999</v>
      </c>
      <c r="P77" s="2" t="n">
        <v>180.2</v>
      </c>
      <c r="Q77" s="2" t="n">
        <v>1.55</v>
      </c>
      <c r="R77" s="2" t="n">
        <v>752.4400000000001</v>
      </c>
      <c r="S77" s="5">
        <f>G77/F77</f>
        <v/>
      </c>
      <c r="T77" s="5">
        <f>MAX(0,1-J77/8)</f>
        <v/>
      </c>
      <c r="U77" s="5">
        <f>IFERROR(G77/(F77*T77),0)</f>
        <v/>
      </c>
      <c r="V77" s="5">
        <f>IFERROR(H77/G77,0)</f>
        <v/>
      </c>
      <c r="W77" s="5">
        <f>T77*U77*V77</f>
        <v/>
      </c>
      <c r="X77" s="5">
        <f>IFERROR(I77/G77,0)</f>
        <v/>
      </c>
      <c r="Y77" s="6">
        <f>IFERROR(G77/M77,0)</f>
        <v/>
      </c>
      <c r="Z77" s="6">
        <f>IFERROR(O77/G77,0)</f>
        <v/>
      </c>
      <c r="AA77" s="2">
        <f>IF(L77="None","No Maintenance",IF(L77="Preventive","Planned","Breakdown"))</f>
        <v/>
      </c>
    </row>
    <row r="78">
      <c r="A78" s="2" t="n">
        <v>74</v>
      </c>
      <c r="B78" s="4" t="n">
        <v>46047</v>
      </c>
      <c r="C78" s="2" t="inlineStr">
        <is>
          <t>Evening</t>
        </is>
      </c>
      <c r="D78" s="2" t="inlineStr">
        <is>
          <t>Line 1</t>
        </is>
      </c>
      <c r="E78" s="2" t="inlineStr">
        <is>
          <t>Paprika Chips</t>
        </is>
      </c>
      <c r="F78" s="2" t="n">
        <v>929</v>
      </c>
      <c r="G78" s="2" t="n">
        <v>838</v>
      </c>
      <c r="H78" s="2" t="n">
        <v>825</v>
      </c>
      <c r="I78" s="2" t="n">
        <v>13</v>
      </c>
      <c r="J78" s="2" t="n">
        <v>0.21</v>
      </c>
      <c r="K78" s="2" t="inlineStr">
        <is>
          <t>No Downtime</t>
        </is>
      </c>
      <c r="L78" s="2" t="inlineStr">
        <is>
          <t>None</t>
        </is>
      </c>
      <c r="M78" s="2" t="n">
        <v>1721.7</v>
      </c>
      <c r="N78" s="2" t="n">
        <v>275.1</v>
      </c>
      <c r="O78" s="2" t="n">
        <v>98301.7</v>
      </c>
      <c r="P78" s="2" t="n">
        <v>183.3</v>
      </c>
      <c r="Q78" s="2" t="n">
        <v>1.73</v>
      </c>
      <c r="R78" s="2" t="n">
        <v>0</v>
      </c>
      <c r="S78" s="5">
        <f>G78/F78</f>
        <v/>
      </c>
      <c r="T78" s="5">
        <f>MAX(0,1-J78/8)</f>
        <v/>
      </c>
      <c r="U78" s="5">
        <f>IFERROR(G78/(F78*T78),0)</f>
        <v/>
      </c>
      <c r="V78" s="5">
        <f>IFERROR(H78/G78,0)</f>
        <v/>
      </c>
      <c r="W78" s="5">
        <f>T78*U78*V78</f>
        <v/>
      </c>
      <c r="X78" s="5">
        <f>IFERROR(I78/G78,0)</f>
        <v/>
      </c>
      <c r="Y78" s="6">
        <f>IFERROR(G78/M78,0)</f>
        <v/>
      </c>
      <c r="Z78" s="6">
        <f>IFERROR(O78/G78,0)</f>
        <v/>
      </c>
      <c r="AA78" s="2">
        <f>IF(L78="None","No Maintenance",IF(L78="Preventive","Planned","Breakdown"))</f>
        <v/>
      </c>
    </row>
    <row r="79">
      <c r="A79" s="2" t="n">
        <v>75</v>
      </c>
      <c r="B79" s="4" t="n">
        <v>46047</v>
      </c>
      <c r="C79" s="2" t="inlineStr">
        <is>
          <t>Night</t>
        </is>
      </c>
      <c r="D79" s="2" t="inlineStr">
        <is>
          <t>Line 2</t>
        </is>
      </c>
      <c r="E79" s="2" t="inlineStr">
        <is>
          <t>Classic Chips</t>
        </is>
      </c>
      <c r="F79" s="2" t="n">
        <v>909</v>
      </c>
      <c r="G79" s="2" t="n">
        <v>731.2</v>
      </c>
      <c r="H79" s="2" t="n">
        <v>718.9</v>
      </c>
      <c r="I79" s="2" t="n">
        <v>12.3</v>
      </c>
      <c r="J79" s="2" t="n">
        <v>0.05</v>
      </c>
      <c r="K79" s="2" t="inlineStr">
        <is>
          <t>No Downtime</t>
        </is>
      </c>
      <c r="L79" s="2" t="inlineStr">
        <is>
          <t>None</t>
        </is>
      </c>
      <c r="M79" s="2" t="n">
        <v>1505.3</v>
      </c>
      <c r="N79" s="2" t="n">
        <v>223.2</v>
      </c>
      <c r="O79" s="2" t="n">
        <v>89998.39999999999</v>
      </c>
      <c r="P79" s="2" t="n">
        <v>184.5</v>
      </c>
      <c r="Q79" s="2" t="n">
        <v>1.96</v>
      </c>
      <c r="R79" s="2" t="n">
        <v>0</v>
      </c>
      <c r="S79" s="5">
        <f>G79/F79</f>
        <v/>
      </c>
      <c r="T79" s="5">
        <f>MAX(0,1-J79/8)</f>
        <v/>
      </c>
      <c r="U79" s="5">
        <f>IFERROR(G79/(F79*T79),0)</f>
        <v/>
      </c>
      <c r="V79" s="5">
        <f>IFERROR(H79/G79,0)</f>
        <v/>
      </c>
      <c r="W79" s="5">
        <f>T79*U79*V79</f>
        <v/>
      </c>
      <c r="X79" s="5">
        <f>IFERROR(I79/G79,0)</f>
        <v/>
      </c>
      <c r="Y79" s="6">
        <f>IFERROR(G79/M79,0)</f>
        <v/>
      </c>
      <c r="Z79" s="6">
        <f>IFERROR(O79/G79,0)</f>
        <v/>
      </c>
      <c r="AA79" s="2">
        <f>IF(L79="None","No Maintenance",IF(L79="Preventive","Planned","Breakdown"))</f>
        <v/>
      </c>
    </row>
    <row r="80">
      <c r="A80" s="2" t="n">
        <v>76</v>
      </c>
      <c r="B80" s="4" t="n">
        <v>46048</v>
      </c>
      <c r="C80" s="2" t="inlineStr">
        <is>
          <t>Day</t>
        </is>
      </c>
      <c r="D80" s="2" t="inlineStr">
        <is>
          <t>Line 1</t>
        </is>
      </c>
      <c r="E80" s="2" t="inlineStr">
        <is>
          <t>Classic Chips</t>
        </is>
      </c>
      <c r="F80" s="2" t="n">
        <v>978</v>
      </c>
      <c r="G80" s="2" t="n">
        <v>746.5</v>
      </c>
      <c r="H80" s="2" t="n">
        <v>732.8</v>
      </c>
      <c r="I80" s="2" t="n">
        <v>13.7</v>
      </c>
      <c r="J80" s="2" t="n">
        <v>1.57</v>
      </c>
      <c r="K80" s="2" t="inlineStr">
        <is>
          <t>Fryer Temperature</t>
        </is>
      </c>
      <c r="L80" s="2" t="inlineStr">
        <is>
          <t>Corrective</t>
        </is>
      </c>
      <c r="M80" s="2" t="n">
        <v>1599.4</v>
      </c>
      <c r="N80" s="2" t="n">
        <v>249.6</v>
      </c>
      <c r="O80" s="2" t="n">
        <v>94912.89999999999</v>
      </c>
      <c r="P80" s="2" t="n">
        <v>175.6</v>
      </c>
      <c r="Q80" s="2" t="n">
        <v>1.44</v>
      </c>
      <c r="R80" s="2" t="n">
        <v>589.1900000000001</v>
      </c>
      <c r="S80" s="5">
        <f>G80/F80</f>
        <v/>
      </c>
      <c r="T80" s="5">
        <f>MAX(0,1-J80/8)</f>
        <v/>
      </c>
      <c r="U80" s="5">
        <f>IFERROR(G80/(F80*T80),0)</f>
        <v/>
      </c>
      <c r="V80" s="5">
        <f>IFERROR(H80/G80,0)</f>
        <v/>
      </c>
      <c r="W80" s="5">
        <f>T80*U80*V80</f>
        <v/>
      </c>
      <c r="X80" s="5">
        <f>IFERROR(I80/G80,0)</f>
        <v/>
      </c>
      <c r="Y80" s="6">
        <f>IFERROR(G80/M80,0)</f>
        <v/>
      </c>
      <c r="Z80" s="6">
        <f>IFERROR(O80/G80,0)</f>
        <v/>
      </c>
      <c r="AA80" s="2">
        <f>IF(L80="None","No Maintenance",IF(L80="Preventive","Planned","Breakdown"))</f>
        <v/>
      </c>
    </row>
    <row r="81">
      <c r="A81" s="2" t="n">
        <v>77</v>
      </c>
      <c r="B81" s="4" t="n">
        <v>46048</v>
      </c>
      <c r="C81" s="2" t="inlineStr">
        <is>
          <t>Evening</t>
        </is>
      </c>
      <c r="D81" s="2" t="inlineStr">
        <is>
          <t>Line 2</t>
        </is>
      </c>
      <c r="E81" s="2" t="inlineStr">
        <is>
          <t>Classic Chips</t>
        </is>
      </c>
      <c r="F81" s="2" t="n">
        <v>921</v>
      </c>
      <c r="G81" s="2" t="n">
        <v>568.9</v>
      </c>
      <c r="H81" s="2" t="n">
        <v>562.2</v>
      </c>
      <c r="I81" s="2" t="n">
        <v>6.7</v>
      </c>
      <c r="J81" s="2" t="n">
        <v>2.87</v>
      </c>
      <c r="K81" s="2" t="inlineStr">
        <is>
          <t>Conveyor Jam</t>
        </is>
      </c>
      <c r="L81" s="2" t="inlineStr">
        <is>
          <t>Emergency</t>
        </is>
      </c>
      <c r="M81" s="2" t="n">
        <v>1181.7</v>
      </c>
      <c r="N81" s="2" t="n">
        <v>178.6</v>
      </c>
      <c r="O81" s="2" t="n">
        <v>65874.5</v>
      </c>
      <c r="P81" s="2" t="n">
        <v>182.4</v>
      </c>
      <c r="Q81" s="2" t="n">
        <v>1.82</v>
      </c>
      <c r="R81" s="2" t="n">
        <v>1322.46</v>
      </c>
      <c r="S81" s="5">
        <f>G81/F81</f>
        <v/>
      </c>
      <c r="T81" s="5">
        <f>MAX(0,1-J81/8)</f>
        <v/>
      </c>
      <c r="U81" s="5">
        <f>IFERROR(G81/(F81*T81),0)</f>
        <v/>
      </c>
      <c r="V81" s="5">
        <f>IFERROR(H81/G81,0)</f>
        <v/>
      </c>
      <c r="W81" s="5">
        <f>T81*U81*V81</f>
        <v/>
      </c>
      <c r="X81" s="5">
        <f>IFERROR(I81/G81,0)</f>
        <v/>
      </c>
      <c r="Y81" s="6">
        <f>IFERROR(G81/M81,0)</f>
        <v/>
      </c>
      <c r="Z81" s="6">
        <f>IFERROR(O81/G81,0)</f>
        <v/>
      </c>
      <c r="AA81" s="2">
        <f>IF(L81="None","No Maintenance",IF(L81="Preventive","Planned","Breakdown"))</f>
        <v/>
      </c>
    </row>
    <row r="82">
      <c r="A82" s="2" t="n">
        <v>78</v>
      </c>
      <c r="B82" s="4" t="n">
        <v>46048</v>
      </c>
      <c r="C82" s="2" t="inlineStr">
        <is>
          <t>Night</t>
        </is>
      </c>
      <c r="D82" s="2" t="inlineStr">
        <is>
          <t>Line 1</t>
        </is>
      </c>
      <c r="E82" s="2" t="inlineStr">
        <is>
          <t>Paprika Chips</t>
        </is>
      </c>
      <c r="F82" s="2" t="n">
        <v>1045</v>
      </c>
      <c r="G82" s="2" t="n">
        <v>712.3</v>
      </c>
      <c r="H82" s="2" t="n">
        <v>695.8</v>
      </c>
      <c r="I82" s="2" t="n">
        <v>16.5</v>
      </c>
      <c r="J82" s="2" t="n">
        <v>1.48</v>
      </c>
      <c r="K82" s="2" t="inlineStr">
        <is>
          <t>Packaging Machine</t>
        </is>
      </c>
      <c r="L82" s="2" t="inlineStr">
        <is>
          <t>Emergency</t>
        </is>
      </c>
      <c r="M82" s="2" t="n">
        <v>1406.5</v>
      </c>
      <c r="N82" s="2" t="n">
        <v>232</v>
      </c>
      <c r="O82" s="2" t="n">
        <v>86234.3</v>
      </c>
      <c r="P82" s="2" t="n">
        <v>174.5</v>
      </c>
      <c r="Q82" s="2" t="n">
        <v>1.75</v>
      </c>
      <c r="R82" s="2" t="n">
        <v>1035.59</v>
      </c>
      <c r="S82" s="5">
        <f>G82/F82</f>
        <v/>
      </c>
      <c r="T82" s="5">
        <f>MAX(0,1-J82/8)</f>
        <v/>
      </c>
      <c r="U82" s="5">
        <f>IFERROR(G82/(F82*T82),0)</f>
        <v/>
      </c>
      <c r="V82" s="5">
        <f>IFERROR(H82/G82,0)</f>
        <v/>
      </c>
      <c r="W82" s="5">
        <f>T82*U82*V82</f>
        <v/>
      </c>
      <c r="X82" s="5">
        <f>IFERROR(I82/G82,0)</f>
        <v/>
      </c>
      <c r="Y82" s="6">
        <f>IFERROR(G82/M82,0)</f>
        <v/>
      </c>
      <c r="Z82" s="6">
        <f>IFERROR(O82/G82,0)</f>
        <v/>
      </c>
      <c r="AA82" s="2">
        <f>IF(L82="None","No Maintenance",IF(L82="Preventive","Planned","Breakdown"))</f>
        <v/>
      </c>
    </row>
    <row r="83">
      <c r="A83" s="2" t="n">
        <v>79</v>
      </c>
      <c r="B83" s="4" t="n">
        <v>46049</v>
      </c>
      <c r="C83" s="2" t="inlineStr">
        <is>
          <t>Day</t>
        </is>
      </c>
      <c r="D83" s="2" t="inlineStr">
        <is>
          <t>Line 2</t>
        </is>
      </c>
      <c r="E83" s="2" t="inlineStr">
        <is>
          <t>Classic Chips</t>
        </is>
      </c>
      <c r="F83" s="2" t="n">
        <v>1029</v>
      </c>
      <c r="G83" s="2" t="n">
        <v>854.6</v>
      </c>
      <c r="H83" s="2" t="n">
        <v>832.4</v>
      </c>
      <c r="I83" s="2" t="n">
        <v>22.2</v>
      </c>
      <c r="J83" s="2" t="n">
        <v>0.02</v>
      </c>
      <c r="K83" s="2" t="inlineStr">
        <is>
          <t>No Downtime</t>
        </is>
      </c>
      <c r="L83" s="2" t="inlineStr">
        <is>
          <t>None</t>
        </is>
      </c>
      <c r="M83" s="2" t="n">
        <v>1634.4</v>
      </c>
      <c r="N83" s="2" t="n">
        <v>275</v>
      </c>
      <c r="O83" s="2" t="n">
        <v>103917.8</v>
      </c>
      <c r="P83" s="2" t="n">
        <v>172.1</v>
      </c>
      <c r="Q83" s="2" t="n">
        <v>1.43</v>
      </c>
      <c r="R83" s="2" t="n">
        <v>0</v>
      </c>
      <c r="S83" s="5">
        <f>G83/F83</f>
        <v/>
      </c>
      <c r="T83" s="5">
        <f>MAX(0,1-J83/8)</f>
        <v/>
      </c>
      <c r="U83" s="5">
        <f>IFERROR(G83/(F83*T83),0)</f>
        <v/>
      </c>
      <c r="V83" s="5">
        <f>IFERROR(H83/G83,0)</f>
        <v/>
      </c>
      <c r="W83" s="5">
        <f>T83*U83*V83</f>
        <v/>
      </c>
      <c r="X83" s="5">
        <f>IFERROR(I83/G83,0)</f>
        <v/>
      </c>
      <c r="Y83" s="6">
        <f>IFERROR(G83/M83,0)</f>
        <v/>
      </c>
      <c r="Z83" s="6">
        <f>IFERROR(O83/G83,0)</f>
        <v/>
      </c>
      <c r="AA83" s="2">
        <f>IF(L83="None","No Maintenance",IF(L83="Preventive","Planned","Breakdown"))</f>
        <v/>
      </c>
    </row>
    <row r="84">
      <c r="A84" s="2" t="n">
        <v>80</v>
      </c>
      <c r="B84" s="4" t="n">
        <v>46049</v>
      </c>
      <c r="C84" s="2" t="inlineStr">
        <is>
          <t>Evening</t>
        </is>
      </c>
      <c r="D84" s="2" t="inlineStr">
        <is>
          <t>Line 2</t>
        </is>
      </c>
      <c r="E84" s="2" t="inlineStr">
        <is>
          <t>Classic Chips</t>
        </is>
      </c>
      <c r="F84" s="2" t="n">
        <v>961</v>
      </c>
      <c r="G84" s="2" t="n">
        <v>646.1</v>
      </c>
      <c r="H84" s="2" t="n">
        <v>636.3</v>
      </c>
      <c r="I84" s="2" t="n">
        <v>9.800000000000001</v>
      </c>
      <c r="J84" s="2" t="n">
        <v>2.05</v>
      </c>
      <c r="K84" s="2" t="inlineStr">
        <is>
          <t>Quality Hold</t>
        </is>
      </c>
      <c r="L84" s="2" t="inlineStr">
        <is>
          <t>Corrective</t>
        </is>
      </c>
      <c r="M84" s="2" t="n">
        <v>1352.9</v>
      </c>
      <c r="N84" s="2" t="n">
        <v>212</v>
      </c>
      <c r="O84" s="2" t="n">
        <v>81406.39999999999</v>
      </c>
      <c r="P84" s="2" t="n">
        <v>176.8</v>
      </c>
      <c r="Q84" s="2" t="n">
        <v>1.87</v>
      </c>
      <c r="R84" s="2" t="n">
        <v>503.72</v>
      </c>
      <c r="S84" s="5">
        <f>G84/F84</f>
        <v/>
      </c>
      <c r="T84" s="5">
        <f>MAX(0,1-J84/8)</f>
        <v/>
      </c>
      <c r="U84" s="5">
        <f>IFERROR(G84/(F84*T84),0)</f>
        <v/>
      </c>
      <c r="V84" s="5">
        <f>IFERROR(H84/G84,0)</f>
        <v/>
      </c>
      <c r="W84" s="5">
        <f>T84*U84*V84</f>
        <v/>
      </c>
      <c r="X84" s="5">
        <f>IFERROR(I84/G84,0)</f>
        <v/>
      </c>
      <c r="Y84" s="6">
        <f>IFERROR(G84/M84,0)</f>
        <v/>
      </c>
      <c r="Z84" s="6">
        <f>IFERROR(O84/G84,0)</f>
        <v/>
      </c>
      <c r="AA84" s="2">
        <f>IF(L84="None","No Maintenance",IF(L84="Preventive","Planned","Breakdown"))</f>
        <v/>
      </c>
    </row>
    <row r="85">
      <c r="A85" s="2" t="n">
        <v>81</v>
      </c>
      <c r="B85" s="4" t="n">
        <v>46049</v>
      </c>
      <c r="C85" s="2" t="inlineStr">
        <is>
          <t>Night</t>
        </is>
      </c>
      <c r="D85" s="2" t="inlineStr">
        <is>
          <t>Line 2</t>
        </is>
      </c>
      <c r="E85" s="2" t="inlineStr">
        <is>
          <t>Salt &amp; Vinegar</t>
        </is>
      </c>
      <c r="F85" s="2" t="n">
        <v>960</v>
      </c>
      <c r="G85" s="2" t="n">
        <v>726.4</v>
      </c>
      <c r="H85" s="2" t="n">
        <v>717.6</v>
      </c>
      <c r="I85" s="2" t="n">
        <v>8.800000000000001</v>
      </c>
      <c r="J85" s="2" t="n">
        <v>0.28</v>
      </c>
      <c r="K85" s="2" t="inlineStr">
        <is>
          <t>No Downtime</t>
        </is>
      </c>
      <c r="L85" s="2" t="inlineStr">
        <is>
          <t>None</t>
        </is>
      </c>
      <c r="M85" s="2" t="n">
        <v>1432.4</v>
      </c>
      <c r="N85" s="2" t="n">
        <v>213.3</v>
      </c>
      <c r="O85" s="2" t="n">
        <v>88746.2</v>
      </c>
      <c r="P85" s="2" t="n">
        <v>181.6</v>
      </c>
      <c r="Q85" s="2" t="n">
        <v>1.7</v>
      </c>
      <c r="R85" s="2" t="n">
        <v>0</v>
      </c>
      <c r="S85" s="5">
        <f>G85/F85</f>
        <v/>
      </c>
      <c r="T85" s="5">
        <f>MAX(0,1-J85/8)</f>
        <v/>
      </c>
      <c r="U85" s="5">
        <f>IFERROR(G85/(F85*T85),0)</f>
        <v/>
      </c>
      <c r="V85" s="5">
        <f>IFERROR(H85/G85,0)</f>
        <v/>
      </c>
      <c r="W85" s="5">
        <f>T85*U85*V85</f>
        <v/>
      </c>
      <c r="X85" s="5">
        <f>IFERROR(I85/G85,0)</f>
        <v/>
      </c>
      <c r="Y85" s="6">
        <f>IFERROR(G85/M85,0)</f>
        <v/>
      </c>
      <c r="Z85" s="6">
        <f>IFERROR(O85/G85,0)</f>
        <v/>
      </c>
      <c r="AA85" s="2">
        <f>IF(L85="None","No Maintenance",IF(L85="Preventive","Planned","Breakdown"))</f>
        <v/>
      </c>
    </row>
    <row r="86">
      <c r="A86" s="2" t="n">
        <v>82</v>
      </c>
      <c r="B86" s="4" t="n">
        <v>46050</v>
      </c>
      <c r="C86" s="2" t="inlineStr">
        <is>
          <t>Day</t>
        </is>
      </c>
      <c r="D86" s="2" t="inlineStr">
        <is>
          <t>Line 2</t>
        </is>
      </c>
      <c r="E86" s="2" t="inlineStr">
        <is>
          <t>Paprika Chips</t>
        </is>
      </c>
      <c r="F86" s="2" t="n">
        <v>907</v>
      </c>
      <c r="G86" s="2" t="n">
        <v>816.2</v>
      </c>
      <c r="H86" s="2" t="n">
        <v>802.3</v>
      </c>
      <c r="I86" s="2" t="n">
        <v>13.9</v>
      </c>
      <c r="J86" s="2" t="n">
        <v>0.37</v>
      </c>
      <c r="K86" s="2" t="inlineStr">
        <is>
          <t>No Downtime</t>
        </is>
      </c>
      <c r="L86" s="2" t="inlineStr">
        <is>
          <t>None</t>
        </is>
      </c>
      <c r="M86" s="2" t="n">
        <v>1607.3</v>
      </c>
      <c r="N86" s="2" t="n">
        <v>240.3</v>
      </c>
      <c r="O86" s="2" t="n">
        <v>93372.39999999999</v>
      </c>
      <c r="P86" s="2" t="n">
        <v>179.1</v>
      </c>
      <c r="Q86" s="2" t="n">
        <v>1.83</v>
      </c>
      <c r="R86" s="2" t="n">
        <v>0</v>
      </c>
      <c r="S86" s="5">
        <f>G86/F86</f>
        <v/>
      </c>
      <c r="T86" s="5">
        <f>MAX(0,1-J86/8)</f>
        <v/>
      </c>
      <c r="U86" s="5">
        <f>IFERROR(G86/(F86*T86),0)</f>
        <v/>
      </c>
      <c r="V86" s="5">
        <f>IFERROR(H86/G86,0)</f>
        <v/>
      </c>
      <c r="W86" s="5">
        <f>T86*U86*V86</f>
        <v/>
      </c>
      <c r="X86" s="5">
        <f>IFERROR(I86/G86,0)</f>
        <v/>
      </c>
      <c r="Y86" s="6">
        <f>IFERROR(G86/M86,0)</f>
        <v/>
      </c>
      <c r="Z86" s="6">
        <f>IFERROR(O86/G86,0)</f>
        <v/>
      </c>
      <c r="AA86" s="2">
        <f>IF(L86="None","No Maintenance",IF(L86="Preventive","Planned","Breakdown"))</f>
        <v/>
      </c>
    </row>
    <row r="87">
      <c r="A87" s="2" t="n">
        <v>83</v>
      </c>
      <c r="B87" s="4" t="n">
        <v>46050</v>
      </c>
      <c r="C87" s="2" t="inlineStr">
        <is>
          <t>Evening</t>
        </is>
      </c>
      <c r="D87" s="2" t="inlineStr">
        <is>
          <t>Line 1</t>
        </is>
      </c>
      <c r="E87" s="2" t="inlineStr">
        <is>
          <t>Salt &amp; Vinegar</t>
        </is>
      </c>
      <c r="F87" s="2" t="n">
        <v>1001</v>
      </c>
      <c r="G87" s="2" t="n">
        <v>671.1</v>
      </c>
      <c r="H87" s="2" t="n">
        <v>658.8</v>
      </c>
      <c r="I87" s="2" t="n">
        <v>12.3</v>
      </c>
      <c r="J87" s="2" t="n">
        <v>3.55</v>
      </c>
      <c r="K87" s="2" t="inlineStr">
        <is>
          <t>Fryer Temperature</t>
        </is>
      </c>
      <c r="L87" s="2" t="inlineStr">
        <is>
          <t>Emergency</t>
        </is>
      </c>
      <c r="M87" s="2" t="n">
        <v>1356.1</v>
      </c>
      <c r="N87" s="2" t="n">
        <v>218.1</v>
      </c>
      <c r="O87" s="2" t="n">
        <v>79448.60000000001</v>
      </c>
      <c r="P87" s="2" t="n">
        <v>176.9</v>
      </c>
      <c r="Q87" s="2" t="n">
        <v>1.76</v>
      </c>
      <c r="R87" s="2" t="n">
        <v>1532.6</v>
      </c>
      <c r="S87" s="5">
        <f>G87/F87</f>
        <v/>
      </c>
      <c r="T87" s="5">
        <f>MAX(0,1-J87/8)</f>
        <v/>
      </c>
      <c r="U87" s="5">
        <f>IFERROR(G87/(F87*T87),0)</f>
        <v/>
      </c>
      <c r="V87" s="5">
        <f>IFERROR(H87/G87,0)</f>
        <v/>
      </c>
      <c r="W87" s="5">
        <f>T87*U87*V87</f>
        <v/>
      </c>
      <c r="X87" s="5">
        <f>IFERROR(I87/G87,0)</f>
        <v/>
      </c>
      <c r="Y87" s="6">
        <f>IFERROR(G87/M87,0)</f>
        <v/>
      </c>
      <c r="Z87" s="6">
        <f>IFERROR(O87/G87,0)</f>
        <v/>
      </c>
      <c r="AA87" s="2">
        <f>IF(L87="None","No Maintenance",IF(L87="Preventive","Planned","Breakdown"))</f>
        <v/>
      </c>
    </row>
    <row r="88">
      <c r="A88" s="2" t="n">
        <v>84</v>
      </c>
      <c r="B88" s="4" t="n">
        <v>46050</v>
      </c>
      <c r="C88" s="2" t="inlineStr">
        <is>
          <t>Night</t>
        </is>
      </c>
      <c r="D88" s="2" t="inlineStr">
        <is>
          <t>Line 2</t>
        </is>
      </c>
      <c r="E88" s="2" t="inlineStr">
        <is>
          <t>Classic Chips</t>
        </is>
      </c>
      <c r="F88" s="2" t="n">
        <v>1011</v>
      </c>
      <c r="G88" s="2" t="n">
        <v>743.8</v>
      </c>
      <c r="H88" s="2" t="n">
        <v>722.9</v>
      </c>
      <c r="I88" s="2" t="n">
        <v>20.9</v>
      </c>
      <c r="J88" s="2" t="n">
        <v>0.3</v>
      </c>
      <c r="K88" s="2" t="inlineStr">
        <is>
          <t>No Downtime</t>
        </is>
      </c>
      <c r="L88" s="2" t="inlineStr">
        <is>
          <t>None</t>
        </is>
      </c>
      <c r="M88" s="2" t="n">
        <v>1473.8</v>
      </c>
      <c r="N88" s="2" t="n">
        <v>231.4</v>
      </c>
      <c r="O88" s="2" t="n">
        <v>84676.8</v>
      </c>
      <c r="P88" s="2" t="n">
        <v>179.4</v>
      </c>
      <c r="Q88" s="2" t="n">
        <v>1.53</v>
      </c>
      <c r="R88" s="2" t="n">
        <v>0</v>
      </c>
      <c r="S88" s="5">
        <f>G88/F88</f>
        <v/>
      </c>
      <c r="T88" s="5">
        <f>MAX(0,1-J88/8)</f>
        <v/>
      </c>
      <c r="U88" s="5">
        <f>IFERROR(G88/(F88*T88),0)</f>
        <v/>
      </c>
      <c r="V88" s="5">
        <f>IFERROR(H88/G88,0)</f>
        <v/>
      </c>
      <c r="W88" s="5">
        <f>T88*U88*V88</f>
        <v/>
      </c>
      <c r="X88" s="5">
        <f>IFERROR(I88/G88,0)</f>
        <v/>
      </c>
      <c r="Y88" s="6">
        <f>IFERROR(G88/M88,0)</f>
        <v/>
      </c>
      <c r="Z88" s="6">
        <f>IFERROR(O88/G88,0)</f>
        <v/>
      </c>
      <c r="AA88" s="2">
        <f>IF(L88="None","No Maintenance",IF(L88="Preventive","Planned","Breakdown"))</f>
        <v/>
      </c>
    </row>
    <row r="89">
      <c r="A89" s="2" t="n">
        <v>85</v>
      </c>
      <c r="B89" s="4" t="n">
        <v>46051</v>
      </c>
      <c r="C89" s="2" t="inlineStr">
        <is>
          <t>Day</t>
        </is>
      </c>
      <c r="D89" s="2" t="inlineStr">
        <is>
          <t>Line 2</t>
        </is>
      </c>
      <c r="E89" s="2" t="inlineStr">
        <is>
          <t>Salt &amp; Vinegar</t>
        </is>
      </c>
      <c r="F89" s="2" t="n">
        <v>920</v>
      </c>
      <c r="G89" s="2" t="n">
        <v>647.6</v>
      </c>
      <c r="H89" s="2" t="n">
        <v>640.8</v>
      </c>
      <c r="I89" s="2" t="n">
        <v>6.8</v>
      </c>
      <c r="J89" s="2" t="n">
        <v>0.77</v>
      </c>
      <c r="K89" s="2" t="inlineStr">
        <is>
          <t>Packaging Machine</t>
        </is>
      </c>
      <c r="L89" s="2" t="inlineStr">
        <is>
          <t>Corrective</t>
        </is>
      </c>
      <c r="M89" s="2" t="n">
        <v>1373.9</v>
      </c>
      <c r="N89" s="2" t="n">
        <v>223</v>
      </c>
      <c r="O89" s="2" t="n">
        <v>78603.39999999999</v>
      </c>
      <c r="P89" s="2" t="n">
        <v>172.5</v>
      </c>
      <c r="Q89" s="2" t="n">
        <v>1.78</v>
      </c>
      <c r="R89" s="2" t="n">
        <v>680.41</v>
      </c>
      <c r="S89" s="5">
        <f>G89/F89</f>
        <v/>
      </c>
      <c r="T89" s="5">
        <f>MAX(0,1-J89/8)</f>
        <v/>
      </c>
      <c r="U89" s="5">
        <f>IFERROR(G89/(F89*T89),0)</f>
        <v/>
      </c>
      <c r="V89" s="5">
        <f>IFERROR(H89/G89,0)</f>
        <v/>
      </c>
      <c r="W89" s="5">
        <f>T89*U89*V89</f>
        <v/>
      </c>
      <c r="X89" s="5">
        <f>IFERROR(I89/G89,0)</f>
        <v/>
      </c>
      <c r="Y89" s="6">
        <f>IFERROR(G89/M89,0)</f>
        <v/>
      </c>
      <c r="Z89" s="6">
        <f>IFERROR(O89/G89,0)</f>
        <v/>
      </c>
      <c r="AA89" s="2">
        <f>IF(L89="None","No Maintenance",IF(L89="Preventive","Planned","Breakdown"))</f>
        <v/>
      </c>
    </row>
    <row r="90">
      <c r="A90" s="2" t="n">
        <v>86</v>
      </c>
      <c r="B90" s="4" t="n">
        <v>46051</v>
      </c>
      <c r="C90" s="2" t="inlineStr">
        <is>
          <t>Evening</t>
        </is>
      </c>
      <c r="D90" s="2" t="inlineStr">
        <is>
          <t>Line 2</t>
        </is>
      </c>
      <c r="E90" s="2" t="inlineStr">
        <is>
          <t>Classic Chips</t>
        </is>
      </c>
      <c r="F90" s="2" t="n">
        <v>1017</v>
      </c>
      <c r="G90" s="2" t="n">
        <v>866.6</v>
      </c>
      <c r="H90" s="2" t="n">
        <v>856.8</v>
      </c>
      <c r="I90" s="2" t="n">
        <v>9.800000000000001</v>
      </c>
      <c r="J90" s="2" t="n">
        <v>0.25</v>
      </c>
      <c r="K90" s="2" t="inlineStr">
        <is>
          <t>No Downtime</t>
        </is>
      </c>
      <c r="L90" s="2" t="inlineStr">
        <is>
          <t>None</t>
        </is>
      </c>
      <c r="M90" s="2" t="n">
        <v>1786.8</v>
      </c>
      <c r="N90" s="2" t="n">
        <v>277.4</v>
      </c>
      <c r="O90" s="2" t="n">
        <v>102056.5</v>
      </c>
      <c r="P90" s="2" t="n">
        <v>177.2</v>
      </c>
      <c r="Q90" s="2" t="n">
        <v>1.75</v>
      </c>
      <c r="R90" s="2" t="n">
        <v>0</v>
      </c>
      <c r="S90" s="5">
        <f>G90/F90</f>
        <v/>
      </c>
      <c r="T90" s="5">
        <f>MAX(0,1-J90/8)</f>
        <v/>
      </c>
      <c r="U90" s="5">
        <f>IFERROR(G90/(F90*T90),0)</f>
        <v/>
      </c>
      <c r="V90" s="5">
        <f>IFERROR(H90/G90,0)</f>
        <v/>
      </c>
      <c r="W90" s="5">
        <f>T90*U90*V90</f>
        <v/>
      </c>
      <c r="X90" s="5">
        <f>IFERROR(I90/G90,0)</f>
        <v/>
      </c>
      <c r="Y90" s="6">
        <f>IFERROR(G90/M90,0)</f>
        <v/>
      </c>
      <c r="Z90" s="6">
        <f>IFERROR(O90/G90,0)</f>
        <v/>
      </c>
      <c r="AA90" s="2">
        <f>IF(L90="None","No Maintenance",IF(L90="Preventive","Planned","Breakdown"))</f>
        <v/>
      </c>
    </row>
    <row r="91">
      <c r="A91" s="2" t="n">
        <v>87</v>
      </c>
      <c r="B91" s="4" t="n">
        <v>46051</v>
      </c>
      <c r="C91" s="2" t="inlineStr">
        <is>
          <t>Night</t>
        </is>
      </c>
      <c r="D91" s="2" t="inlineStr">
        <is>
          <t>Line 2</t>
        </is>
      </c>
      <c r="E91" s="2" t="inlineStr">
        <is>
          <t>Salt &amp; Vinegar</t>
        </is>
      </c>
      <c r="F91" s="2" t="n">
        <v>902</v>
      </c>
      <c r="G91" s="2" t="n">
        <v>703.2</v>
      </c>
      <c r="H91" s="2" t="n">
        <v>694.4</v>
      </c>
      <c r="I91" s="2" t="n">
        <v>8.800000000000001</v>
      </c>
      <c r="J91" s="2" t="n">
        <v>0.24</v>
      </c>
      <c r="K91" s="2" t="inlineStr">
        <is>
          <t>No Downtime</t>
        </is>
      </c>
      <c r="L91" s="2" t="inlineStr">
        <is>
          <t>None</t>
        </is>
      </c>
      <c r="M91" s="2" t="n">
        <v>1457.7</v>
      </c>
      <c r="N91" s="2" t="n">
        <v>224.9</v>
      </c>
      <c r="O91" s="2" t="n">
        <v>89400.5</v>
      </c>
      <c r="P91" s="2" t="n">
        <v>175.1</v>
      </c>
      <c r="Q91" s="2" t="n">
        <v>1.92</v>
      </c>
      <c r="R91" s="2" t="n">
        <v>0</v>
      </c>
      <c r="S91" s="5">
        <f>G91/F91</f>
        <v/>
      </c>
      <c r="T91" s="5">
        <f>MAX(0,1-J91/8)</f>
        <v/>
      </c>
      <c r="U91" s="5">
        <f>IFERROR(G91/(F91*T91),0)</f>
        <v/>
      </c>
      <c r="V91" s="5">
        <f>IFERROR(H91/G91,0)</f>
        <v/>
      </c>
      <c r="W91" s="5">
        <f>T91*U91*V91</f>
        <v/>
      </c>
      <c r="X91" s="5">
        <f>IFERROR(I91/G91,0)</f>
        <v/>
      </c>
      <c r="Y91" s="6">
        <f>IFERROR(G91/M91,0)</f>
        <v/>
      </c>
      <c r="Z91" s="6">
        <f>IFERROR(O91/G91,0)</f>
        <v/>
      </c>
      <c r="AA91" s="2">
        <f>IF(L91="None","No Maintenance",IF(L91="Preventive","Planned","Breakdown"))</f>
        <v/>
      </c>
    </row>
    <row r="92">
      <c r="A92" s="2" t="n">
        <v>88</v>
      </c>
      <c r="B92" s="4" t="n">
        <v>46052</v>
      </c>
      <c r="C92" s="2" t="inlineStr">
        <is>
          <t>Day</t>
        </is>
      </c>
      <c r="D92" s="2" t="inlineStr">
        <is>
          <t>Line 1</t>
        </is>
      </c>
      <c r="E92" s="2" t="inlineStr">
        <is>
          <t>Classic Chips</t>
        </is>
      </c>
      <c r="F92" s="2" t="n">
        <v>987</v>
      </c>
      <c r="G92" s="2" t="n">
        <v>690.6</v>
      </c>
      <c r="H92" s="2" t="n">
        <v>686.6</v>
      </c>
      <c r="I92" s="2" t="n">
        <v>4</v>
      </c>
      <c r="J92" s="2" t="n">
        <v>2.81</v>
      </c>
      <c r="K92" s="2" t="inlineStr">
        <is>
          <t>Packaging Machine</t>
        </is>
      </c>
      <c r="L92" s="2" t="inlineStr">
        <is>
          <t>Corrective</t>
        </is>
      </c>
      <c r="M92" s="2" t="n">
        <v>1404.3</v>
      </c>
      <c r="N92" s="2" t="n">
        <v>203</v>
      </c>
      <c r="O92" s="2" t="n">
        <v>80608</v>
      </c>
      <c r="P92" s="2" t="n">
        <v>178.8</v>
      </c>
      <c r="Q92" s="2" t="n">
        <v>1.63</v>
      </c>
      <c r="R92" s="2" t="n">
        <v>489.22</v>
      </c>
      <c r="S92" s="5">
        <f>G92/F92</f>
        <v/>
      </c>
      <c r="T92" s="5">
        <f>MAX(0,1-J92/8)</f>
        <v/>
      </c>
      <c r="U92" s="5">
        <f>IFERROR(G92/(F92*T92),0)</f>
        <v/>
      </c>
      <c r="V92" s="5">
        <f>IFERROR(H92/G92,0)</f>
        <v/>
      </c>
      <c r="W92" s="5">
        <f>T92*U92*V92</f>
        <v/>
      </c>
      <c r="X92" s="5">
        <f>IFERROR(I92/G92,0)</f>
        <v/>
      </c>
      <c r="Y92" s="6">
        <f>IFERROR(G92/M92,0)</f>
        <v/>
      </c>
      <c r="Z92" s="6">
        <f>IFERROR(O92/G92,0)</f>
        <v/>
      </c>
      <c r="AA92" s="2">
        <f>IF(L92="None","No Maintenance",IF(L92="Preventive","Planned","Breakdown"))</f>
        <v/>
      </c>
    </row>
    <row r="93">
      <c r="A93" s="2" t="n">
        <v>89</v>
      </c>
      <c r="B93" s="4" t="n">
        <v>46052</v>
      </c>
      <c r="C93" s="2" t="inlineStr">
        <is>
          <t>Evening</t>
        </is>
      </c>
      <c r="D93" s="2" t="inlineStr">
        <is>
          <t>Line 2</t>
        </is>
      </c>
      <c r="E93" s="2" t="inlineStr">
        <is>
          <t>Classic Chips</t>
        </is>
      </c>
      <c r="F93" s="2" t="n">
        <v>1019</v>
      </c>
      <c r="G93" s="2" t="n">
        <v>632.4</v>
      </c>
      <c r="H93" s="2" t="n">
        <v>618.4</v>
      </c>
      <c r="I93" s="2" t="n">
        <v>13.9</v>
      </c>
      <c r="J93" s="2" t="n">
        <v>3.12</v>
      </c>
      <c r="K93" s="2" t="inlineStr">
        <is>
          <t>Conveyor Jam</t>
        </is>
      </c>
      <c r="L93" s="2" t="inlineStr">
        <is>
          <t>Corrective</t>
        </is>
      </c>
      <c r="M93" s="2" t="n">
        <v>1240.2</v>
      </c>
      <c r="N93" s="2" t="n">
        <v>211.8</v>
      </c>
      <c r="O93" s="2" t="n">
        <v>71607.3</v>
      </c>
      <c r="P93" s="2" t="n">
        <v>178.7</v>
      </c>
      <c r="Q93" s="2" t="n">
        <v>1.54</v>
      </c>
      <c r="R93" s="2" t="n">
        <v>778.1</v>
      </c>
      <c r="S93" s="5">
        <f>G93/F93</f>
        <v/>
      </c>
      <c r="T93" s="5">
        <f>MAX(0,1-J93/8)</f>
        <v/>
      </c>
      <c r="U93" s="5">
        <f>IFERROR(G93/(F93*T93),0)</f>
        <v/>
      </c>
      <c r="V93" s="5">
        <f>IFERROR(H93/G93,0)</f>
        <v/>
      </c>
      <c r="W93" s="5">
        <f>T93*U93*V93</f>
        <v/>
      </c>
      <c r="X93" s="5">
        <f>IFERROR(I93/G93,0)</f>
        <v/>
      </c>
      <c r="Y93" s="6">
        <f>IFERROR(G93/M93,0)</f>
        <v/>
      </c>
      <c r="Z93" s="6">
        <f>IFERROR(O93/G93,0)</f>
        <v/>
      </c>
      <c r="AA93" s="2">
        <f>IF(L93="None","No Maintenance",IF(L93="Preventive","Planned","Breakdown"))</f>
        <v/>
      </c>
    </row>
    <row r="94">
      <c r="A94" s="2" t="n">
        <v>90</v>
      </c>
      <c r="B94" s="4" t="n">
        <v>46052</v>
      </c>
      <c r="C94" s="2" t="inlineStr">
        <is>
          <t>Night</t>
        </is>
      </c>
      <c r="D94" s="2" t="inlineStr">
        <is>
          <t>Line 1</t>
        </is>
      </c>
      <c r="E94" s="2" t="inlineStr">
        <is>
          <t>Classic Chips</t>
        </is>
      </c>
      <c r="F94" s="2" t="n">
        <v>1046</v>
      </c>
      <c r="G94" s="2" t="n">
        <v>845.7</v>
      </c>
      <c r="H94" s="2" t="n">
        <v>831.5</v>
      </c>
      <c r="I94" s="2" t="n">
        <v>14.2</v>
      </c>
      <c r="J94" s="2" t="n">
        <v>0.87</v>
      </c>
      <c r="K94" s="2" t="inlineStr">
        <is>
          <t>Packaging Machine</t>
        </is>
      </c>
      <c r="L94" s="2" t="inlineStr">
        <is>
          <t>Corrective</t>
        </is>
      </c>
      <c r="M94" s="2" t="n">
        <v>1726.4</v>
      </c>
      <c r="N94" s="2" t="n">
        <v>271.8</v>
      </c>
      <c r="O94" s="2" t="n">
        <v>99337.5</v>
      </c>
      <c r="P94" s="2" t="n">
        <v>186.6</v>
      </c>
      <c r="Q94" s="2" t="n">
        <v>1.57</v>
      </c>
      <c r="R94" s="2" t="n">
        <v>503.42</v>
      </c>
      <c r="S94" s="5">
        <f>G94/F94</f>
        <v/>
      </c>
      <c r="T94" s="5">
        <f>MAX(0,1-J94/8)</f>
        <v/>
      </c>
      <c r="U94" s="5">
        <f>IFERROR(G94/(F94*T94),0)</f>
        <v/>
      </c>
      <c r="V94" s="5">
        <f>IFERROR(H94/G94,0)</f>
        <v/>
      </c>
      <c r="W94" s="5">
        <f>T94*U94*V94</f>
        <v/>
      </c>
      <c r="X94" s="5">
        <f>IFERROR(I94/G94,0)</f>
        <v/>
      </c>
      <c r="Y94" s="6">
        <f>IFERROR(G94/M94,0)</f>
        <v/>
      </c>
      <c r="Z94" s="6">
        <f>IFERROR(O94/G94,0)</f>
        <v/>
      </c>
      <c r="AA94" s="2">
        <f>IF(L94="None","No Maintenance",IF(L94="Preventive","Planned","Breakdown"))</f>
        <v/>
      </c>
    </row>
    <row r="95">
      <c r="A95" s="2" t="n">
        <v>91</v>
      </c>
      <c r="B95" s="4" t="n">
        <v>46053</v>
      </c>
      <c r="C95" s="2" t="inlineStr">
        <is>
          <t>Day</t>
        </is>
      </c>
      <c r="D95" s="2" t="inlineStr">
        <is>
          <t>Line 1</t>
        </is>
      </c>
      <c r="E95" s="2" t="inlineStr">
        <is>
          <t>Paprika Chips</t>
        </is>
      </c>
      <c r="F95" s="2" t="n">
        <v>986</v>
      </c>
      <c r="G95" s="2" t="n">
        <v>984.7</v>
      </c>
      <c r="H95" s="2" t="n">
        <v>978.3</v>
      </c>
      <c r="I95" s="2" t="n">
        <v>6.4</v>
      </c>
      <c r="J95" s="2" t="n">
        <v>0.01</v>
      </c>
      <c r="K95" s="2" t="inlineStr">
        <is>
          <t>No Downtime</t>
        </is>
      </c>
      <c r="L95" s="2" t="inlineStr">
        <is>
          <t>None</t>
        </is>
      </c>
      <c r="M95" s="2" t="n">
        <v>2060.7</v>
      </c>
      <c r="N95" s="2" t="n">
        <v>328.5</v>
      </c>
      <c r="O95" s="2" t="n">
        <v>118828.6</v>
      </c>
      <c r="P95" s="2" t="n">
        <v>184.1</v>
      </c>
      <c r="Q95" s="2" t="n">
        <v>1.88</v>
      </c>
      <c r="R95" s="2" t="n">
        <v>0</v>
      </c>
      <c r="S95" s="5">
        <f>G95/F95</f>
        <v/>
      </c>
      <c r="T95" s="5">
        <f>MAX(0,1-J95/8)</f>
        <v/>
      </c>
      <c r="U95" s="5">
        <f>IFERROR(G95/(F95*T95),0)</f>
        <v/>
      </c>
      <c r="V95" s="5">
        <f>IFERROR(H95/G95,0)</f>
        <v/>
      </c>
      <c r="W95" s="5">
        <f>T95*U95*V95</f>
        <v/>
      </c>
      <c r="X95" s="5">
        <f>IFERROR(I95/G95,0)</f>
        <v/>
      </c>
      <c r="Y95" s="6">
        <f>IFERROR(G95/M95,0)</f>
        <v/>
      </c>
      <c r="Z95" s="6">
        <f>IFERROR(O95/G95,0)</f>
        <v/>
      </c>
      <c r="AA95" s="2">
        <f>IF(L95="None","No Maintenance",IF(L95="Preventive","Planned","Breakdown"))</f>
        <v/>
      </c>
    </row>
    <row r="96">
      <c r="A96" s="2" t="n">
        <v>92</v>
      </c>
      <c r="B96" s="4" t="n">
        <v>46053</v>
      </c>
      <c r="C96" s="2" t="inlineStr">
        <is>
          <t>Evening</t>
        </is>
      </c>
      <c r="D96" s="2" t="inlineStr">
        <is>
          <t>Line 2</t>
        </is>
      </c>
      <c r="E96" s="2" t="inlineStr">
        <is>
          <t>Classic Chips</t>
        </is>
      </c>
      <c r="F96" s="2" t="n">
        <v>958</v>
      </c>
      <c r="G96" s="2" t="n">
        <v>719.9</v>
      </c>
      <c r="H96" s="2" t="n">
        <v>715.9</v>
      </c>
      <c r="I96" s="2" t="n">
        <v>4</v>
      </c>
      <c r="J96" s="2" t="n">
        <v>1.56</v>
      </c>
      <c r="K96" s="2" t="inlineStr">
        <is>
          <t>Packaging Machine</t>
        </is>
      </c>
      <c r="L96" s="2" t="inlineStr">
        <is>
          <t>Corrective</t>
        </is>
      </c>
      <c r="M96" s="2" t="n">
        <v>1454.1</v>
      </c>
      <c r="N96" s="2" t="n">
        <v>225.1</v>
      </c>
      <c r="O96" s="2" t="n">
        <v>86096</v>
      </c>
      <c r="P96" s="2" t="n">
        <v>174.3</v>
      </c>
      <c r="Q96" s="2" t="n">
        <v>1.36</v>
      </c>
      <c r="R96" s="2" t="n">
        <v>780.3099999999999</v>
      </c>
      <c r="S96" s="5">
        <f>G96/F96</f>
        <v/>
      </c>
      <c r="T96" s="5">
        <f>MAX(0,1-J96/8)</f>
        <v/>
      </c>
      <c r="U96" s="5">
        <f>IFERROR(G96/(F96*T96),0)</f>
        <v/>
      </c>
      <c r="V96" s="5">
        <f>IFERROR(H96/G96,0)</f>
        <v/>
      </c>
      <c r="W96" s="5">
        <f>T96*U96*V96</f>
        <v/>
      </c>
      <c r="X96" s="5">
        <f>IFERROR(I96/G96,0)</f>
        <v/>
      </c>
      <c r="Y96" s="6">
        <f>IFERROR(G96/M96,0)</f>
        <v/>
      </c>
      <c r="Z96" s="6">
        <f>IFERROR(O96/G96,0)</f>
        <v/>
      </c>
      <c r="AA96" s="2">
        <f>IF(L96="None","No Maintenance",IF(L96="Preventive","Planned","Breakdown"))</f>
        <v/>
      </c>
    </row>
    <row r="97">
      <c r="A97" s="2" t="n">
        <v>93</v>
      </c>
      <c r="B97" s="4" t="n">
        <v>46053</v>
      </c>
      <c r="C97" s="2" t="inlineStr">
        <is>
          <t>Night</t>
        </is>
      </c>
      <c r="D97" s="2" t="inlineStr">
        <is>
          <t>Line 1</t>
        </is>
      </c>
      <c r="E97" s="2" t="inlineStr">
        <is>
          <t>Classic Chips</t>
        </is>
      </c>
      <c r="F97" s="2" t="n">
        <v>905</v>
      </c>
      <c r="G97" s="2" t="n">
        <v>638.7</v>
      </c>
      <c r="H97" s="2" t="n">
        <v>625.6</v>
      </c>
      <c r="I97" s="2" t="n">
        <v>13.1</v>
      </c>
      <c r="J97" s="2" t="n">
        <v>1.64</v>
      </c>
      <c r="K97" s="2" t="inlineStr">
        <is>
          <t>Fryer Temperature</t>
        </is>
      </c>
      <c r="L97" s="2" t="inlineStr">
        <is>
          <t>Corrective</t>
        </is>
      </c>
      <c r="M97" s="2" t="n">
        <v>1307.4</v>
      </c>
      <c r="N97" s="2" t="n">
        <v>222.3</v>
      </c>
      <c r="O97" s="2" t="n">
        <v>75395.7</v>
      </c>
      <c r="P97" s="2" t="n">
        <v>178.2</v>
      </c>
      <c r="Q97" s="2" t="n">
        <v>1.8</v>
      </c>
      <c r="R97" s="2" t="n">
        <v>749.65</v>
      </c>
      <c r="S97" s="5">
        <f>G97/F97</f>
        <v/>
      </c>
      <c r="T97" s="5">
        <f>MAX(0,1-J97/8)</f>
        <v/>
      </c>
      <c r="U97" s="5">
        <f>IFERROR(G97/(F97*T97),0)</f>
        <v/>
      </c>
      <c r="V97" s="5">
        <f>IFERROR(H97/G97,0)</f>
        <v/>
      </c>
      <c r="W97" s="5">
        <f>T97*U97*V97</f>
        <v/>
      </c>
      <c r="X97" s="5">
        <f>IFERROR(I97/G97,0)</f>
        <v/>
      </c>
      <c r="Y97" s="6">
        <f>IFERROR(G97/M97,0)</f>
        <v/>
      </c>
      <c r="Z97" s="6">
        <f>IFERROR(O97/G97,0)</f>
        <v/>
      </c>
      <c r="AA97" s="2">
        <f>IF(L97="None","No Maintenance",IF(L97="Preventive","Planned","Breakdown"))</f>
        <v/>
      </c>
    </row>
    <row r="98">
      <c r="A98" s="2" t="n">
        <v>94</v>
      </c>
      <c r="B98" s="4" t="n">
        <v>46054</v>
      </c>
      <c r="C98" s="2" t="inlineStr">
        <is>
          <t>Day</t>
        </is>
      </c>
      <c r="D98" s="2" t="inlineStr">
        <is>
          <t>Line 1</t>
        </is>
      </c>
      <c r="E98" s="2" t="inlineStr">
        <is>
          <t>Salt &amp; Vinegar</t>
        </is>
      </c>
      <c r="F98" s="2" t="n">
        <v>910</v>
      </c>
      <c r="G98" s="2" t="n">
        <v>936.9</v>
      </c>
      <c r="H98" s="2" t="n">
        <v>920.1</v>
      </c>
      <c r="I98" s="2" t="n">
        <v>16.7</v>
      </c>
      <c r="J98" s="2" t="n">
        <v>0</v>
      </c>
      <c r="K98" s="2" t="inlineStr">
        <is>
          <t>No Downtime</t>
        </is>
      </c>
      <c r="L98" s="2" t="inlineStr">
        <is>
          <t>None</t>
        </is>
      </c>
      <c r="M98" s="2" t="n">
        <v>1909.3</v>
      </c>
      <c r="N98" s="2" t="n">
        <v>307.2</v>
      </c>
      <c r="O98" s="2" t="n">
        <v>113703.6</v>
      </c>
      <c r="P98" s="2" t="n">
        <v>176.7</v>
      </c>
      <c r="Q98" s="2" t="n">
        <v>2</v>
      </c>
      <c r="R98" s="2" t="n">
        <v>0</v>
      </c>
      <c r="S98" s="5">
        <f>G98/F98</f>
        <v/>
      </c>
      <c r="T98" s="5">
        <f>MAX(0,1-J98/8)</f>
        <v/>
      </c>
      <c r="U98" s="5">
        <f>IFERROR(G98/(F98*T98),0)</f>
        <v/>
      </c>
      <c r="V98" s="5">
        <f>IFERROR(H98/G98,0)</f>
        <v/>
      </c>
      <c r="W98" s="5">
        <f>T98*U98*V98</f>
        <v/>
      </c>
      <c r="X98" s="5">
        <f>IFERROR(I98/G98,0)</f>
        <v/>
      </c>
      <c r="Y98" s="6">
        <f>IFERROR(G98/M98,0)</f>
        <v/>
      </c>
      <c r="Z98" s="6">
        <f>IFERROR(O98/G98,0)</f>
        <v/>
      </c>
      <c r="AA98" s="2">
        <f>IF(L98="None","No Maintenance",IF(L98="Preventive","Planned","Breakdown"))</f>
        <v/>
      </c>
    </row>
    <row r="99">
      <c r="A99" s="2" t="n">
        <v>95</v>
      </c>
      <c r="B99" s="4" t="n">
        <v>46054</v>
      </c>
      <c r="C99" s="2" t="inlineStr">
        <is>
          <t>Evening</t>
        </is>
      </c>
      <c r="D99" s="2" t="inlineStr">
        <is>
          <t>Line 1</t>
        </is>
      </c>
      <c r="E99" s="2" t="inlineStr">
        <is>
          <t>Classic Chips</t>
        </is>
      </c>
      <c r="F99" s="2" t="n">
        <v>905</v>
      </c>
      <c r="G99" s="2" t="n">
        <v>687.6</v>
      </c>
      <c r="H99" s="2" t="n">
        <v>674.7</v>
      </c>
      <c r="I99" s="2" t="n">
        <v>13</v>
      </c>
      <c r="J99" s="2" t="n">
        <v>1.27</v>
      </c>
      <c r="K99" s="2" t="inlineStr">
        <is>
          <t>Conveyor Jam</t>
        </is>
      </c>
      <c r="L99" s="2" t="inlineStr">
        <is>
          <t>Emergency</t>
        </is>
      </c>
      <c r="M99" s="2" t="n">
        <v>1416.7</v>
      </c>
      <c r="N99" s="2" t="n">
        <v>225.9</v>
      </c>
      <c r="O99" s="2" t="n">
        <v>84861.8</v>
      </c>
      <c r="P99" s="2" t="n">
        <v>178.3</v>
      </c>
      <c r="Q99" s="2" t="n">
        <v>1.41</v>
      </c>
      <c r="R99" s="2" t="n">
        <v>981.87</v>
      </c>
      <c r="S99" s="5">
        <f>G99/F99</f>
        <v/>
      </c>
      <c r="T99" s="5">
        <f>MAX(0,1-J99/8)</f>
        <v/>
      </c>
      <c r="U99" s="5">
        <f>IFERROR(G99/(F99*T99),0)</f>
        <v/>
      </c>
      <c r="V99" s="5">
        <f>IFERROR(H99/G99,0)</f>
        <v/>
      </c>
      <c r="W99" s="5">
        <f>T99*U99*V99</f>
        <v/>
      </c>
      <c r="X99" s="5">
        <f>IFERROR(I99/G99,0)</f>
        <v/>
      </c>
      <c r="Y99" s="6">
        <f>IFERROR(G99/M99,0)</f>
        <v/>
      </c>
      <c r="Z99" s="6">
        <f>IFERROR(O99/G99,0)</f>
        <v/>
      </c>
      <c r="AA99" s="2">
        <f>IF(L99="None","No Maintenance",IF(L99="Preventive","Planned","Breakdown"))</f>
        <v/>
      </c>
    </row>
    <row r="100">
      <c r="A100" s="2" t="n">
        <v>96</v>
      </c>
      <c r="B100" s="4" t="n">
        <v>46054</v>
      </c>
      <c r="C100" s="2" t="inlineStr">
        <is>
          <t>Night</t>
        </is>
      </c>
      <c r="D100" s="2" t="inlineStr">
        <is>
          <t>Line 2</t>
        </is>
      </c>
      <c r="E100" s="2" t="inlineStr">
        <is>
          <t>Salt &amp; Vinegar</t>
        </is>
      </c>
      <c r="F100" s="2" t="n">
        <v>938</v>
      </c>
      <c r="G100" s="2" t="n">
        <v>540.6</v>
      </c>
      <c r="H100" s="2" t="n">
        <v>529.2</v>
      </c>
      <c r="I100" s="2" t="n">
        <v>11.4</v>
      </c>
      <c r="J100" s="2" t="n">
        <v>4.81</v>
      </c>
      <c r="K100" s="2" t="inlineStr">
        <is>
          <t>Planned Maintenance</t>
        </is>
      </c>
      <c r="L100" s="2" t="inlineStr">
        <is>
          <t>Preventive</t>
        </is>
      </c>
      <c r="M100" s="2" t="n">
        <v>1132.9</v>
      </c>
      <c r="N100" s="2" t="n">
        <v>179.9</v>
      </c>
      <c r="O100" s="2" t="n">
        <v>58032.3</v>
      </c>
      <c r="P100" s="2" t="n">
        <v>181.4</v>
      </c>
      <c r="Q100" s="2" t="n">
        <v>1.7</v>
      </c>
      <c r="R100" s="2" t="n">
        <v>158.81</v>
      </c>
      <c r="S100" s="5">
        <f>G100/F100</f>
        <v/>
      </c>
      <c r="T100" s="5">
        <f>MAX(0,1-J100/8)</f>
        <v/>
      </c>
      <c r="U100" s="5">
        <f>IFERROR(G100/(F100*T100),0)</f>
        <v/>
      </c>
      <c r="V100" s="5">
        <f>IFERROR(H100/G100,0)</f>
        <v/>
      </c>
      <c r="W100" s="5">
        <f>T100*U100*V100</f>
        <v/>
      </c>
      <c r="X100" s="5">
        <f>IFERROR(I100/G100,0)</f>
        <v/>
      </c>
      <c r="Y100" s="6">
        <f>IFERROR(G100/M100,0)</f>
        <v/>
      </c>
      <c r="Z100" s="6">
        <f>IFERROR(O100/G100,0)</f>
        <v/>
      </c>
      <c r="AA100" s="2">
        <f>IF(L100="None","No Maintenance",IF(L100="Preventive","Planned","Breakdown"))</f>
        <v/>
      </c>
    </row>
    <row r="101">
      <c r="A101" s="2" t="n">
        <v>97</v>
      </c>
      <c r="B101" s="4" t="n">
        <v>46055</v>
      </c>
      <c r="C101" s="2" t="inlineStr">
        <is>
          <t>Day</t>
        </is>
      </c>
      <c r="D101" s="2" t="inlineStr">
        <is>
          <t>Line 1</t>
        </is>
      </c>
      <c r="E101" s="2" t="inlineStr">
        <is>
          <t>Classic Chips</t>
        </is>
      </c>
      <c r="F101" s="2" t="n">
        <v>956</v>
      </c>
      <c r="G101" s="2" t="n">
        <v>686.9</v>
      </c>
      <c r="H101" s="2" t="n">
        <v>678</v>
      </c>
      <c r="I101" s="2" t="n">
        <v>8.9</v>
      </c>
      <c r="J101" s="2" t="n">
        <v>3.32</v>
      </c>
      <c r="K101" s="2" t="inlineStr">
        <is>
          <t>Packaging Machine</t>
        </is>
      </c>
      <c r="L101" s="2" t="inlineStr">
        <is>
          <t>Corrective</t>
        </is>
      </c>
      <c r="M101" s="2" t="n">
        <v>1403.5</v>
      </c>
      <c r="N101" s="2" t="n">
        <v>233.1</v>
      </c>
      <c r="O101" s="2" t="n">
        <v>73457.89999999999</v>
      </c>
      <c r="P101" s="2" t="n">
        <v>180.3</v>
      </c>
      <c r="Q101" s="2" t="n">
        <v>1.91</v>
      </c>
      <c r="R101" s="2" t="n">
        <v>328.91</v>
      </c>
      <c r="S101" s="5">
        <f>G101/F101</f>
        <v/>
      </c>
      <c r="T101" s="5">
        <f>MAX(0,1-J101/8)</f>
        <v/>
      </c>
      <c r="U101" s="5">
        <f>IFERROR(G101/(F101*T101),0)</f>
        <v/>
      </c>
      <c r="V101" s="5">
        <f>IFERROR(H101/G101,0)</f>
        <v/>
      </c>
      <c r="W101" s="5">
        <f>T101*U101*V101</f>
        <v/>
      </c>
      <c r="X101" s="5">
        <f>IFERROR(I101/G101,0)</f>
        <v/>
      </c>
      <c r="Y101" s="6">
        <f>IFERROR(G101/M101,0)</f>
        <v/>
      </c>
      <c r="Z101" s="6">
        <f>IFERROR(O101/G101,0)</f>
        <v/>
      </c>
      <c r="AA101" s="2">
        <f>IF(L101="None","No Maintenance",IF(L101="Preventive","Planned","Breakdown"))</f>
        <v/>
      </c>
    </row>
    <row r="102">
      <c r="A102" s="2" t="n">
        <v>98</v>
      </c>
      <c r="B102" s="4" t="n">
        <v>46055</v>
      </c>
      <c r="C102" s="2" t="inlineStr">
        <is>
          <t>Evening</t>
        </is>
      </c>
      <c r="D102" s="2" t="inlineStr">
        <is>
          <t>Line 2</t>
        </is>
      </c>
      <c r="E102" s="2" t="inlineStr">
        <is>
          <t>Classic Chips</t>
        </is>
      </c>
      <c r="F102" s="2" t="n">
        <v>909</v>
      </c>
      <c r="G102" s="2" t="n">
        <v>630.6</v>
      </c>
      <c r="H102" s="2" t="n">
        <v>621.1</v>
      </c>
      <c r="I102" s="2" t="n">
        <v>9.5</v>
      </c>
      <c r="J102" s="2" t="n">
        <v>1.85</v>
      </c>
      <c r="K102" s="2" t="inlineStr">
        <is>
          <t>Conveyor Jam</t>
        </is>
      </c>
      <c r="L102" s="2" t="inlineStr">
        <is>
          <t>Emergency</t>
        </is>
      </c>
      <c r="M102" s="2" t="n">
        <v>1288.4</v>
      </c>
      <c r="N102" s="2" t="n">
        <v>194.8</v>
      </c>
      <c r="O102" s="2" t="n">
        <v>71367</v>
      </c>
      <c r="P102" s="2" t="n">
        <v>174.4</v>
      </c>
      <c r="Q102" s="2" t="n">
        <v>1.64</v>
      </c>
      <c r="R102" s="2" t="n">
        <v>869.96</v>
      </c>
      <c r="S102" s="5">
        <f>G102/F102</f>
        <v/>
      </c>
      <c r="T102" s="5">
        <f>MAX(0,1-J102/8)</f>
        <v/>
      </c>
      <c r="U102" s="5">
        <f>IFERROR(G102/(F102*T102),0)</f>
        <v/>
      </c>
      <c r="V102" s="5">
        <f>IFERROR(H102/G102,0)</f>
        <v/>
      </c>
      <c r="W102" s="5">
        <f>T102*U102*V102</f>
        <v/>
      </c>
      <c r="X102" s="5">
        <f>IFERROR(I102/G102,0)</f>
        <v/>
      </c>
      <c r="Y102" s="6">
        <f>IFERROR(G102/M102,0)</f>
        <v/>
      </c>
      <c r="Z102" s="6">
        <f>IFERROR(O102/G102,0)</f>
        <v/>
      </c>
      <c r="AA102" s="2">
        <f>IF(L102="None","No Maintenance",IF(L102="Preventive","Planned","Breakdown"))</f>
        <v/>
      </c>
    </row>
    <row r="103">
      <c r="A103" s="2" t="n">
        <v>99</v>
      </c>
      <c r="B103" s="4" t="n">
        <v>46055</v>
      </c>
      <c r="C103" s="2" t="inlineStr">
        <is>
          <t>Night</t>
        </is>
      </c>
      <c r="D103" s="2" t="inlineStr">
        <is>
          <t>Line 2</t>
        </is>
      </c>
      <c r="E103" s="2" t="inlineStr">
        <is>
          <t>Paprika Chips</t>
        </is>
      </c>
      <c r="F103" s="2" t="n">
        <v>923</v>
      </c>
      <c r="G103" s="2" t="n">
        <v>527.2</v>
      </c>
      <c r="H103" s="2" t="n">
        <v>517.2</v>
      </c>
      <c r="I103" s="2" t="n">
        <v>10</v>
      </c>
      <c r="J103" s="2" t="n">
        <v>3.49</v>
      </c>
      <c r="K103" s="2" t="inlineStr">
        <is>
          <t>Raw Material Shortage</t>
        </is>
      </c>
      <c r="L103" s="2" t="inlineStr">
        <is>
          <t>Corrective</t>
        </is>
      </c>
      <c r="M103" s="2" t="n">
        <v>1037.1</v>
      </c>
      <c r="N103" s="2" t="n">
        <v>163.4</v>
      </c>
      <c r="O103" s="2" t="n">
        <v>62444.2</v>
      </c>
      <c r="P103" s="2" t="n">
        <v>182.5</v>
      </c>
      <c r="Q103" s="2" t="n">
        <v>1.4</v>
      </c>
      <c r="R103" s="2" t="n">
        <v>854.77</v>
      </c>
      <c r="S103" s="5">
        <f>G103/F103</f>
        <v/>
      </c>
      <c r="T103" s="5">
        <f>MAX(0,1-J103/8)</f>
        <v/>
      </c>
      <c r="U103" s="5">
        <f>IFERROR(G103/(F103*T103),0)</f>
        <v/>
      </c>
      <c r="V103" s="5">
        <f>IFERROR(H103/G103,0)</f>
        <v/>
      </c>
      <c r="W103" s="5">
        <f>T103*U103*V103</f>
        <v/>
      </c>
      <c r="X103" s="5">
        <f>IFERROR(I103/G103,0)</f>
        <v/>
      </c>
      <c r="Y103" s="6">
        <f>IFERROR(G103/M103,0)</f>
        <v/>
      </c>
      <c r="Z103" s="6">
        <f>IFERROR(O103/G103,0)</f>
        <v/>
      </c>
      <c r="AA103" s="2">
        <f>IF(L103="None","No Maintenance",IF(L103="Preventive","Planned","Breakdown"))</f>
        <v/>
      </c>
    </row>
    <row r="104">
      <c r="A104" s="2" t="n">
        <v>100</v>
      </c>
      <c r="B104" s="4" t="n">
        <v>46056</v>
      </c>
      <c r="C104" s="2" t="inlineStr">
        <is>
          <t>Day</t>
        </is>
      </c>
      <c r="D104" s="2" t="inlineStr">
        <is>
          <t>Line 2</t>
        </is>
      </c>
      <c r="E104" s="2" t="inlineStr">
        <is>
          <t>Paprika Chips</t>
        </is>
      </c>
      <c r="F104" s="2" t="n">
        <v>1020</v>
      </c>
      <c r="G104" s="2" t="n">
        <v>882</v>
      </c>
      <c r="H104" s="2" t="n">
        <v>873.2</v>
      </c>
      <c r="I104" s="2" t="n">
        <v>8.800000000000001</v>
      </c>
      <c r="J104" s="2" t="n">
        <v>0.29</v>
      </c>
      <c r="K104" s="2" t="inlineStr">
        <is>
          <t>No Downtime</t>
        </is>
      </c>
      <c r="L104" s="2" t="inlineStr">
        <is>
          <t>None</t>
        </is>
      </c>
      <c r="M104" s="2" t="n">
        <v>1879.6</v>
      </c>
      <c r="N104" s="2" t="n">
        <v>305.3</v>
      </c>
      <c r="O104" s="2" t="n">
        <v>104249.1</v>
      </c>
      <c r="P104" s="2" t="n">
        <v>170.2</v>
      </c>
      <c r="Q104" s="2" t="n">
        <v>2.11</v>
      </c>
      <c r="R104" s="2" t="n">
        <v>0</v>
      </c>
      <c r="S104" s="5">
        <f>G104/F104</f>
        <v/>
      </c>
      <c r="T104" s="5">
        <f>MAX(0,1-J104/8)</f>
        <v/>
      </c>
      <c r="U104" s="5">
        <f>IFERROR(G104/(F104*T104),0)</f>
        <v/>
      </c>
      <c r="V104" s="5">
        <f>IFERROR(H104/G104,0)</f>
        <v/>
      </c>
      <c r="W104" s="5">
        <f>T104*U104*V104</f>
        <v/>
      </c>
      <c r="X104" s="5">
        <f>IFERROR(I104/G104,0)</f>
        <v/>
      </c>
      <c r="Y104" s="6">
        <f>IFERROR(G104/M104,0)</f>
        <v/>
      </c>
      <c r="Z104" s="6">
        <f>IFERROR(O104/G104,0)</f>
        <v/>
      </c>
      <c r="AA104" s="2">
        <f>IF(L104="None","No Maintenance",IF(L104="Preventive","Planned","Breakdown"))</f>
        <v/>
      </c>
    </row>
    <row r="105">
      <c r="A105" s="2" t="n">
        <v>101</v>
      </c>
      <c r="B105" s="4" t="n">
        <v>46056</v>
      </c>
      <c r="C105" s="2" t="inlineStr">
        <is>
          <t>Evening</t>
        </is>
      </c>
      <c r="D105" s="2" t="inlineStr">
        <is>
          <t>Line 1</t>
        </is>
      </c>
      <c r="E105" s="2" t="inlineStr">
        <is>
          <t>Classic Chips</t>
        </is>
      </c>
      <c r="F105" s="2" t="n">
        <v>1005</v>
      </c>
      <c r="G105" s="2" t="n">
        <v>635.7</v>
      </c>
      <c r="H105" s="2" t="n">
        <v>620.9</v>
      </c>
      <c r="I105" s="2" t="n">
        <v>14.8</v>
      </c>
      <c r="J105" s="2" t="n">
        <v>3.18</v>
      </c>
      <c r="K105" s="2" t="inlineStr">
        <is>
          <t>Planned Maintenance</t>
        </is>
      </c>
      <c r="L105" s="2" t="inlineStr">
        <is>
          <t>Preventive</t>
        </is>
      </c>
      <c r="M105" s="2" t="n">
        <v>1276.4</v>
      </c>
      <c r="N105" s="2" t="n">
        <v>221.7</v>
      </c>
      <c r="O105" s="2" t="n">
        <v>77897.3</v>
      </c>
      <c r="P105" s="2" t="n">
        <v>173.8</v>
      </c>
      <c r="Q105" s="2" t="n">
        <v>1.3</v>
      </c>
      <c r="R105" s="2" t="n">
        <v>190.32</v>
      </c>
      <c r="S105" s="5">
        <f>G105/F105</f>
        <v/>
      </c>
      <c r="T105" s="5">
        <f>MAX(0,1-J105/8)</f>
        <v/>
      </c>
      <c r="U105" s="5">
        <f>IFERROR(G105/(F105*T105),0)</f>
        <v/>
      </c>
      <c r="V105" s="5">
        <f>IFERROR(H105/G105,0)</f>
        <v/>
      </c>
      <c r="W105" s="5">
        <f>T105*U105*V105</f>
        <v/>
      </c>
      <c r="X105" s="5">
        <f>IFERROR(I105/G105,0)</f>
        <v/>
      </c>
      <c r="Y105" s="6">
        <f>IFERROR(G105/M105,0)</f>
        <v/>
      </c>
      <c r="Z105" s="6">
        <f>IFERROR(O105/G105,0)</f>
        <v/>
      </c>
      <c r="AA105" s="2">
        <f>IF(L105="None","No Maintenance",IF(L105="Preventive","Planned","Breakdown"))</f>
        <v/>
      </c>
    </row>
    <row r="106">
      <c r="A106" s="2" t="n">
        <v>102</v>
      </c>
      <c r="B106" s="4" t="n">
        <v>46056</v>
      </c>
      <c r="C106" s="2" t="inlineStr">
        <is>
          <t>Night</t>
        </is>
      </c>
      <c r="D106" s="2" t="inlineStr">
        <is>
          <t>Line 2</t>
        </is>
      </c>
      <c r="E106" s="2" t="inlineStr">
        <is>
          <t>Classic Chips</t>
        </is>
      </c>
      <c r="F106" s="2" t="n">
        <v>918</v>
      </c>
      <c r="G106" s="2" t="n">
        <v>742.5</v>
      </c>
      <c r="H106" s="2" t="n">
        <v>732.5</v>
      </c>
      <c r="I106" s="2" t="n">
        <v>10</v>
      </c>
      <c r="J106" s="2" t="n">
        <v>0.14</v>
      </c>
      <c r="K106" s="2" t="inlineStr">
        <is>
          <t>No Downtime</t>
        </is>
      </c>
      <c r="L106" s="2" t="inlineStr">
        <is>
          <t>None</t>
        </is>
      </c>
      <c r="M106" s="2" t="n">
        <v>1506.9</v>
      </c>
      <c r="N106" s="2" t="n">
        <v>243.8</v>
      </c>
      <c r="O106" s="2" t="n">
        <v>83068.89999999999</v>
      </c>
      <c r="P106" s="2" t="n">
        <v>177.7</v>
      </c>
      <c r="Q106" s="2" t="n">
        <v>1.76</v>
      </c>
      <c r="R106" s="2" t="n">
        <v>0</v>
      </c>
      <c r="S106" s="5">
        <f>G106/F106</f>
        <v/>
      </c>
      <c r="T106" s="5">
        <f>MAX(0,1-J106/8)</f>
        <v/>
      </c>
      <c r="U106" s="5">
        <f>IFERROR(G106/(F106*T106),0)</f>
        <v/>
      </c>
      <c r="V106" s="5">
        <f>IFERROR(H106/G106,0)</f>
        <v/>
      </c>
      <c r="W106" s="5">
        <f>T106*U106*V106</f>
        <v/>
      </c>
      <c r="X106" s="5">
        <f>IFERROR(I106/G106,0)</f>
        <v/>
      </c>
      <c r="Y106" s="6">
        <f>IFERROR(G106/M106,0)</f>
        <v/>
      </c>
      <c r="Z106" s="6">
        <f>IFERROR(O106/G106,0)</f>
        <v/>
      </c>
      <c r="AA106" s="2">
        <f>IF(L106="None","No Maintenance",IF(L106="Preventive","Planned","Breakdown"))</f>
        <v/>
      </c>
    </row>
    <row r="107">
      <c r="A107" s="2" t="n">
        <v>103</v>
      </c>
      <c r="B107" s="4" t="n">
        <v>46057</v>
      </c>
      <c r="C107" s="2" t="inlineStr">
        <is>
          <t>Day</t>
        </is>
      </c>
      <c r="D107" s="2" t="inlineStr">
        <is>
          <t>Line 1</t>
        </is>
      </c>
      <c r="E107" s="2" t="inlineStr">
        <is>
          <t>Classic Chips</t>
        </is>
      </c>
      <c r="F107" s="2" t="n">
        <v>927</v>
      </c>
      <c r="G107" s="2" t="n">
        <v>916.8</v>
      </c>
      <c r="H107" s="2" t="n">
        <v>899.5</v>
      </c>
      <c r="I107" s="2" t="n">
        <v>17.3</v>
      </c>
      <c r="J107" s="2" t="n">
        <v>0.31</v>
      </c>
      <c r="K107" s="2" t="inlineStr">
        <is>
          <t>No Downtime</t>
        </is>
      </c>
      <c r="L107" s="2" t="inlineStr">
        <is>
          <t>None</t>
        </is>
      </c>
      <c r="M107" s="2" t="n">
        <v>1902</v>
      </c>
      <c r="N107" s="2" t="n">
        <v>304.8</v>
      </c>
      <c r="O107" s="2" t="n">
        <v>106255.6</v>
      </c>
      <c r="P107" s="2" t="n">
        <v>181.1</v>
      </c>
      <c r="Q107" s="2" t="n">
        <v>1.84</v>
      </c>
      <c r="R107" s="2" t="n">
        <v>0</v>
      </c>
      <c r="S107" s="5">
        <f>G107/F107</f>
        <v/>
      </c>
      <c r="T107" s="5">
        <f>MAX(0,1-J107/8)</f>
        <v/>
      </c>
      <c r="U107" s="5">
        <f>IFERROR(G107/(F107*T107),0)</f>
        <v/>
      </c>
      <c r="V107" s="5">
        <f>IFERROR(H107/G107,0)</f>
        <v/>
      </c>
      <c r="W107" s="5">
        <f>T107*U107*V107</f>
        <v/>
      </c>
      <c r="X107" s="5">
        <f>IFERROR(I107/G107,0)</f>
        <v/>
      </c>
      <c r="Y107" s="6">
        <f>IFERROR(G107/M107,0)</f>
        <v/>
      </c>
      <c r="Z107" s="6">
        <f>IFERROR(O107/G107,0)</f>
        <v/>
      </c>
      <c r="AA107" s="2">
        <f>IF(L107="None","No Maintenance",IF(L107="Preventive","Planned","Breakdown"))</f>
        <v/>
      </c>
    </row>
    <row r="108">
      <c r="A108" s="2" t="n">
        <v>104</v>
      </c>
      <c r="B108" s="4" t="n">
        <v>46057</v>
      </c>
      <c r="C108" s="2" t="inlineStr">
        <is>
          <t>Evening</t>
        </is>
      </c>
      <c r="D108" s="2" t="inlineStr">
        <is>
          <t>Line 1</t>
        </is>
      </c>
      <c r="E108" s="2" t="inlineStr">
        <is>
          <t>Salt &amp; Vinegar</t>
        </is>
      </c>
      <c r="F108" s="2" t="n">
        <v>1005</v>
      </c>
      <c r="G108" s="2" t="n">
        <v>932.1</v>
      </c>
      <c r="H108" s="2" t="n">
        <v>919.3</v>
      </c>
      <c r="I108" s="2" t="n">
        <v>12.8</v>
      </c>
      <c r="J108" s="2" t="n">
        <v>0.37</v>
      </c>
      <c r="K108" s="2" t="inlineStr">
        <is>
          <t>No Downtime</t>
        </is>
      </c>
      <c r="L108" s="2" t="inlineStr">
        <is>
          <t>None</t>
        </is>
      </c>
      <c r="M108" s="2" t="n">
        <v>1796.9</v>
      </c>
      <c r="N108" s="2" t="n">
        <v>312.8</v>
      </c>
      <c r="O108" s="2" t="n">
        <v>106326</v>
      </c>
      <c r="P108" s="2" t="n">
        <v>178.5</v>
      </c>
      <c r="Q108" s="2" t="n">
        <v>1.93</v>
      </c>
      <c r="R108" s="2" t="n">
        <v>0</v>
      </c>
      <c r="S108" s="5">
        <f>G108/F108</f>
        <v/>
      </c>
      <c r="T108" s="5">
        <f>MAX(0,1-J108/8)</f>
        <v/>
      </c>
      <c r="U108" s="5">
        <f>IFERROR(G108/(F108*T108),0)</f>
        <v/>
      </c>
      <c r="V108" s="5">
        <f>IFERROR(H108/G108,0)</f>
        <v/>
      </c>
      <c r="W108" s="5">
        <f>T108*U108*V108</f>
        <v/>
      </c>
      <c r="X108" s="5">
        <f>IFERROR(I108/G108,0)</f>
        <v/>
      </c>
      <c r="Y108" s="6">
        <f>IFERROR(G108/M108,0)</f>
        <v/>
      </c>
      <c r="Z108" s="6">
        <f>IFERROR(O108/G108,0)</f>
        <v/>
      </c>
      <c r="AA108" s="2">
        <f>IF(L108="None","No Maintenance",IF(L108="Preventive","Planned","Breakdown"))</f>
        <v/>
      </c>
    </row>
    <row r="109">
      <c r="A109" s="2" t="n">
        <v>105</v>
      </c>
      <c r="B109" s="4" t="n">
        <v>46057</v>
      </c>
      <c r="C109" s="2" t="inlineStr">
        <is>
          <t>Night</t>
        </is>
      </c>
      <c r="D109" s="2" t="inlineStr">
        <is>
          <t>Line 1</t>
        </is>
      </c>
      <c r="E109" s="2" t="inlineStr">
        <is>
          <t>Salt &amp; Vinegar</t>
        </is>
      </c>
      <c r="F109" s="2" t="n">
        <v>1042</v>
      </c>
      <c r="G109" s="2" t="n">
        <v>862.9</v>
      </c>
      <c r="H109" s="2" t="n">
        <v>861</v>
      </c>
      <c r="I109" s="2" t="n">
        <v>2</v>
      </c>
      <c r="J109" s="2" t="n">
        <v>0.07000000000000001</v>
      </c>
      <c r="K109" s="2" t="inlineStr">
        <is>
          <t>No Downtime</t>
        </is>
      </c>
      <c r="L109" s="2" t="inlineStr">
        <is>
          <t>None</t>
        </is>
      </c>
      <c r="M109" s="2" t="n">
        <v>1737.1</v>
      </c>
      <c r="N109" s="2" t="n">
        <v>274.4</v>
      </c>
      <c r="O109" s="2" t="n">
        <v>107769.4</v>
      </c>
      <c r="P109" s="2" t="n">
        <v>182.5</v>
      </c>
      <c r="Q109" s="2" t="n">
        <v>1.87</v>
      </c>
      <c r="R109" s="2" t="n">
        <v>0</v>
      </c>
      <c r="S109" s="5">
        <f>G109/F109</f>
        <v/>
      </c>
      <c r="T109" s="5">
        <f>MAX(0,1-J109/8)</f>
        <v/>
      </c>
      <c r="U109" s="5">
        <f>IFERROR(G109/(F109*T109),0)</f>
        <v/>
      </c>
      <c r="V109" s="5">
        <f>IFERROR(H109/G109,0)</f>
        <v/>
      </c>
      <c r="W109" s="5">
        <f>T109*U109*V109</f>
        <v/>
      </c>
      <c r="X109" s="5">
        <f>IFERROR(I109/G109,0)</f>
        <v/>
      </c>
      <c r="Y109" s="6">
        <f>IFERROR(G109/M109,0)</f>
        <v/>
      </c>
      <c r="Z109" s="6">
        <f>IFERROR(O109/G109,0)</f>
        <v/>
      </c>
      <c r="AA109" s="2">
        <f>IF(L109="None","No Maintenance",IF(L109="Preventive","Planned","Breakdown"))</f>
        <v/>
      </c>
    </row>
    <row r="110">
      <c r="A110" s="2" t="n">
        <v>106</v>
      </c>
      <c r="B110" s="4" t="n">
        <v>46058</v>
      </c>
      <c r="C110" s="2" t="inlineStr">
        <is>
          <t>Day</t>
        </is>
      </c>
      <c r="D110" s="2" t="inlineStr">
        <is>
          <t>Line 2</t>
        </is>
      </c>
      <c r="E110" s="2" t="inlineStr">
        <is>
          <t>Paprika Chips</t>
        </is>
      </c>
      <c r="F110" s="2" t="n">
        <v>972</v>
      </c>
      <c r="G110" s="2" t="n">
        <v>790.1</v>
      </c>
      <c r="H110" s="2" t="n">
        <v>775.3</v>
      </c>
      <c r="I110" s="2" t="n">
        <v>14.8</v>
      </c>
      <c r="J110" s="2" t="n">
        <v>0.38</v>
      </c>
      <c r="K110" s="2" t="inlineStr">
        <is>
          <t>No Downtime</t>
        </is>
      </c>
      <c r="L110" s="2" t="inlineStr">
        <is>
          <t>None</t>
        </is>
      </c>
      <c r="M110" s="2" t="n">
        <v>1608.1</v>
      </c>
      <c r="N110" s="2" t="n">
        <v>238.3</v>
      </c>
      <c r="O110" s="2" t="n">
        <v>90238</v>
      </c>
      <c r="P110" s="2" t="n">
        <v>178.2</v>
      </c>
      <c r="Q110" s="2" t="n">
        <v>1.54</v>
      </c>
      <c r="R110" s="2" t="n">
        <v>0</v>
      </c>
      <c r="S110" s="5">
        <f>G110/F110</f>
        <v/>
      </c>
      <c r="T110" s="5">
        <f>MAX(0,1-J110/8)</f>
        <v/>
      </c>
      <c r="U110" s="5">
        <f>IFERROR(G110/(F110*T110),0)</f>
        <v/>
      </c>
      <c r="V110" s="5">
        <f>IFERROR(H110/G110,0)</f>
        <v/>
      </c>
      <c r="W110" s="5">
        <f>T110*U110*V110</f>
        <v/>
      </c>
      <c r="X110" s="5">
        <f>IFERROR(I110/G110,0)</f>
        <v/>
      </c>
      <c r="Y110" s="6">
        <f>IFERROR(G110/M110,0)</f>
        <v/>
      </c>
      <c r="Z110" s="6">
        <f>IFERROR(O110/G110,0)</f>
        <v/>
      </c>
      <c r="AA110" s="2">
        <f>IF(L110="None","No Maintenance",IF(L110="Preventive","Planned","Breakdown"))</f>
        <v/>
      </c>
    </row>
    <row r="111">
      <c r="A111" s="2" t="n">
        <v>107</v>
      </c>
      <c r="B111" s="4" t="n">
        <v>46058</v>
      </c>
      <c r="C111" s="2" t="inlineStr">
        <is>
          <t>Evening</t>
        </is>
      </c>
      <c r="D111" s="2" t="inlineStr">
        <is>
          <t>Line 1</t>
        </is>
      </c>
      <c r="E111" s="2" t="inlineStr">
        <is>
          <t>Salt &amp; Vinegar</t>
        </is>
      </c>
      <c r="F111" s="2" t="n">
        <v>1045</v>
      </c>
      <c r="G111" s="2" t="n">
        <v>735.9</v>
      </c>
      <c r="H111" s="2" t="n">
        <v>734.4</v>
      </c>
      <c r="I111" s="2" t="n">
        <v>1.5</v>
      </c>
      <c r="J111" s="2" t="n">
        <v>1.36</v>
      </c>
      <c r="K111" s="2" t="inlineStr">
        <is>
          <t>Electrical Fault</t>
        </is>
      </c>
      <c r="L111" s="2" t="inlineStr">
        <is>
          <t>Emergency</t>
        </is>
      </c>
      <c r="M111" s="2" t="n">
        <v>1469</v>
      </c>
      <c r="N111" s="2" t="n">
        <v>250.4</v>
      </c>
      <c r="O111" s="2" t="n">
        <v>89602</v>
      </c>
      <c r="P111" s="2" t="n">
        <v>176.5</v>
      </c>
      <c r="Q111" s="2" t="n">
        <v>1.45</v>
      </c>
      <c r="R111" s="2" t="n">
        <v>1521.01</v>
      </c>
      <c r="S111" s="5">
        <f>G111/F111</f>
        <v/>
      </c>
      <c r="T111" s="5">
        <f>MAX(0,1-J111/8)</f>
        <v/>
      </c>
      <c r="U111" s="5">
        <f>IFERROR(G111/(F111*T111),0)</f>
        <v/>
      </c>
      <c r="V111" s="5">
        <f>IFERROR(H111/G111,0)</f>
        <v/>
      </c>
      <c r="W111" s="5">
        <f>T111*U111*V111</f>
        <v/>
      </c>
      <c r="X111" s="5">
        <f>IFERROR(I111/G111,0)</f>
        <v/>
      </c>
      <c r="Y111" s="6">
        <f>IFERROR(G111/M111,0)</f>
        <v/>
      </c>
      <c r="Z111" s="6">
        <f>IFERROR(O111/G111,0)</f>
        <v/>
      </c>
      <c r="AA111" s="2">
        <f>IF(L111="None","No Maintenance",IF(L111="Preventive","Planned","Breakdown"))</f>
        <v/>
      </c>
    </row>
    <row r="112">
      <c r="A112" s="2" t="n">
        <v>108</v>
      </c>
      <c r="B112" s="4" t="n">
        <v>46058</v>
      </c>
      <c r="C112" s="2" t="inlineStr">
        <is>
          <t>Night</t>
        </is>
      </c>
      <c r="D112" s="2" t="inlineStr">
        <is>
          <t>Line 1</t>
        </is>
      </c>
      <c r="E112" s="2" t="inlineStr">
        <is>
          <t>Salt &amp; Vinegar</t>
        </is>
      </c>
      <c r="F112" s="2" t="n">
        <v>989</v>
      </c>
      <c r="G112" s="2" t="n">
        <v>943.5</v>
      </c>
      <c r="H112" s="2" t="n">
        <v>933.7</v>
      </c>
      <c r="I112" s="2" t="n">
        <v>9.800000000000001</v>
      </c>
      <c r="J112" s="2" t="n">
        <v>0.2</v>
      </c>
      <c r="K112" s="2" t="inlineStr">
        <is>
          <t>No Downtime</t>
        </is>
      </c>
      <c r="L112" s="2" t="inlineStr">
        <is>
          <t>None</t>
        </is>
      </c>
      <c r="M112" s="2" t="n">
        <v>1996</v>
      </c>
      <c r="N112" s="2" t="n">
        <v>273.7</v>
      </c>
      <c r="O112" s="2" t="n">
        <v>100494</v>
      </c>
      <c r="P112" s="2" t="n">
        <v>176.1</v>
      </c>
      <c r="Q112" s="2" t="n">
        <v>1.64</v>
      </c>
      <c r="R112" s="2" t="n">
        <v>0</v>
      </c>
      <c r="S112" s="5">
        <f>G112/F112</f>
        <v/>
      </c>
      <c r="T112" s="5">
        <f>MAX(0,1-J112/8)</f>
        <v/>
      </c>
      <c r="U112" s="5">
        <f>IFERROR(G112/(F112*T112),0)</f>
        <v/>
      </c>
      <c r="V112" s="5">
        <f>IFERROR(H112/G112,0)</f>
        <v/>
      </c>
      <c r="W112" s="5">
        <f>T112*U112*V112</f>
        <v/>
      </c>
      <c r="X112" s="5">
        <f>IFERROR(I112/G112,0)</f>
        <v/>
      </c>
      <c r="Y112" s="6">
        <f>IFERROR(G112/M112,0)</f>
        <v/>
      </c>
      <c r="Z112" s="6">
        <f>IFERROR(O112/G112,0)</f>
        <v/>
      </c>
      <c r="AA112" s="2">
        <f>IF(L112="None","No Maintenance",IF(L112="Preventive","Planned","Breakdown"))</f>
        <v/>
      </c>
    </row>
    <row r="113">
      <c r="A113" s="2" t="n">
        <v>109</v>
      </c>
      <c r="B113" s="4" t="n">
        <v>46059</v>
      </c>
      <c r="C113" s="2" t="inlineStr">
        <is>
          <t>Day</t>
        </is>
      </c>
      <c r="D113" s="2" t="inlineStr">
        <is>
          <t>Line 2</t>
        </is>
      </c>
      <c r="E113" s="2" t="inlineStr">
        <is>
          <t>Salt &amp; Vinegar</t>
        </is>
      </c>
      <c r="F113" s="2" t="n">
        <v>973</v>
      </c>
      <c r="G113" s="2" t="n">
        <v>543.1</v>
      </c>
      <c r="H113" s="2" t="n">
        <v>532.8</v>
      </c>
      <c r="I113" s="2" t="n">
        <v>10.3</v>
      </c>
      <c r="J113" s="2" t="n">
        <v>4.03</v>
      </c>
      <c r="K113" s="2" t="inlineStr">
        <is>
          <t>Planned Maintenance</t>
        </is>
      </c>
      <c r="L113" s="2" t="inlineStr">
        <is>
          <t>Preventive</t>
        </is>
      </c>
      <c r="M113" s="2" t="n">
        <v>1115.1</v>
      </c>
      <c r="N113" s="2" t="n">
        <v>169.3</v>
      </c>
      <c r="O113" s="2" t="n">
        <v>60287.8</v>
      </c>
      <c r="P113" s="2" t="n">
        <v>180.3</v>
      </c>
      <c r="Q113" s="2" t="n">
        <v>1.67</v>
      </c>
      <c r="R113" s="2" t="n">
        <v>158.52</v>
      </c>
      <c r="S113" s="5">
        <f>G113/F113</f>
        <v/>
      </c>
      <c r="T113" s="5">
        <f>MAX(0,1-J113/8)</f>
        <v/>
      </c>
      <c r="U113" s="5">
        <f>IFERROR(G113/(F113*T113),0)</f>
        <v/>
      </c>
      <c r="V113" s="5">
        <f>IFERROR(H113/G113,0)</f>
        <v/>
      </c>
      <c r="W113" s="5">
        <f>T113*U113*V113</f>
        <v/>
      </c>
      <c r="X113" s="5">
        <f>IFERROR(I113/G113,0)</f>
        <v/>
      </c>
      <c r="Y113" s="6">
        <f>IFERROR(G113/M113,0)</f>
        <v/>
      </c>
      <c r="Z113" s="6">
        <f>IFERROR(O113/G113,0)</f>
        <v/>
      </c>
      <c r="AA113" s="2">
        <f>IF(L113="None","No Maintenance",IF(L113="Preventive","Planned","Breakdown"))</f>
        <v/>
      </c>
    </row>
    <row r="114">
      <c r="A114" s="2" t="n">
        <v>110</v>
      </c>
      <c r="B114" s="4" t="n">
        <v>46059</v>
      </c>
      <c r="C114" s="2" t="inlineStr">
        <is>
          <t>Evening</t>
        </is>
      </c>
      <c r="D114" s="2" t="inlineStr">
        <is>
          <t>Line 2</t>
        </is>
      </c>
      <c r="E114" s="2" t="inlineStr">
        <is>
          <t>Classic Chips</t>
        </is>
      </c>
      <c r="F114" s="2" t="n">
        <v>900</v>
      </c>
      <c r="G114" s="2" t="n">
        <v>557.9</v>
      </c>
      <c r="H114" s="2" t="n">
        <v>541.3</v>
      </c>
      <c r="I114" s="2" t="n">
        <v>16.5</v>
      </c>
      <c r="J114" s="2" t="n">
        <v>1.52</v>
      </c>
      <c r="K114" s="2" t="inlineStr">
        <is>
          <t>Fryer Temperature</t>
        </is>
      </c>
      <c r="L114" s="2" t="inlineStr">
        <is>
          <t>Corrective</t>
        </is>
      </c>
      <c r="M114" s="2" t="n">
        <v>1150.1</v>
      </c>
      <c r="N114" s="2" t="n">
        <v>158.8</v>
      </c>
      <c r="O114" s="2" t="n">
        <v>63918.3</v>
      </c>
      <c r="P114" s="2" t="n">
        <v>183.4</v>
      </c>
      <c r="Q114" s="2" t="n">
        <v>1.7</v>
      </c>
      <c r="R114" s="2" t="n">
        <v>895.41</v>
      </c>
      <c r="S114" s="5">
        <f>G114/F114</f>
        <v/>
      </c>
      <c r="T114" s="5">
        <f>MAX(0,1-J114/8)</f>
        <v/>
      </c>
      <c r="U114" s="5">
        <f>IFERROR(G114/(F114*T114),0)</f>
        <v/>
      </c>
      <c r="V114" s="5">
        <f>IFERROR(H114/G114,0)</f>
        <v/>
      </c>
      <c r="W114" s="5">
        <f>T114*U114*V114</f>
        <v/>
      </c>
      <c r="X114" s="5">
        <f>IFERROR(I114/G114,0)</f>
        <v/>
      </c>
      <c r="Y114" s="6">
        <f>IFERROR(G114/M114,0)</f>
        <v/>
      </c>
      <c r="Z114" s="6">
        <f>IFERROR(O114/G114,0)</f>
        <v/>
      </c>
      <c r="AA114" s="2">
        <f>IF(L114="None","No Maintenance",IF(L114="Preventive","Planned","Breakdown"))</f>
        <v/>
      </c>
    </row>
    <row r="115">
      <c r="A115" s="2" t="n">
        <v>111</v>
      </c>
      <c r="B115" s="4" t="n">
        <v>46059</v>
      </c>
      <c r="C115" s="2" t="inlineStr">
        <is>
          <t>Night</t>
        </is>
      </c>
      <c r="D115" s="2" t="inlineStr">
        <is>
          <t>Line 2</t>
        </is>
      </c>
      <c r="E115" s="2" t="inlineStr">
        <is>
          <t>Classic Chips</t>
        </is>
      </c>
      <c r="F115" s="2" t="n">
        <v>1027</v>
      </c>
      <c r="G115" s="2" t="n">
        <v>769.2</v>
      </c>
      <c r="H115" s="2" t="n">
        <v>761.2</v>
      </c>
      <c r="I115" s="2" t="n">
        <v>8</v>
      </c>
      <c r="J115" s="2" t="n">
        <v>0.86</v>
      </c>
      <c r="K115" s="2" t="inlineStr">
        <is>
          <t>Packaging Machine</t>
        </is>
      </c>
      <c r="L115" s="2" t="inlineStr">
        <is>
          <t>Emergency</t>
        </is>
      </c>
      <c r="M115" s="2" t="n">
        <v>1544</v>
      </c>
      <c r="N115" s="2" t="n">
        <v>234.2</v>
      </c>
      <c r="O115" s="2" t="n">
        <v>98436.7</v>
      </c>
      <c r="P115" s="2" t="n">
        <v>180.2</v>
      </c>
      <c r="Q115" s="2" t="n">
        <v>1.64</v>
      </c>
      <c r="R115" s="2" t="n">
        <v>1558.38</v>
      </c>
      <c r="S115" s="5">
        <f>G115/F115</f>
        <v/>
      </c>
      <c r="T115" s="5">
        <f>MAX(0,1-J115/8)</f>
        <v/>
      </c>
      <c r="U115" s="5">
        <f>IFERROR(G115/(F115*T115),0)</f>
        <v/>
      </c>
      <c r="V115" s="5">
        <f>IFERROR(H115/G115,0)</f>
        <v/>
      </c>
      <c r="W115" s="5">
        <f>T115*U115*V115</f>
        <v/>
      </c>
      <c r="X115" s="5">
        <f>IFERROR(I115/G115,0)</f>
        <v/>
      </c>
      <c r="Y115" s="6">
        <f>IFERROR(G115/M115,0)</f>
        <v/>
      </c>
      <c r="Z115" s="6">
        <f>IFERROR(O115/G115,0)</f>
        <v/>
      </c>
      <c r="AA115" s="2">
        <f>IF(L115="None","No Maintenance",IF(L115="Preventive","Planned","Breakdown"))</f>
        <v/>
      </c>
    </row>
    <row r="116">
      <c r="A116" s="2" t="n">
        <v>112</v>
      </c>
      <c r="B116" s="4" t="n">
        <v>46060</v>
      </c>
      <c r="C116" s="2" t="inlineStr">
        <is>
          <t>Day</t>
        </is>
      </c>
      <c r="D116" s="2" t="inlineStr">
        <is>
          <t>Line 1</t>
        </is>
      </c>
      <c r="E116" s="2" t="inlineStr">
        <is>
          <t>Classic Chips</t>
        </is>
      </c>
      <c r="F116" s="2" t="n">
        <v>978</v>
      </c>
      <c r="G116" s="2" t="n">
        <v>643.1</v>
      </c>
      <c r="H116" s="2" t="n">
        <v>641.8</v>
      </c>
      <c r="I116" s="2" t="n">
        <v>1.3</v>
      </c>
      <c r="J116" s="2" t="n">
        <v>3.12</v>
      </c>
      <c r="K116" s="2" t="inlineStr">
        <is>
          <t>Electrical Fault</t>
        </is>
      </c>
      <c r="L116" s="2" t="inlineStr">
        <is>
          <t>Corrective</t>
        </is>
      </c>
      <c r="M116" s="2" t="n">
        <v>1300.9</v>
      </c>
      <c r="N116" s="2" t="n">
        <v>213.4</v>
      </c>
      <c r="O116" s="2" t="n">
        <v>74739.60000000001</v>
      </c>
      <c r="P116" s="2" t="n">
        <v>179.2</v>
      </c>
      <c r="Q116" s="2" t="n">
        <v>1.51</v>
      </c>
      <c r="R116" s="2" t="n">
        <v>421.18</v>
      </c>
      <c r="S116" s="5">
        <f>G116/F116</f>
        <v/>
      </c>
      <c r="T116" s="5">
        <f>MAX(0,1-J116/8)</f>
        <v/>
      </c>
      <c r="U116" s="5">
        <f>IFERROR(G116/(F116*T116),0)</f>
        <v/>
      </c>
      <c r="V116" s="5">
        <f>IFERROR(H116/G116,0)</f>
        <v/>
      </c>
      <c r="W116" s="5">
        <f>T116*U116*V116</f>
        <v/>
      </c>
      <c r="X116" s="5">
        <f>IFERROR(I116/G116,0)</f>
        <v/>
      </c>
      <c r="Y116" s="6">
        <f>IFERROR(G116/M116,0)</f>
        <v/>
      </c>
      <c r="Z116" s="6">
        <f>IFERROR(O116/G116,0)</f>
        <v/>
      </c>
      <c r="AA116" s="2">
        <f>IF(L116="None","No Maintenance",IF(L116="Preventive","Planned","Breakdown"))</f>
        <v/>
      </c>
    </row>
    <row r="117">
      <c r="A117" s="2" t="n">
        <v>113</v>
      </c>
      <c r="B117" s="4" t="n">
        <v>46060</v>
      </c>
      <c r="C117" s="2" t="inlineStr">
        <is>
          <t>Evening</t>
        </is>
      </c>
      <c r="D117" s="2" t="inlineStr">
        <is>
          <t>Line 1</t>
        </is>
      </c>
      <c r="E117" s="2" t="inlineStr">
        <is>
          <t>Paprika Chips</t>
        </is>
      </c>
      <c r="F117" s="2" t="n">
        <v>1050</v>
      </c>
      <c r="G117" s="2" t="n">
        <v>922.9</v>
      </c>
      <c r="H117" s="2" t="n">
        <v>909</v>
      </c>
      <c r="I117" s="2" t="n">
        <v>13.9</v>
      </c>
      <c r="J117" s="2" t="n">
        <v>0.67</v>
      </c>
      <c r="K117" s="2" t="inlineStr">
        <is>
          <t>Raw Material Shortage</t>
        </is>
      </c>
      <c r="L117" s="2" t="inlineStr">
        <is>
          <t>Corrective</t>
        </is>
      </c>
      <c r="M117" s="2" t="n">
        <v>1938.5</v>
      </c>
      <c r="N117" s="2" t="n">
        <v>315.5</v>
      </c>
      <c r="O117" s="2" t="n">
        <v>114837.3</v>
      </c>
      <c r="P117" s="2" t="n">
        <v>172.6</v>
      </c>
      <c r="Q117" s="2" t="n">
        <v>1.77</v>
      </c>
      <c r="R117" s="2" t="n">
        <v>489.36</v>
      </c>
      <c r="S117" s="5">
        <f>G117/F117</f>
        <v/>
      </c>
      <c r="T117" s="5">
        <f>MAX(0,1-J117/8)</f>
        <v/>
      </c>
      <c r="U117" s="5">
        <f>IFERROR(G117/(F117*T117),0)</f>
        <v/>
      </c>
      <c r="V117" s="5">
        <f>IFERROR(H117/G117,0)</f>
        <v/>
      </c>
      <c r="W117" s="5">
        <f>T117*U117*V117</f>
        <v/>
      </c>
      <c r="X117" s="5">
        <f>IFERROR(I117/G117,0)</f>
        <v/>
      </c>
      <c r="Y117" s="6">
        <f>IFERROR(G117/M117,0)</f>
        <v/>
      </c>
      <c r="Z117" s="6">
        <f>IFERROR(O117/G117,0)</f>
        <v/>
      </c>
      <c r="AA117" s="2">
        <f>IF(L117="None","No Maintenance",IF(L117="Preventive","Planned","Breakdown"))</f>
        <v/>
      </c>
    </row>
    <row r="118">
      <c r="A118" s="2" t="n">
        <v>114</v>
      </c>
      <c r="B118" s="4" t="n">
        <v>46060</v>
      </c>
      <c r="C118" s="2" t="inlineStr">
        <is>
          <t>Night</t>
        </is>
      </c>
      <c r="D118" s="2" t="inlineStr">
        <is>
          <t>Line 2</t>
        </is>
      </c>
      <c r="E118" s="2" t="inlineStr">
        <is>
          <t>Classic Chips</t>
        </is>
      </c>
      <c r="F118" s="2" t="n">
        <v>1017</v>
      </c>
      <c r="G118" s="2" t="n">
        <v>790.5</v>
      </c>
      <c r="H118" s="2" t="n">
        <v>780</v>
      </c>
      <c r="I118" s="2" t="n">
        <v>10.5</v>
      </c>
      <c r="J118" s="2" t="n">
        <v>0.35</v>
      </c>
      <c r="K118" s="2" t="inlineStr">
        <is>
          <t>No Downtime</t>
        </is>
      </c>
      <c r="L118" s="2" t="inlineStr">
        <is>
          <t>None</t>
        </is>
      </c>
      <c r="M118" s="2" t="n">
        <v>1574.2</v>
      </c>
      <c r="N118" s="2" t="n">
        <v>247.7</v>
      </c>
      <c r="O118" s="2" t="n">
        <v>93220</v>
      </c>
      <c r="P118" s="2" t="n">
        <v>173.7</v>
      </c>
      <c r="Q118" s="2" t="n">
        <v>1.57</v>
      </c>
      <c r="R118" s="2" t="n">
        <v>0</v>
      </c>
      <c r="S118" s="5">
        <f>G118/F118</f>
        <v/>
      </c>
      <c r="T118" s="5">
        <f>MAX(0,1-J118/8)</f>
        <v/>
      </c>
      <c r="U118" s="5">
        <f>IFERROR(G118/(F118*T118),0)</f>
        <v/>
      </c>
      <c r="V118" s="5">
        <f>IFERROR(H118/G118,0)</f>
        <v/>
      </c>
      <c r="W118" s="5">
        <f>T118*U118*V118</f>
        <v/>
      </c>
      <c r="X118" s="5">
        <f>IFERROR(I118/G118,0)</f>
        <v/>
      </c>
      <c r="Y118" s="6">
        <f>IFERROR(G118/M118,0)</f>
        <v/>
      </c>
      <c r="Z118" s="6">
        <f>IFERROR(O118/G118,0)</f>
        <v/>
      </c>
      <c r="AA118" s="2">
        <f>IF(L118="None","No Maintenance",IF(L118="Preventive","Planned","Breakdown"))</f>
        <v/>
      </c>
    </row>
    <row r="119">
      <c r="A119" s="2" t="n">
        <v>115</v>
      </c>
      <c r="B119" s="4" t="n">
        <v>46061</v>
      </c>
      <c r="C119" s="2" t="inlineStr">
        <is>
          <t>Day</t>
        </is>
      </c>
      <c r="D119" s="2" t="inlineStr">
        <is>
          <t>Line 1</t>
        </is>
      </c>
      <c r="E119" s="2" t="inlineStr">
        <is>
          <t>Classic Chips</t>
        </is>
      </c>
      <c r="F119" s="2" t="n">
        <v>1000</v>
      </c>
      <c r="G119" s="2" t="n">
        <v>896.5</v>
      </c>
      <c r="H119" s="2" t="n">
        <v>885.2</v>
      </c>
      <c r="I119" s="2" t="n">
        <v>11.3</v>
      </c>
      <c r="J119" s="2" t="n">
        <v>0.03</v>
      </c>
      <c r="K119" s="2" t="inlineStr">
        <is>
          <t>No Downtime</t>
        </is>
      </c>
      <c r="L119" s="2" t="inlineStr">
        <is>
          <t>None</t>
        </is>
      </c>
      <c r="M119" s="2" t="n">
        <v>1851.7</v>
      </c>
      <c r="N119" s="2" t="n">
        <v>306.6</v>
      </c>
      <c r="O119" s="2" t="n">
        <v>98400.2</v>
      </c>
      <c r="P119" s="2" t="n">
        <v>174.8</v>
      </c>
      <c r="Q119" s="2" t="n">
        <v>1.64</v>
      </c>
      <c r="R119" s="2" t="n">
        <v>0</v>
      </c>
      <c r="S119" s="5">
        <f>G119/F119</f>
        <v/>
      </c>
      <c r="T119" s="5">
        <f>MAX(0,1-J119/8)</f>
        <v/>
      </c>
      <c r="U119" s="5">
        <f>IFERROR(G119/(F119*T119),0)</f>
        <v/>
      </c>
      <c r="V119" s="5">
        <f>IFERROR(H119/G119,0)</f>
        <v/>
      </c>
      <c r="W119" s="5">
        <f>T119*U119*V119</f>
        <v/>
      </c>
      <c r="X119" s="5">
        <f>IFERROR(I119/G119,0)</f>
        <v/>
      </c>
      <c r="Y119" s="6">
        <f>IFERROR(G119/M119,0)</f>
        <v/>
      </c>
      <c r="Z119" s="6">
        <f>IFERROR(O119/G119,0)</f>
        <v/>
      </c>
      <c r="AA119" s="2">
        <f>IF(L119="None","No Maintenance",IF(L119="Preventive","Planned","Breakdown"))</f>
        <v/>
      </c>
    </row>
    <row r="120">
      <c r="A120" s="2" t="n">
        <v>116</v>
      </c>
      <c r="B120" s="4" t="n">
        <v>46061</v>
      </c>
      <c r="C120" s="2" t="inlineStr">
        <is>
          <t>Evening</t>
        </is>
      </c>
      <c r="D120" s="2" t="inlineStr">
        <is>
          <t>Line 1</t>
        </is>
      </c>
      <c r="E120" s="2" t="inlineStr">
        <is>
          <t>Paprika Chips</t>
        </is>
      </c>
      <c r="F120" s="2" t="n">
        <v>914</v>
      </c>
      <c r="G120" s="2" t="n">
        <v>578.1</v>
      </c>
      <c r="H120" s="2" t="n">
        <v>569.6</v>
      </c>
      <c r="I120" s="2" t="n">
        <v>8.6</v>
      </c>
      <c r="J120" s="2" t="n">
        <v>2.16</v>
      </c>
      <c r="K120" s="2" t="inlineStr">
        <is>
          <t>Raw Material Shortage</t>
        </is>
      </c>
      <c r="L120" s="2" t="inlineStr">
        <is>
          <t>Corrective</t>
        </is>
      </c>
      <c r="M120" s="2" t="n">
        <v>1165.3</v>
      </c>
      <c r="N120" s="2" t="n">
        <v>183.7</v>
      </c>
      <c r="O120" s="2" t="n">
        <v>68762.2</v>
      </c>
      <c r="P120" s="2" t="n">
        <v>182.3</v>
      </c>
      <c r="Q120" s="2" t="n">
        <v>1.47</v>
      </c>
      <c r="R120" s="2" t="n">
        <v>859.4400000000001</v>
      </c>
      <c r="S120" s="5">
        <f>G120/F120</f>
        <v/>
      </c>
      <c r="T120" s="5">
        <f>MAX(0,1-J120/8)</f>
        <v/>
      </c>
      <c r="U120" s="5">
        <f>IFERROR(G120/(F120*T120),0)</f>
        <v/>
      </c>
      <c r="V120" s="5">
        <f>IFERROR(H120/G120,0)</f>
        <v/>
      </c>
      <c r="W120" s="5">
        <f>T120*U120*V120</f>
        <v/>
      </c>
      <c r="X120" s="5">
        <f>IFERROR(I120/G120,0)</f>
        <v/>
      </c>
      <c r="Y120" s="6">
        <f>IFERROR(G120/M120,0)</f>
        <v/>
      </c>
      <c r="Z120" s="6">
        <f>IFERROR(O120/G120,0)</f>
        <v/>
      </c>
      <c r="AA120" s="2">
        <f>IF(L120="None","No Maintenance",IF(L120="Preventive","Planned","Breakdown"))</f>
        <v/>
      </c>
    </row>
    <row r="121">
      <c r="A121" s="2" t="n">
        <v>117</v>
      </c>
      <c r="B121" s="4" t="n">
        <v>46061</v>
      </c>
      <c r="C121" s="2" t="inlineStr">
        <is>
          <t>Night</t>
        </is>
      </c>
      <c r="D121" s="2" t="inlineStr">
        <is>
          <t>Line 2</t>
        </is>
      </c>
      <c r="E121" s="2" t="inlineStr">
        <is>
          <t>Classic Chips</t>
        </is>
      </c>
      <c r="F121" s="2" t="n">
        <v>1036</v>
      </c>
      <c r="G121" s="2" t="n">
        <v>780.5</v>
      </c>
      <c r="H121" s="2" t="n">
        <v>762.4</v>
      </c>
      <c r="I121" s="2" t="n">
        <v>18.1</v>
      </c>
      <c r="J121" s="2" t="n">
        <v>0.83</v>
      </c>
      <c r="K121" s="2" t="inlineStr">
        <is>
          <t>Raw Material Shortage</t>
        </is>
      </c>
      <c r="L121" s="2" t="inlineStr">
        <is>
          <t>Corrective</t>
        </is>
      </c>
      <c r="M121" s="2" t="n">
        <v>1604.6</v>
      </c>
      <c r="N121" s="2" t="n">
        <v>283.4</v>
      </c>
      <c r="O121" s="2" t="n">
        <v>89790.8</v>
      </c>
      <c r="P121" s="2" t="n">
        <v>184.1</v>
      </c>
      <c r="Q121" s="2" t="n">
        <v>1.68</v>
      </c>
      <c r="R121" s="2" t="n">
        <v>527.03</v>
      </c>
      <c r="S121" s="5">
        <f>G121/F121</f>
        <v/>
      </c>
      <c r="T121" s="5">
        <f>MAX(0,1-J121/8)</f>
        <v/>
      </c>
      <c r="U121" s="5">
        <f>IFERROR(G121/(F121*T121),0)</f>
        <v/>
      </c>
      <c r="V121" s="5">
        <f>IFERROR(H121/G121,0)</f>
        <v/>
      </c>
      <c r="W121" s="5">
        <f>T121*U121*V121</f>
        <v/>
      </c>
      <c r="X121" s="5">
        <f>IFERROR(I121/G121,0)</f>
        <v/>
      </c>
      <c r="Y121" s="6">
        <f>IFERROR(G121/M121,0)</f>
        <v/>
      </c>
      <c r="Z121" s="6">
        <f>IFERROR(O121/G121,0)</f>
        <v/>
      </c>
      <c r="AA121" s="2">
        <f>IF(L121="None","No Maintenance",IF(L121="Preventive","Planned","Breakdown"))</f>
        <v/>
      </c>
    </row>
    <row r="122">
      <c r="A122" s="2" t="n">
        <v>118</v>
      </c>
      <c r="B122" s="4" t="n">
        <v>46062</v>
      </c>
      <c r="C122" s="2" t="inlineStr">
        <is>
          <t>Day</t>
        </is>
      </c>
      <c r="D122" s="2" t="inlineStr">
        <is>
          <t>Line 1</t>
        </is>
      </c>
      <c r="E122" s="2" t="inlineStr">
        <is>
          <t>Classic Chips</t>
        </is>
      </c>
      <c r="F122" s="2" t="n">
        <v>902</v>
      </c>
      <c r="G122" s="2" t="n">
        <v>600.1</v>
      </c>
      <c r="H122" s="2" t="n">
        <v>595.7</v>
      </c>
      <c r="I122" s="2" t="n">
        <v>4.4</v>
      </c>
      <c r="J122" s="2" t="n">
        <v>4.64</v>
      </c>
      <c r="K122" s="2" t="inlineStr">
        <is>
          <t>Planned Maintenance</t>
        </is>
      </c>
      <c r="L122" s="2" t="inlineStr">
        <is>
          <t>Preventive</t>
        </is>
      </c>
      <c r="M122" s="2" t="n">
        <v>1266.1</v>
      </c>
      <c r="N122" s="2" t="n">
        <v>186.4</v>
      </c>
      <c r="O122" s="2" t="n">
        <v>69954.60000000001</v>
      </c>
      <c r="P122" s="2" t="n">
        <v>174.8</v>
      </c>
      <c r="Q122" s="2" t="n">
        <v>1.6</v>
      </c>
      <c r="R122" s="2" t="n">
        <v>228.99</v>
      </c>
      <c r="S122" s="5">
        <f>G122/F122</f>
        <v/>
      </c>
      <c r="T122" s="5">
        <f>MAX(0,1-J122/8)</f>
        <v/>
      </c>
      <c r="U122" s="5">
        <f>IFERROR(G122/(F122*T122),0)</f>
        <v/>
      </c>
      <c r="V122" s="5">
        <f>IFERROR(H122/G122,0)</f>
        <v/>
      </c>
      <c r="W122" s="5">
        <f>T122*U122*V122</f>
        <v/>
      </c>
      <c r="X122" s="5">
        <f>IFERROR(I122/G122,0)</f>
        <v/>
      </c>
      <c r="Y122" s="6">
        <f>IFERROR(G122/M122,0)</f>
        <v/>
      </c>
      <c r="Z122" s="6">
        <f>IFERROR(O122/G122,0)</f>
        <v/>
      </c>
      <c r="AA122" s="2">
        <f>IF(L122="None","No Maintenance",IF(L122="Preventive","Planned","Breakdown"))</f>
        <v/>
      </c>
    </row>
    <row r="123">
      <c r="A123" s="2" t="n">
        <v>119</v>
      </c>
      <c r="B123" s="4" t="n">
        <v>46062</v>
      </c>
      <c r="C123" s="2" t="inlineStr">
        <is>
          <t>Evening</t>
        </is>
      </c>
      <c r="D123" s="2" t="inlineStr">
        <is>
          <t>Line 1</t>
        </is>
      </c>
      <c r="E123" s="2" t="inlineStr">
        <is>
          <t>Paprika Chips</t>
        </is>
      </c>
      <c r="F123" s="2" t="n">
        <v>1011</v>
      </c>
      <c r="G123" s="2" t="n">
        <v>568.2</v>
      </c>
      <c r="H123" s="2" t="n">
        <v>553.7</v>
      </c>
      <c r="I123" s="2" t="n">
        <v>14.5</v>
      </c>
      <c r="J123" s="2" t="n">
        <v>2.89</v>
      </c>
      <c r="K123" s="2" t="inlineStr">
        <is>
          <t>Packaging Machine</t>
        </is>
      </c>
      <c r="L123" s="2" t="inlineStr">
        <is>
          <t>Corrective</t>
        </is>
      </c>
      <c r="M123" s="2" t="n">
        <v>1172.1</v>
      </c>
      <c r="N123" s="2" t="n">
        <v>191.6</v>
      </c>
      <c r="O123" s="2" t="n">
        <v>60634.5</v>
      </c>
      <c r="P123" s="2" t="n">
        <v>183.4</v>
      </c>
      <c r="Q123" s="2" t="n">
        <v>1.37</v>
      </c>
      <c r="R123" s="2" t="n">
        <v>721.3200000000001</v>
      </c>
      <c r="S123" s="5">
        <f>G123/F123</f>
        <v/>
      </c>
      <c r="T123" s="5">
        <f>MAX(0,1-J123/8)</f>
        <v/>
      </c>
      <c r="U123" s="5">
        <f>IFERROR(G123/(F123*T123),0)</f>
        <v/>
      </c>
      <c r="V123" s="5">
        <f>IFERROR(H123/G123,0)</f>
        <v/>
      </c>
      <c r="W123" s="5">
        <f>T123*U123*V123</f>
        <v/>
      </c>
      <c r="X123" s="5">
        <f>IFERROR(I123/G123,0)</f>
        <v/>
      </c>
      <c r="Y123" s="6">
        <f>IFERROR(G123/M123,0)</f>
        <v/>
      </c>
      <c r="Z123" s="6">
        <f>IFERROR(O123/G123,0)</f>
        <v/>
      </c>
      <c r="AA123" s="2">
        <f>IF(L123="None","No Maintenance",IF(L123="Preventive","Planned","Breakdown"))</f>
        <v/>
      </c>
    </row>
    <row r="124">
      <c r="A124" s="2" t="n">
        <v>120</v>
      </c>
      <c r="B124" s="4" t="n">
        <v>46062</v>
      </c>
      <c r="C124" s="2" t="inlineStr">
        <is>
          <t>Night</t>
        </is>
      </c>
      <c r="D124" s="2" t="inlineStr">
        <is>
          <t>Line 2</t>
        </is>
      </c>
      <c r="E124" s="2" t="inlineStr">
        <is>
          <t>Classic Chips</t>
        </is>
      </c>
      <c r="F124" s="2" t="n">
        <v>973</v>
      </c>
      <c r="G124" s="2" t="n">
        <v>706.5</v>
      </c>
      <c r="H124" s="2" t="n">
        <v>698.2</v>
      </c>
      <c r="I124" s="2" t="n">
        <v>8.300000000000001</v>
      </c>
      <c r="J124" s="2" t="n">
        <v>1.52</v>
      </c>
      <c r="K124" s="2" t="inlineStr">
        <is>
          <t>Raw Material Shortage</t>
        </is>
      </c>
      <c r="L124" s="2" t="inlineStr">
        <is>
          <t>Corrective</t>
        </is>
      </c>
      <c r="M124" s="2" t="n">
        <v>1406.2</v>
      </c>
      <c r="N124" s="2" t="n">
        <v>217.6</v>
      </c>
      <c r="O124" s="2" t="n">
        <v>92642.3</v>
      </c>
      <c r="P124" s="2" t="n">
        <v>176.8</v>
      </c>
      <c r="Q124" s="2" t="n">
        <v>1.57</v>
      </c>
      <c r="R124" s="2" t="n">
        <v>303.23</v>
      </c>
      <c r="S124" s="5">
        <f>G124/F124</f>
        <v/>
      </c>
      <c r="T124" s="5">
        <f>MAX(0,1-J124/8)</f>
        <v/>
      </c>
      <c r="U124" s="5">
        <f>IFERROR(G124/(F124*T124),0)</f>
        <v/>
      </c>
      <c r="V124" s="5">
        <f>IFERROR(H124/G124,0)</f>
        <v/>
      </c>
      <c r="W124" s="5">
        <f>T124*U124*V124</f>
        <v/>
      </c>
      <c r="X124" s="5">
        <f>IFERROR(I124/G124,0)</f>
        <v/>
      </c>
      <c r="Y124" s="6">
        <f>IFERROR(G124/M124,0)</f>
        <v/>
      </c>
      <c r="Z124" s="6">
        <f>IFERROR(O124/G124,0)</f>
        <v/>
      </c>
      <c r="AA124" s="2">
        <f>IF(L124="None","No Maintenance",IF(L124="Preventive","Planned","Breakdown"))</f>
        <v/>
      </c>
    </row>
    <row r="125">
      <c r="A125" s="2" t="n">
        <v>121</v>
      </c>
      <c r="B125" s="4" t="n">
        <v>46063</v>
      </c>
      <c r="C125" s="2" t="inlineStr">
        <is>
          <t>Day</t>
        </is>
      </c>
      <c r="D125" s="2" t="inlineStr">
        <is>
          <t>Line 2</t>
        </is>
      </c>
      <c r="E125" s="2" t="inlineStr">
        <is>
          <t>Salt &amp; Vinegar</t>
        </is>
      </c>
      <c r="F125" s="2" t="n">
        <v>913</v>
      </c>
      <c r="G125" s="2" t="n">
        <v>807.2</v>
      </c>
      <c r="H125" s="2" t="n">
        <v>793.8</v>
      </c>
      <c r="I125" s="2" t="n">
        <v>13.4</v>
      </c>
      <c r="J125" s="2" t="n">
        <v>0.1</v>
      </c>
      <c r="K125" s="2" t="inlineStr">
        <is>
          <t>No Downtime</t>
        </is>
      </c>
      <c r="L125" s="2" t="inlineStr">
        <is>
          <t>None</t>
        </is>
      </c>
      <c r="M125" s="2" t="n">
        <v>1640.9</v>
      </c>
      <c r="N125" s="2" t="n">
        <v>270.9</v>
      </c>
      <c r="O125" s="2" t="n">
        <v>93272.7</v>
      </c>
      <c r="P125" s="2" t="n">
        <v>174.1</v>
      </c>
      <c r="Q125" s="2" t="n">
        <v>1.84</v>
      </c>
      <c r="R125" s="2" t="n">
        <v>0</v>
      </c>
      <c r="S125" s="5">
        <f>G125/F125</f>
        <v/>
      </c>
      <c r="T125" s="5">
        <f>MAX(0,1-J125/8)</f>
        <v/>
      </c>
      <c r="U125" s="5">
        <f>IFERROR(G125/(F125*T125),0)</f>
        <v/>
      </c>
      <c r="V125" s="5">
        <f>IFERROR(H125/G125,0)</f>
        <v/>
      </c>
      <c r="W125" s="5">
        <f>T125*U125*V125</f>
        <v/>
      </c>
      <c r="X125" s="5">
        <f>IFERROR(I125/G125,0)</f>
        <v/>
      </c>
      <c r="Y125" s="6">
        <f>IFERROR(G125/M125,0)</f>
        <v/>
      </c>
      <c r="Z125" s="6">
        <f>IFERROR(O125/G125,0)</f>
        <v/>
      </c>
      <c r="AA125" s="2">
        <f>IF(L125="None","No Maintenance",IF(L125="Preventive","Planned","Breakdown"))</f>
        <v/>
      </c>
    </row>
    <row r="126">
      <c r="A126" s="2" t="n">
        <v>122</v>
      </c>
      <c r="B126" s="4" t="n">
        <v>46063</v>
      </c>
      <c r="C126" s="2" t="inlineStr">
        <is>
          <t>Evening</t>
        </is>
      </c>
      <c r="D126" s="2" t="inlineStr">
        <is>
          <t>Line 1</t>
        </is>
      </c>
      <c r="E126" s="2" t="inlineStr">
        <is>
          <t>Paprika Chips</t>
        </is>
      </c>
      <c r="F126" s="2" t="n">
        <v>918</v>
      </c>
      <c r="G126" s="2" t="n">
        <v>785.8</v>
      </c>
      <c r="H126" s="2" t="n">
        <v>781</v>
      </c>
      <c r="I126" s="2" t="n">
        <v>4.8</v>
      </c>
      <c r="J126" s="2" t="n">
        <v>0.35</v>
      </c>
      <c r="K126" s="2" t="inlineStr">
        <is>
          <t>No Downtime</t>
        </is>
      </c>
      <c r="L126" s="2" t="inlineStr">
        <is>
          <t>None</t>
        </is>
      </c>
      <c r="M126" s="2" t="n">
        <v>1638.1</v>
      </c>
      <c r="N126" s="2" t="n">
        <v>260.5</v>
      </c>
      <c r="O126" s="2" t="n">
        <v>88995</v>
      </c>
      <c r="P126" s="2" t="n">
        <v>174</v>
      </c>
      <c r="Q126" s="2" t="n">
        <v>2.03</v>
      </c>
      <c r="R126" s="2" t="n">
        <v>0</v>
      </c>
      <c r="S126" s="5">
        <f>G126/F126</f>
        <v/>
      </c>
      <c r="T126" s="5">
        <f>MAX(0,1-J126/8)</f>
        <v/>
      </c>
      <c r="U126" s="5">
        <f>IFERROR(G126/(F126*T126),0)</f>
        <v/>
      </c>
      <c r="V126" s="5">
        <f>IFERROR(H126/G126,0)</f>
        <v/>
      </c>
      <c r="W126" s="5">
        <f>T126*U126*V126</f>
        <v/>
      </c>
      <c r="X126" s="5">
        <f>IFERROR(I126/G126,0)</f>
        <v/>
      </c>
      <c r="Y126" s="6">
        <f>IFERROR(G126/M126,0)</f>
        <v/>
      </c>
      <c r="Z126" s="6">
        <f>IFERROR(O126/G126,0)</f>
        <v/>
      </c>
      <c r="AA126" s="2">
        <f>IF(L126="None","No Maintenance",IF(L126="Preventive","Planned","Breakdown"))</f>
        <v/>
      </c>
    </row>
    <row r="127">
      <c r="A127" s="2" t="n">
        <v>123</v>
      </c>
      <c r="B127" s="4" t="n">
        <v>46063</v>
      </c>
      <c r="C127" s="2" t="inlineStr">
        <is>
          <t>Night</t>
        </is>
      </c>
      <c r="D127" s="2" t="inlineStr">
        <is>
          <t>Line 2</t>
        </is>
      </c>
      <c r="E127" s="2" t="inlineStr">
        <is>
          <t>Classic Chips</t>
        </is>
      </c>
      <c r="F127" s="2" t="n">
        <v>964</v>
      </c>
      <c r="G127" s="2" t="n">
        <v>795.1</v>
      </c>
      <c r="H127" s="2" t="n">
        <v>782.7</v>
      </c>
      <c r="I127" s="2" t="n">
        <v>12.4</v>
      </c>
      <c r="J127" s="2" t="n">
        <v>0.34</v>
      </c>
      <c r="K127" s="2" t="inlineStr">
        <is>
          <t>No Downtime</t>
        </is>
      </c>
      <c r="L127" s="2" t="inlineStr">
        <is>
          <t>None</t>
        </is>
      </c>
      <c r="M127" s="2" t="n">
        <v>1676.2</v>
      </c>
      <c r="N127" s="2" t="n">
        <v>241.5</v>
      </c>
      <c r="O127" s="2" t="n">
        <v>98317.60000000001</v>
      </c>
      <c r="P127" s="2" t="n">
        <v>182.2</v>
      </c>
      <c r="Q127" s="2" t="n">
        <v>1.65</v>
      </c>
      <c r="R127" s="2" t="n">
        <v>0</v>
      </c>
      <c r="S127" s="5">
        <f>G127/F127</f>
        <v/>
      </c>
      <c r="T127" s="5">
        <f>MAX(0,1-J127/8)</f>
        <v/>
      </c>
      <c r="U127" s="5">
        <f>IFERROR(G127/(F127*T127),0)</f>
        <v/>
      </c>
      <c r="V127" s="5">
        <f>IFERROR(H127/G127,0)</f>
        <v/>
      </c>
      <c r="W127" s="5">
        <f>T127*U127*V127</f>
        <v/>
      </c>
      <c r="X127" s="5">
        <f>IFERROR(I127/G127,0)</f>
        <v/>
      </c>
      <c r="Y127" s="6">
        <f>IFERROR(G127/M127,0)</f>
        <v/>
      </c>
      <c r="Z127" s="6">
        <f>IFERROR(O127/G127,0)</f>
        <v/>
      </c>
      <c r="AA127" s="2">
        <f>IF(L127="None","No Maintenance",IF(L127="Preventive","Planned","Breakdown"))</f>
        <v/>
      </c>
    </row>
    <row r="128">
      <c r="A128" s="2" t="n">
        <v>124</v>
      </c>
      <c r="B128" s="4" t="n">
        <v>46064</v>
      </c>
      <c r="C128" s="2" t="inlineStr">
        <is>
          <t>Day</t>
        </is>
      </c>
      <c r="D128" s="2" t="inlineStr">
        <is>
          <t>Line 2</t>
        </is>
      </c>
      <c r="E128" s="2" t="inlineStr">
        <is>
          <t>Classic Chips</t>
        </is>
      </c>
      <c r="F128" s="2" t="n">
        <v>977</v>
      </c>
      <c r="G128" s="2" t="n">
        <v>857.1</v>
      </c>
      <c r="H128" s="2" t="n">
        <v>848.7</v>
      </c>
      <c r="I128" s="2" t="n">
        <v>8.4</v>
      </c>
      <c r="J128" s="2" t="n">
        <v>0.11</v>
      </c>
      <c r="K128" s="2" t="inlineStr">
        <is>
          <t>No Downtime</t>
        </is>
      </c>
      <c r="L128" s="2" t="inlineStr">
        <is>
          <t>None</t>
        </is>
      </c>
      <c r="M128" s="2" t="n">
        <v>1721</v>
      </c>
      <c r="N128" s="2" t="n">
        <v>280</v>
      </c>
      <c r="O128" s="2" t="n">
        <v>95935.10000000001</v>
      </c>
      <c r="P128" s="2" t="n">
        <v>180.7</v>
      </c>
      <c r="Q128" s="2" t="n">
        <v>1.74</v>
      </c>
      <c r="R128" s="2" t="n">
        <v>0</v>
      </c>
      <c r="S128" s="5">
        <f>G128/F128</f>
        <v/>
      </c>
      <c r="T128" s="5">
        <f>MAX(0,1-J128/8)</f>
        <v/>
      </c>
      <c r="U128" s="5">
        <f>IFERROR(G128/(F128*T128),0)</f>
        <v/>
      </c>
      <c r="V128" s="5">
        <f>IFERROR(H128/G128,0)</f>
        <v/>
      </c>
      <c r="W128" s="5">
        <f>T128*U128*V128</f>
        <v/>
      </c>
      <c r="X128" s="5">
        <f>IFERROR(I128/G128,0)</f>
        <v/>
      </c>
      <c r="Y128" s="6">
        <f>IFERROR(G128/M128,0)</f>
        <v/>
      </c>
      <c r="Z128" s="6">
        <f>IFERROR(O128/G128,0)</f>
        <v/>
      </c>
      <c r="AA128" s="2">
        <f>IF(L128="None","No Maintenance",IF(L128="Preventive","Planned","Breakdown"))</f>
        <v/>
      </c>
    </row>
    <row r="129">
      <c r="A129" s="2" t="n">
        <v>125</v>
      </c>
      <c r="B129" s="4" t="n">
        <v>46064</v>
      </c>
      <c r="C129" s="2" t="inlineStr">
        <is>
          <t>Evening</t>
        </is>
      </c>
      <c r="D129" s="2" t="inlineStr">
        <is>
          <t>Line 1</t>
        </is>
      </c>
      <c r="E129" s="2" t="inlineStr">
        <is>
          <t>Classic Chips</t>
        </is>
      </c>
      <c r="F129" s="2" t="n">
        <v>934</v>
      </c>
      <c r="G129" s="2" t="n">
        <v>580.3</v>
      </c>
      <c r="H129" s="2" t="n">
        <v>573.3</v>
      </c>
      <c r="I129" s="2" t="n">
        <v>7</v>
      </c>
      <c r="J129" s="2" t="n">
        <v>2.77</v>
      </c>
      <c r="K129" s="2" t="inlineStr">
        <is>
          <t>Packaging Machine</t>
        </is>
      </c>
      <c r="L129" s="2" t="inlineStr">
        <is>
          <t>Corrective</t>
        </is>
      </c>
      <c r="M129" s="2" t="n">
        <v>1197.3</v>
      </c>
      <c r="N129" s="2" t="n">
        <v>193.3</v>
      </c>
      <c r="O129" s="2" t="n">
        <v>65214.8</v>
      </c>
      <c r="P129" s="2" t="n">
        <v>173.3</v>
      </c>
      <c r="Q129" s="2" t="n">
        <v>1.45</v>
      </c>
      <c r="R129" s="2" t="n">
        <v>383.09</v>
      </c>
      <c r="S129" s="5">
        <f>G129/F129</f>
        <v/>
      </c>
      <c r="T129" s="5">
        <f>MAX(0,1-J129/8)</f>
        <v/>
      </c>
      <c r="U129" s="5">
        <f>IFERROR(G129/(F129*T129),0)</f>
        <v/>
      </c>
      <c r="V129" s="5">
        <f>IFERROR(H129/G129,0)</f>
        <v/>
      </c>
      <c r="W129" s="5">
        <f>T129*U129*V129</f>
        <v/>
      </c>
      <c r="X129" s="5">
        <f>IFERROR(I129/G129,0)</f>
        <v/>
      </c>
      <c r="Y129" s="6">
        <f>IFERROR(G129/M129,0)</f>
        <v/>
      </c>
      <c r="Z129" s="6">
        <f>IFERROR(O129/G129,0)</f>
        <v/>
      </c>
      <c r="AA129" s="2">
        <f>IF(L129="None","No Maintenance",IF(L129="Preventive","Planned","Breakdown"))</f>
        <v/>
      </c>
    </row>
    <row r="130">
      <c r="A130" s="2" t="n">
        <v>126</v>
      </c>
      <c r="B130" s="4" t="n">
        <v>46064</v>
      </c>
      <c r="C130" s="2" t="inlineStr">
        <is>
          <t>Night</t>
        </is>
      </c>
      <c r="D130" s="2" t="inlineStr">
        <is>
          <t>Line 2</t>
        </is>
      </c>
      <c r="E130" s="2" t="inlineStr">
        <is>
          <t>Classic Chips</t>
        </is>
      </c>
      <c r="F130" s="2" t="n">
        <v>946</v>
      </c>
      <c r="G130" s="2" t="n">
        <v>751.7</v>
      </c>
      <c r="H130" s="2" t="n">
        <v>730.5</v>
      </c>
      <c r="I130" s="2" t="n">
        <v>21.2</v>
      </c>
      <c r="J130" s="2" t="n">
        <v>0.14</v>
      </c>
      <c r="K130" s="2" t="inlineStr">
        <is>
          <t>No Downtime</t>
        </is>
      </c>
      <c r="L130" s="2" t="inlineStr">
        <is>
          <t>None</t>
        </is>
      </c>
      <c r="M130" s="2" t="n">
        <v>1569.8</v>
      </c>
      <c r="N130" s="2" t="n">
        <v>266.3</v>
      </c>
      <c r="O130" s="2" t="n">
        <v>82843.3</v>
      </c>
      <c r="P130" s="2" t="n">
        <v>175.9</v>
      </c>
      <c r="Q130" s="2" t="n">
        <v>1.9</v>
      </c>
      <c r="R130" s="2" t="n">
        <v>0</v>
      </c>
      <c r="S130" s="5">
        <f>G130/F130</f>
        <v/>
      </c>
      <c r="T130" s="5">
        <f>MAX(0,1-J130/8)</f>
        <v/>
      </c>
      <c r="U130" s="5">
        <f>IFERROR(G130/(F130*T130),0)</f>
        <v/>
      </c>
      <c r="V130" s="5">
        <f>IFERROR(H130/G130,0)</f>
        <v/>
      </c>
      <c r="W130" s="5">
        <f>T130*U130*V130</f>
        <v/>
      </c>
      <c r="X130" s="5">
        <f>IFERROR(I130/G130,0)</f>
        <v/>
      </c>
      <c r="Y130" s="6">
        <f>IFERROR(G130/M130,0)</f>
        <v/>
      </c>
      <c r="Z130" s="6">
        <f>IFERROR(O130/G130,0)</f>
        <v/>
      </c>
      <c r="AA130" s="2">
        <f>IF(L130="None","No Maintenance",IF(L130="Preventive","Planned","Breakdown"))</f>
        <v/>
      </c>
    </row>
    <row r="131">
      <c r="A131" s="2" t="n">
        <v>127</v>
      </c>
      <c r="B131" s="4" t="n">
        <v>46065</v>
      </c>
      <c r="C131" s="2" t="inlineStr">
        <is>
          <t>Day</t>
        </is>
      </c>
      <c r="D131" s="2" t="inlineStr">
        <is>
          <t>Line 1</t>
        </is>
      </c>
      <c r="E131" s="2" t="inlineStr">
        <is>
          <t>Paprika Chips</t>
        </is>
      </c>
      <c r="F131" s="2" t="n">
        <v>946</v>
      </c>
      <c r="G131" s="2" t="n">
        <v>717.4</v>
      </c>
      <c r="H131" s="2" t="n">
        <v>710.6</v>
      </c>
      <c r="I131" s="2" t="n">
        <v>6.9</v>
      </c>
      <c r="J131" s="2" t="n">
        <v>2.14</v>
      </c>
      <c r="K131" s="2" t="inlineStr">
        <is>
          <t>Conveyor Jam</t>
        </is>
      </c>
      <c r="L131" s="2" t="inlineStr">
        <is>
          <t>Corrective</t>
        </is>
      </c>
      <c r="M131" s="2" t="n">
        <v>1462.7</v>
      </c>
      <c r="N131" s="2" t="n">
        <v>241.3</v>
      </c>
      <c r="O131" s="2" t="n">
        <v>79952.60000000001</v>
      </c>
      <c r="P131" s="2" t="n">
        <v>180.7</v>
      </c>
      <c r="Q131" s="2" t="n">
        <v>1.75</v>
      </c>
      <c r="R131" s="2" t="n">
        <v>577.55</v>
      </c>
      <c r="S131" s="5">
        <f>G131/F131</f>
        <v/>
      </c>
      <c r="T131" s="5">
        <f>MAX(0,1-J131/8)</f>
        <v/>
      </c>
      <c r="U131" s="5">
        <f>IFERROR(G131/(F131*T131),0)</f>
        <v/>
      </c>
      <c r="V131" s="5">
        <f>IFERROR(H131/G131,0)</f>
        <v/>
      </c>
      <c r="W131" s="5">
        <f>T131*U131*V131</f>
        <v/>
      </c>
      <c r="X131" s="5">
        <f>IFERROR(I131/G131,0)</f>
        <v/>
      </c>
      <c r="Y131" s="6">
        <f>IFERROR(G131/M131,0)</f>
        <v/>
      </c>
      <c r="Z131" s="6">
        <f>IFERROR(O131/G131,0)</f>
        <v/>
      </c>
      <c r="AA131" s="2">
        <f>IF(L131="None","No Maintenance",IF(L131="Preventive","Planned","Breakdown"))</f>
        <v/>
      </c>
    </row>
    <row r="132">
      <c r="A132" s="2" t="n">
        <v>128</v>
      </c>
      <c r="B132" s="4" t="n">
        <v>46065</v>
      </c>
      <c r="C132" s="2" t="inlineStr">
        <is>
          <t>Evening</t>
        </is>
      </c>
      <c r="D132" s="2" t="inlineStr">
        <is>
          <t>Line 2</t>
        </is>
      </c>
      <c r="E132" s="2" t="inlineStr">
        <is>
          <t>Paprika Chips</t>
        </is>
      </c>
      <c r="F132" s="2" t="n">
        <v>1004</v>
      </c>
      <c r="G132" s="2" t="n">
        <v>637.2</v>
      </c>
      <c r="H132" s="2" t="n">
        <v>628.2</v>
      </c>
      <c r="I132" s="2" t="n">
        <v>9</v>
      </c>
      <c r="J132" s="2" t="n">
        <v>2.87</v>
      </c>
      <c r="K132" s="2" t="inlineStr">
        <is>
          <t>Quality Hold</t>
        </is>
      </c>
      <c r="L132" s="2" t="inlineStr">
        <is>
          <t>Corrective</t>
        </is>
      </c>
      <c r="M132" s="2" t="n">
        <v>1324.1</v>
      </c>
      <c r="N132" s="2" t="n">
        <v>193.4</v>
      </c>
      <c r="O132" s="2" t="n">
        <v>77912.60000000001</v>
      </c>
      <c r="P132" s="2" t="n">
        <v>175.9</v>
      </c>
      <c r="Q132" s="2" t="n">
        <v>1.78</v>
      </c>
      <c r="R132" s="2" t="n">
        <v>744.8200000000001</v>
      </c>
      <c r="S132" s="5">
        <f>G132/F132</f>
        <v/>
      </c>
      <c r="T132" s="5">
        <f>MAX(0,1-J132/8)</f>
        <v/>
      </c>
      <c r="U132" s="5">
        <f>IFERROR(G132/(F132*T132),0)</f>
        <v/>
      </c>
      <c r="V132" s="5">
        <f>IFERROR(H132/G132,0)</f>
        <v/>
      </c>
      <c r="W132" s="5">
        <f>T132*U132*V132</f>
        <v/>
      </c>
      <c r="X132" s="5">
        <f>IFERROR(I132/G132,0)</f>
        <v/>
      </c>
      <c r="Y132" s="6">
        <f>IFERROR(G132/M132,0)</f>
        <v/>
      </c>
      <c r="Z132" s="6">
        <f>IFERROR(O132/G132,0)</f>
        <v/>
      </c>
      <c r="AA132" s="2">
        <f>IF(L132="None","No Maintenance",IF(L132="Preventive","Planned","Breakdown"))</f>
        <v/>
      </c>
    </row>
    <row r="133">
      <c r="A133" s="2" t="n">
        <v>129</v>
      </c>
      <c r="B133" s="4" t="n">
        <v>46065</v>
      </c>
      <c r="C133" s="2" t="inlineStr">
        <is>
          <t>Night</t>
        </is>
      </c>
      <c r="D133" s="2" t="inlineStr">
        <is>
          <t>Line 2</t>
        </is>
      </c>
      <c r="E133" s="2" t="inlineStr">
        <is>
          <t>Classic Chips</t>
        </is>
      </c>
      <c r="F133" s="2" t="n">
        <v>930</v>
      </c>
      <c r="G133" s="2" t="n">
        <v>581.7</v>
      </c>
      <c r="H133" s="2" t="n">
        <v>570.5</v>
      </c>
      <c r="I133" s="2" t="n">
        <v>11.2</v>
      </c>
      <c r="J133" s="2" t="n">
        <v>3.67</v>
      </c>
      <c r="K133" s="2" t="inlineStr">
        <is>
          <t>Fryer Temperature</t>
        </is>
      </c>
      <c r="L133" s="2" t="inlineStr">
        <is>
          <t>Emergency</t>
        </is>
      </c>
      <c r="M133" s="2" t="n">
        <v>1224</v>
      </c>
      <c r="N133" s="2" t="n">
        <v>180.1</v>
      </c>
      <c r="O133" s="2" t="n">
        <v>63366.6</v>
      </c>
      <c r="P133" s="2" t="n">
        <v>186.5</v>
      </c>
      <c r="Q133" s="2" t="n">
        <v>1.66</v>
      </c>
      <c r="R133" s="2" t="n">
        <v>1431.37</v>
      </c>
      <c r="S133" s="5">
        <f>G133/F133</f>
        <v/>
      </c>
      <c r="T133" s="5">
        <f>MAX(0,1-J133/8)</f>
        <v/>
      </c>
      <c r="U133" s="5">
        <f>IFERROR(G133/(F133*T133),0)</f>
        <v/>
      </c>
      <c r="V133" s="5">
        <f>IFERROR(H133/G133,0)</f>
        <v/>
      </c>
      <c r="W133" s="5">
        <f>T133*U133*V133</f>
        <v/>
      </c>
      <c r="X133" s="5">
        <f>IFERROR(I133/G133,0)</f>
        <v/>
      </c>
      <c r="Y133" s="6">
        <f>IFERROR(G133/M133,0)</f>
        <v/>
      </c>
      <c r="Z133" s="6">
        <f>IFERROR(O133/G133,0)</f>
        <v/>
      </c>
      <c r="AA133" s="2">
        <f>IF(L133="None","No Maintenance",IF(L133="Preventive","Planned","Breakdown"))</f>
        <v/>
      </c>
    </row>
    <row r="134">
      <c r="A134" s="2" t="n">
        <v>130</v>
      </c>
      <c r="B134" s="4" t="n">
        <v>46066</v>
      </c>
      <c r="C134" s="2" t="inlineStr">
        <is>
          <t>Day</t>
        </is>
      </c>
      <c r="D134" s="2" t="inlineStr">
        <is>
          <t>Line 1</t>
        </is>
      </c>
      <c r="E134" s="2" t="inlineStr">
        <is>
          <t>Paprika Chips</t>
        </is>
      </c>
      <c r="F134" s="2" t="n">
        <v>952</v>
      </c>
      <c r="G134" s="2" t="n">
        <v>663.2</v>
      </c>
      <c r="H134" s="2" t="n">
        <v>651.7</v>
      </c>
      <c r="I134" s="2" t="n">
        <v>11.5</v>
      </c>
      <c r="J134" s="2" t="n">
        <v>2.32</v>
      </c>
      <c r="K134" s="2" t="inlineStr">
        <is>
          <t>Quality Hold</t>
        </is>
      </c>
      <c r="L134" s="2" t="inlineStr">
        <is>
          <t>Corrective</t>
        </is>
      </c>
      <c r="M134" s="2" t="n">
        <v>1408.7</v>
      </c>
      <c r="N134" s="2" t="n">
        <v>216.6</v>
      </c>
      <c r="O134" s="2" t="n">
        <v>86521.7</v>
      </c>
      <c r="P134" s="2" t="n">
        <v>178.4</v>
      </c>
      <c r="Q134" s="2" t="n">
        <v>1.55</v>
      </c>
      <c r="R134" s="2" t="n">
        <v>370.42</v>
      </c>
      <c r="S134" s="5">
        <f>G134/F134</f>
        <v/>
      </c>
      <c r="T134" s="5">
        <f>MAX(0,1-J134/8)</f>
        <v/>
      </c>
      <c r="U134" s="5">
        <f>IFERROR(G134/(F134*T134),0)</f>
        <v/>
      </c>
      <c r="V134" s="5">
        <f>IFERROR(H134/G134,0)</f>
        <v/>
      </c>
      <c r="W134" s="5">
        <f>T134*U134*V134</f>
        <v/>
      </c>
      <c r="X134" s="5">
        <f>IFERROR(I134/G134,0)</f>
        <v/>
      </c>
      <c r="Y134" s="6">
        <f>IFERROR(G134/M134,0)</f>
        <v/>
      </c>
      <c r="Z134" s="6">
        <f>IFERROR(O134/G134,0)</f>
        <v/>
      </c>
      <c r="AA134" s="2">
        <f>IF(L134="None","No Maintenance",IF(L134="Preventive","Planned","Breakdown"))</f>
        <v/>
      </c>
    </row>
    <row r="135">
      <c r="A135" s="2" t="n">
        <v>131</v>
      </c>
      <c r="B135" s="4" t="n">
        <v>46066</v>
      </c>
      <c r="C135" s="2" t="inlineStr">
        <is>
          <t>Evening</t>
        </is>
      </c>
      <c r="D135" s="2" t="inlineStr">
        <is>
          <t>Line 1</t>
        </is>
      </c>
      <c r="E135" s="2" t="inlineStr">
        <is>
          <t>Classic Chips</t>
        </is>
      </c>
      <c r="F135" s="2" t="n">
        <v>1020</v>
      </c>
      <c r="G135" s="2" t="n">
        <v>620.6</v>
      </c>
      <c r="H135" s="2" t="n">
        <v>617.7</v>
      </c>
      <c r="I135" s="2" t="n">
        <v>2.9</v>
      </c>
      <c r="J135" s="2" t="n">
        <v>4.32</v>
      </c>
      <c r="K135" s="2" t="inlineStr">
        <is>
          <t>Planned Maintenance</t>
        </is>
      </c>
      <c r="L135" s="2" t="inlineStr">
        <is>
          <t>Preventive</t>
        </is>
      </c>
      <c r="M135" s="2" t="n">
        <v>1289.9</v>
      </c>
      <c r="N135" s="2" t="n">
        <v>203</v>
      </c>
      <c r="O135" s="2" t="n">
        <v>72887.89999999999</v>
      </c>
      <c r="P135" s="2" t="n">
        <v>183.7</v>
      </c>
      <c r="Q135" s="2" t="n">
        <v>1.7</v>
      </c>
      <c r="R135" s="2" t="n">
        <v>151.24</v>
      </c>
      <c r="S135" s="5">
        <f>G135/F135</f>
        <v/>
      </c>
      <c r="T135" s="5">
        <f>MAX(0,1-J135/8)</f>
        <v/>
      </c>
      <c r="U135" s="5">
        <f>IFERROR(G135/(F135*T135),0)</f>
        <v/>
      </c>
      <c r="V135" s="5">
        <f>IFERROR(H135/G135,0)</f>
        <v/>
      </c>
      <c r="W135" s="5">
        <f>T135*U135*V135</f>
        <v/>
      </c>
      <c r="X135" s="5">
        <f>IFERROR(I135/G135,0)</f>
        <v/>
      </c>
      <c r="Y135" s="6">
        <f>IFERROR(G135/M135,0)</f>
        <v/>
      </c>
      <c r="Z135" s="6">
        <f>IFERROR(O135/G135,0)</f>
        <v/>
      </c>
      <c r="AA135" s="2">
        <f>IF(L135="None","No Maintenance",IF(L135="Preventive","Planned","Breakdown"))</f>
        <v/>
      </c>
    </row>
    <row r="136">
      <c r="A136" s="2" t="n">
        <v>132</v>
      </c>
      <c r="B136" s="4" t="n">
        <v>46066</v>
      </c>
      <c r="C136" s="2" t="inlineStr">
        <is>
          <t>Night</t>
        </is>
      </c>
      <c r="D136" s="2" t="inlineStr">
        <is>
          <t>Line 2</t>
        </is>
      </c>
      <c r="E136" s="2" t="inlineStr">
        <is>
          <t>Classic Chips</t>
        </is>
      </c>
      <c r="F136" s="2" t="n">
        <v>1039</v>
      </c>
      <c r="G136" s="2" t="n">
        <v>592.9</v>
      </c>
      <c r="H136" s="2" t="n">
        <v>585.9</v>
      </c>
      <c r="I136" s="2" t="n">
        <v>7.1</v>
      </c>
      <c r="J136" s="2" t="n">
        <v>3.73</v>
      </c>
      <c r="K136" s="2" t="inlineStr">
        <is>
          <t>Planned Maintenance</t>
        </is>
      </c>
      <c r="L136" s="2" t="inlineStr">
        <is>
          <t>Preventive</t>
        </is>
      </c>
      <c r="M136" s="2" t="n">
        <v>1223</v>
      </c>
      <c r="N136" s="2" t="n">
        <v>195.6</v>
      </c>
      <c r="O136" s="2" t="n">
        <v>67913.39999999999</v>
      </c>
      <c r="P136" s="2" t="n">
        <v>164.9</v>
      </c>
      <c r="Q136" s="2" t="n">
        <v>1.7</v>
      </c>
      <c r="R136" s="2" t="n">
        <v>123.39</v>
      </c>
      <c r="S136" s="5">
        <f>G136/F136</f>
        <v/>
      </c>
      <c r="T136" s="5">
        <f>MAX(0,1-J136/8)</f>
        <v/>
      </c>
      <c r="U136" s="5">
        <f>IFERROR(G136/(F136*T136),0)</f>
        <v/>
      </c>
      <c r="V136" s="5">
        <f>IFERROR(H136/G136,0)</f>
        <v/>
      </c>
      <c r="W136" s="5">
        <f>T136*U136*V136</f>
        <v/>
      </c>
      <c r="X136" s="5">
        <f>IFERROR(I136/G136,0)</f>
        <v/>
      </c>
      <c r="Y136" s="6">
        <f>IFERROR(G136/M136,0)</f>
        <v/>
      </c>
      <c r="Z136" s="6">
        <f>IFERROR(O136/G136,0)</f>
        <v/>
      </c>
      <c r="AA136" s="2">
        <f>IF(L136="None","No Maintenance",IF(L136="Preventive","Planned","Breakdown"))</f>
        <v/>
      </c>
    </row>
    <row r="137">
      <c r="A137" s="2" t="n">
        <v>133</v>
      </c>
      <c r="B137" s="4" t="n">
        <v>46067</v>
      </c>
      <c r="C137" s="2" t="inlineStr">
        <is>
          <t>Day</t>
        </is>
      </c>
      <c r="D137" s="2" t="inlineStr">
        <is>
          <t>Line 1</t>
        </is>
      </c>
      <c r="E137" s="2" t="inlineStr">
        <is>
          <t>Salt &amp; Vinegar</t>
        </is>
      </c>
      <c r="F137" s="2" t="n">
        <v>1046</v>
      </c>
      <c r="G137" s="2" t="n">
        <v>943.5</v>
      </c>
      <c r="H137" s="2" t="n">
        <v>929.6</v>
      </c>
      <c r="I137" s="2" t="n">
        <v>13.9</v>
      </c>
      <c r="J137" s="2" t="n">
        <v>0.33</v>
      </c>
      <c r="K137" s="2" t="inlineStr">
        <is>
          <t>No Downtime</t>
        </is>
      </c>
      <c r="L137" s="2" t="inlineStr">
        <is>
          <t>None</t>
        </is>
      </c>
      <c r="M137" s="2" t="n">
        <v>1889.9</v>
      </c>
      <c r="N137" s="2" t="n">
        <v>309.6</v>
      </c>
      <c r="O137" s="2" t="n">
        <v>116093.3</v>
      </c>
      <c r="P137" s="2" t="n">
        <v>173.3</v>
      </c>
      <c r="Q137" s="2" t="n">
        <v>1.9</v>
      </c>
      <c r="R137" s="2" t="n">
        <v>0</v>
      </c>
      <c r="S137" s="5">
        <f>G137/F137</f>
        <v/>
      </c>
      <c r="T137" s="5">
        <f>MAX(0,1-J137/8)</f>
        <v/>
      </c>
      <c r="U137" s="5">
        <f>IFERROR(G137/(F137*T137),0)</f>
        <v/>
      </c>
      <c r="V137" s="5">
        <f>IFERROR(H137/G137,0)</f>
        <v/>
      </c>
      <c r="W137" s="5">
        <f>T137*U137*V137</f>
        <v/>
      </c>
      <c r="X137" s="5">
        <f>IFERROR(I137/G137,0)</f>
        <v/>
      </c>
      <c r="Y137" s="6">
        <f>IFERROR(G137/M137,0)</f>
        <v/>
      </c>
      <c r="Z137" s="6">
        <f>IFERROR(O137/G137,0)</f>
        <v/>
      </c>
      <c r="AA137" s="2">
        <f>IF(L137="None","No Maintenance",IF(L137="Preventive","Planned","Breakdown"))</f>
        <v/>
      </c>
    </row>
    <row r="138">
      <c r="A138" s="2" t="n">
        <v>134</v>
      </c>
      <c r="B138" s="4" t="n">
        <v>46067</v>
      </c>
      <c r="C138" s="2" t="inlineStr">
        <is>
          <t>Evening</t>
        </is>
      </c>
      <c r="D138" s="2" t="inlineStr">
        <is>
          <t>Line 1</t>
        </is>
      </c>
      <c r="E138" s="2" t="inlineStr">
        <is>
          <t>Classic Chips</t>
        </is>
      </c>
      <c r="F138" s="2" t="n">
        <v>1035</v>
      </c>
      <c r="G138" s="2" t="n">
        <v>794.6</v>
      </c>
      <c r="H138" s="2" t="n">
        <v>783.4</v>
      </c>
      <c r="I138" s="2" t="n">
        <v>11.2</v>
      </c>
      <c r="J138" s="2" t="n">
        <v>1.36</v>
      </c>
      <c r="K138" s="2" t="inlineStr">
        <is>
          <t>Conveyor Jam</t>
        </is>
      </c>
      <c r="L138" s="2" t="inlineStr">
        <is>
          <t>Emergency</t>
        </is>
      </c>
      <c r="M138" s="2" t="n">
        <v>1637.6</v>
      </c>
      <c r="N138" s="2" t="n">
        <v>268</v>
      </c>
      <c r="O138" s="2" t="n">
        <v>95265.2</v>
      </c>
      <c r="P138" s="2" t="n">
        <v>182.3</v>
      </c>
      <c r="Q138" s="2" t="n">
        <v>1.46</v>
      </c>
      <c r="R138" s="2" t="n">
        <v>1049.48</v>
      </c>
      <c r="S138" s="5">
        <f>G138/F138</f>
        <v/>
      </c>
      <c r="T138" s="5">
        <f>MAX(0,1-J138/8)</f>
        <v/>
      </c>
      <c r="U138" s="5">
        <f>IFERROR(G138/(F138*T138),0)</f>
        <v/>
      </c>
      <c r="V138" s="5">
        <f>IFERROR(H138/G138,0)</f>
        <v/>
      </c>
      <c r="W138" s="5">
        <f>T138*U138*V138</f>
        <v/>
      </c>
      <c r="X138" s="5">
        <f>IFERROR(I138/G138,0)</f>
        <v/>
      </c>
      <c r="Y138" s="6">
        <f>IFERROR(G138/M138,0)</f>
        <v/>
      </c>
      <c r="Z138" s="6">
        <f>IFERROR(O138/G138,0)</f>
        <v/>
      </c>
      <c r="AA138" s="2">
        <f>IF(L138="None","No Maintenance",IF(L138="Preventive","Planned","Breakdown"))</f>
        <v/>
      </c>
    </row>
    <row r="139">
      <c r="A139" s="2" t="n">
        <v>135</v>
      </c>
      <c r="B139" s="4" t="n">
        <v>46067</v>
      </c>
      <c r="C139" s="2" t="inlineStr">
        <is>
          <t>Night</t>
        </is>
      </c>
      <c r="D139" s="2" t="inlineStr">
        <is>
          <t>Line 1</t>
        </is>
      </c>
      <c r="E139" s="2" t="inlineStr">
        <is>
          <t>Classic Chips</t>
        </is>
      </c>
      <c r="F139" s="2" t="n">
        <v>915</v>
      </c>
      <c r="G139" s="2" t="n">
        <v>856.3</v>
      </c>
      <c r="H139" s="2" t="n">
        <v>845.2</v>
      </c>
      <c r="I139" s="2" t="n">
        <v>11.1</v>
      </c>
      <c r="J139" s="2" t="n">
        <v>0.15</v>
      </c>
      <c r="K139" s="2" t="inlineStr">
        <is>
          <t>No Downtime</t>
        </is>
      </c>
      <c r="L139" s="2" t="inlineStr">
        <is>
          <t>None</t>
        </is>
      </c>
      <c r="M139" s="2" t="n">
        <v>1720.5</v>
      </c>
      <c r="N139" s="2" t="n">
        <v>292.1</v>
      </c>
      <c r="O139" s="2" t="n">
        <v>112703.5</v>
      </c>
      <c r="P139" s="2" t="n">
        <v>177.8</v>
      </c>
      <c r="Q139" s="2" t="n">
        <v>1.58</v>
      </c>
      <c r="R139" s="2" t="n">
        <v>0</v>
      </c>
      <c r="S139" s="5">
        <f>G139/F139</f>
        <v/>
      </c>
      <c r="T139" s="5">
        <f>MAX(0,1-J139/8)</f>
        <v/>
      </c>
      <c r="U139" s="5">
        <f>IFERROR(G139/(F139*T139),0)</f>
        <v/>
      </c>
      <c r="V139" s="5">
        <f>IFERROR(H139/G139,0)</f>
        <v/>
      </c>
      <c r="W139" s="5">
        <f>T139*U139*V139</f>
        <v/>
      </c>
      <c r="X139" s="5">
        <f>IFERROR(I139/G139,0)</f>
        <v/>
      </c>
      <c r="Y139" s="6">
        <f>IFERROR(G139/M139,0)</f>
        <v/>
      </c>
      <c r="Z139" s="6">
        <f>IFERROR(O139/G139,0)</f>
        <v/>
      </c>
      <c r="AA139" s="2">
        <f>IF(L139="None","No Maintenance",IF(L139="Preventive","Planned","Breakdown"))</f>
        <v/>
      </c>
    </row>
    <row r="140">
      <c r="A140" s="2" t="n">
        <v>136</v>
      </c>
      <c r="B140" s="4" t="n">
        <v>46068</v>
      </c>
      <c r="C140" s="2" t="inlineStr">
        <is>
          <t>Day</t>
        </is>
      </c>
      <c r="D140" s="2" t="inlineStr">
        <is>
          <t>Line 2</t>
        </is>
      </c>
      <c r="E140" s="2" t="inlineStr">
        <is>
          <t>Classic Chips</t>
        </is>
      </c>
      <c r="F140" s="2" t="n">
        <v>965</v>
      </c>
      <c r="G140" s="2" t="n">
        <v>639.3</v>
      </c>
      <c r="H140" s="2" t="n">
        <v>633.1</v>
      </c>
      <c r="I140" s="2" t="n">
        <v>6.2</v>
      </c>
      <c r="J140" s="2" t="n">
        <v>2.84</v>
      </c>
      <c r="K140" s="2" t="inlineStr">
        <is>
          <t>Conveyor Jam</t>
        </is>
      </c>
      <c r="L140" s="2" t="inlineStr">
        <is>
          <t>Corrective</t>
        </is>
      </c>
      <c r="M140" s="2" t="n">
        <v>1316.5</v>
      </c>
      <c r="N140" s="2" t="n">
        <v>180.4</v>
      </c>
      <c r="O140" s="2" t="n">
        <v>74537</v>
      </c>
      <c r="P140" s="2" t="n">
        <v>173.3</v>
      </c>
      <c r="Q140" s="2" t="n">
        <v>1.73</v>
      </c>
      <c r="R140" s="2" t="n">
        <v>347.9</v>
      </c>
      <c r="S140" s="5">
        <f>G140/F140</f>
        <v/>
      </c>
      <c r="T140" s="5">
        <f>MAX(0,1-J140/8)</f>
        <v/>
      </c>
      <c r="U140" s="5">
        <f>IFERROR(G140/(F140*T140),0)</f>
        <v/>
      </c>
      <c r="V140" s="5">
        <f>IFERROR(H140/G140,0)</f>
        <v/>
      </c>
      <c r="W140" s="5">
        <f>T140*U140*V140</f>
        <v/>
      </c>
      <c r="X140" s="5">
        <f>IFERROR(I140/G140,0)</f>
        <v/>
      </c>
      <c r="Y140" s="6">
        <f>IFERROR(G140/M140,0)</f>
        <v/>
      </c>
      <c r="Z140" s="6">
        <f>IFERROR(O140/G140,0)</f>
        <v/>
      </c>
      <c r="AA140" s="2">
        <f>IF(L140="None","No Maintenance",IF(L140="Preventive","Planned","Breakdown"))</f>
        <v/>
      </c>
    </row>
    <row r="141">
      <c r="A141" s="2" t="n">
        <v>137</v>
      </c>
      <c r="B141" s="4" t="n">
        <v>46068</v>
      </c>
      <c r="C141" s="2" t="inlineStr">
        <is>
          <t>Evening</t>
        </is>
      </c>
      <c r="D141" s="2" t="inlineStr">
        <is>
          <t>Line 2</t>
        </is>
      </c>
      <c r="E141" s="2" t="inlineStr">
        <is>
          <t>Classic Chips</t>
        </is>
      </c>
      <c r="F141" s="2" t="n">
        <v>1027</v>
      </c>
      <c r="G141" s="2" t="n">
        <v>902.4</v>
      </c>
      <c r="H141" s="2" t="n">
        <v>890.5</v>
      </c>
      <c r="I141" s="2" t="n">
        <v>11.9</v>
      </c>
      <c r="J141" s="2" t="n">
        <v>0.35</v>
      </c>
      <c r="K141" s="2" t="inlineStr">
        <is>
          <t>No Downtime</t>
        </is>
      </c>
      <c r="L141" s="2" t="inlineStr">
        <is>
          <t>None</t>
        </is>
      </c>
      <c r="M141" s="2" t="n">
        <v>1864.7</v>
      </c>
      <c r="N141" s="2" t="n">
        <v>276.1</v>
      </c>
      <c r="O141" s="2" t="n">
        <v>107406.3</v>
      </c>
      <c r="P141" s="2" t="n">
        <v>171.7</v>
      </c>
      <c r="Q141" s="2" t="n">
        <v>1.63</v>
      </c>
      <c r="R141" s="2" t="n">
        <v>0</v>
      </c>
      <c r="S141" s="5">
        <f>G141/F141</f>
        <v/>
      </c>
      <c r="T141" s="5">
        <f>MAX(0,1-J141/8)</f>
        <v/>
      </c>
      <c r="U141" s="5">
        <f>IFERROR(G141/(F141*T141),0)</f>
        <v/>
      </c>
      <c r="V141" s="5">
        <f>IFERROR(H141/G141,0)</f>
        <v/>
      </c>
      <c r="W141" s="5">
        <f>T141*U141*V141</f>
        <v/>
      </c>
      <c r="X141" s="5">
        <f>IFERROR(I141/G141,0)</f>
        <v/>
      </c>
      <c r="Y141" s="6">
        <f>IFERROR(G141/M141,0)</f>
        <v/>
      </c>
      <c r="Z141" s="6">
        <f>IFERROR(O141/G141,0)</f>
        <v/>
      </c>
      <c r="AA141" s="2">
        <f>IF(L141="None","No Maintenance",IF(L141="Preventive","Planned","Breakdown"))</f>
        <v/>
      </c>
    </row>
    <row r="142">
      <c r="A142" s="2" t="n">
        <v>138</v>
      </c>
      <c r="B142" s="4" t="n">
        <v>46068</v>
      </c>
      <c r="C142" s="2" t="inlineStr">
        <is>
          <t>Night</t>
        </is>
      </c>
      <c r="D142" s="2" t="inlineStr">
        <is>
          <t>Line 2</t>
        </is>
      </c>
      <c r="E142" s="2" t="inlineStr">
        <is>
          <t>Classic Chips</t>
        </is>
      </c>
      <c r="F142" s="2" t="n">
        <v>938</v>
      </c>
      <c r="G142" s="2" t="n">
        <v>544.4</v>
      </c>
      <c r="H142" s="2" t="n">
        <v>541</v>
      </c>
      <c r="I142" s="2" t="n">
        <v>3.4</v>
      </c>
      <c r="J142" s="2" t="n">
        <v>3.37</v>
      </c>
      <c r="K142" s="2" t="inlineStr">
        <is>
          <t>Conveyor Jam</t>
        </is>
      </c>
      <c r="L142" s="2" t="inlineStr">
        <is>
          <t>Corrective</t>
        </is>
      </c>
      <c r="M142" s="2" t="n">
        <v>1132.3</v>
      </c>
      <c r="N142" s="2" t="n">
        <v>170.7</v>
      </c>
      <c r="O142" s="2" t="n">
        <v>62881.3</v>
      </c>
      <c r="P142" s="2" t="n">
        <v>172.9</v>
      </c>
      <c r="Q142" s="2" t="n">
        <v>2.17</v>
      </c>
      <c r="R142" s="2" t="n">
        <v>798.77</v>
      </c>
      <c r="S142" s="5">
        <f>G142/F142</f>
        <v/>
      </c>
      <c r="T142" s="5">
        <f>MAX(0,1-J142/8)</f>
        <v/>
      </c>
      <c r="U142" s="5">
        <f>IFERROR(G142/(F142*T142),0)</f>
        <v/>
      </c>
      <c r="V142" s="5">
        <f>IFERROR(H142/G142,0)</f>
        <v/>
      </c>
      <c r="W142" s="5">
        <f>T142*U142*V142</f>
        <v/>
      </c>
      <c r="X142" s="5">
        <f>IFERROR(I142/G142,0)</f>
        <v/>
      </c>
      <c r="Y142" s="6">
        <f>IFERROR(G142/M142,0)</f>
        <v/>
      </c>
      <c r="Z142" s="6">
        <f>IFERROR(O142/G142,0)</f>
        <v/>
      </c>
      <c r="AA142" s="2">
        <f>IF(L142="None","No Maintenance",IF(L142="Preventive","Planned","Breakdown"))</f>
        <v/>
      </c>
    </row>
    <row r="143">
      <c r="A143" s="2" t="n">
        <v>139</v>
      </c>
      <c r="B143" s="4" t="n">
        <v>46069</v>
      </c>
      <c r="C143" s="2" t="inlineStr">
        <is>
          <t>Day</t>
        </is>
      </c>
      <c r="D143" s="2" t="inlineStr">
        <is>
          <t>Line 2</t>
        </is>
      </c>
      <c r="E143" s="2" t="inlineStr">
        <is>
          <t>Classic Chips</t>
        </is>
      </c>
      <c r="F143" s="2" t="n">
        <v>1024</v>
      </c>
      <c r="G143" s="2" t="n">
        <v>837</v>
      </c>
      <c r="H143" s="2" t="n">
        <v>829.7</v>
      </c>
      <c r="I143" s="2" t="n">
        <v>7.2</v>
      </c>
      <c r="J143" s="2" t="n">
        <v>0.52</v>
      </c>
      <c r="K143" s="2" t="inlineStr">
        <is>
          <t>Raw Material Shortage</t>
        </is>
      </c>
      <c r="L143" s="2" t="inlineStr">
        <is>
          <t>Corrective</t>
        </is>
      </c>
      <c r="M143" s="2" t="n">
        <v>1709</v>
      </c>
      <c r="N143" s="2" t="n">
        <v>240.5</v>
      </c>
      <c r="O143" s="2" t="n">
        <v>96822.5</v>
      </c>
      <c r="P143" s="2" t="n">
        <v>180.3</v>
      </c>
      <c r="Q143" s="2" t="n">
        <v>1.64</v>
      </c>
      <c r="R143" s="2" t="n">
        <v>353.02</v>
      </c>
      <c r="S143" s="5">
        <f>G143/F143</f>
        <v/>
      </c>
      <c r="T143" s="5">
        <f>MAX(0,1-J143/8)</f>
        <v/>
      </c>
      <c r="U143" s="5">
        <f>IFERROR(G143/(F143*T143),0)</f>
        <v/>
      </c>
      <c r="V143" s="5">
        <f>IFERROR(H143/G143,0)</f>
        <v/>
      </c>
      <c r="W143" s="5">
        <f>T143*U143*V143</f>
        <v/>
      </c>
      <c r="X143" s="5">
        <f>IFERROR(I143/G143,0)</f>
        <v/>
      </c>
      <c r="Y143" s="6">
        <f>IFERROR(G143/M143,0)</f>
        <v/>
      </c>
      <c r="Z143" s="6">
        <f>IFERROR(O143/G143,0)</f>
        <v/>
      </c>
      <c r="AA143" s="2">
        <f>IF(L143="None","No Maintenance",IF(L143="Preventive","Planned","Breakdown"))</f>
        <v/>
      </c>
    </row>
    <row r="144">
      <c r="A144" s="2" t="n">
        <v>140</v>
      </c>
      <c r="B144" s="4" t="n">
        <v>46069</v>
      </c>
      <c r="C144" s="2" t="inlineStr">
        <is>
          <t>Evening</t>
        </is>
      </c>
      <c r="D144" s="2" t="inlineStr">
        <is>
          <t>Line 2</t>
        </is>
      </c>
      <c r="E144" s="2" t="inlineStr">
        <is>
          <t>Paprika Chips</t>
        </is>
      </c>
      <c r="F144" s="2" t="n">
        <v>963</v>
      </c>
      <c r="G144" s="2" t="n">
        <v>644.5</v>
      </c>
      <c r="H144" s="2" t="n">
        <v>642.6</v>
      </c>
      <c r="I144" s="2" t="n">
        <v>1.8</v>
      </c>
      <c r="J144" s="2" t="n">
        <v>3.18</v>
      </c>
      <c r="K144" s="2" t="inlineStr">
        <is>
          <t>Raw Material Shortage</t>
        </is>
      </c>
      <c r="L144" s="2" t="inlineStr">
        <is>
          <t>Corrective</t>
        </is>
      </c>
      <c r="M144" s="2" t="n">
        <v>1314.1</v>
      </c>
      <c r="N144" s="2" t="n">
        <v>223</v>
      </c>
      <c r="O144" s="2" t="n">
        <v>79936.10000000001</v>
      </c>
      <c r="P144" s="2" t="n">
        <v>182.4</v>
      </c>
      <c r="Q144" s="2" t="n">
        <v>1.77</v>
      </c>
      <c r="R144" s="2" t="n">
        <v>420.17</v>
      </c>
      <c r="S144" s="5">
        <f>G144/F144</f>
        <v/>
      </c>
      <c r="T144" s="5">
        <f>MAX(0,1-J144/8)</f>
        <v/>
      </c>
      <c r="U144" s="5">
        <f>IFERROR(G144/(F144*T144),0)</f>
        <v/>
      </c>
      <c r="V144" s="5">
        <f>IFERROR(H144/G144,0)</f>
        <v/>
      </c>
      <c r="W144" s="5">
        <f>T144*U144*V144</f>
        <v/>
      </c>
      <c r="X144" s="5">
        <f>IFERROR(I144/G144,0)</f>
        <v/>
      </c>
      <c r="Y144" s="6">
        <f>IFERROR(G144/M144,0)</f>
        <v/>
      </c>
      <c r="Z144" s="6">
        <f>IFERROR(O144/G144,0)</f>
        <v/>
      </c>
      <c r="AA144" s="2">
        <f>IF(L144="None","No Maintenance",IF(L144="Preventive","Planned","Breakdown"))</f>
        <v/>
      </c>
    </row>
    <row r="145">
      <c r="A145" s="2" t="n">
        <v>141</v>
      </c>
      <c r="B145" s="4" t="n">
        <v>46069</v>
      </c>
      <c r="C145" s="2" t="inlineStr">
        <is>
          <t>Night</t>
        </is>
      </c>
      <c r="D145" s="2" t="inlineStr">
        <is>
          <t>Line 1</t>
        </is>
      </c>
      <c r="E145" s="2" t="inlineStr">
        <is>
          <t>Salt &amp; Vinegar</t>
        </is>
      </c>
      <c r="F145" s="2" t="n">
        <v>1028</v>
      </c>
      <c r="G145" s="2" t="n">
        <v>636.7</v>
      </c>
      <c r="H145" s="2" t="n">
        <v>624.2</v>
      </c>
      <c r="I145" s="2" t="n">
        <v>12.5</v>
      </c>
      <c r="J145" s="2" t="n">
        <v>3.68</v>
      </c>
      <c r="K145" s="2" t="inlineStr">
        <is>
          <t>Electrical Fault</t>
        </is>
      </c>
      <c r="L145" s="2" t="inlineStr">
        <is>
          <t>Corrective</t>
        </is>
      </c>
      <c r="M145" s="2" t="n">
        <v>1276.9</v>
      </c>
      <c r="N145" s="2" t="n">
        <v>232.6</v>
      </c>
      <c r="O145" s="2" t="n">
        <v>81645.39999999999</v>
      </c>
      <c r="P145" s="2" t="n">
        <v>175.6</v>
      </c>
      <c r="Q145" s="2" t="n">
        <v>1.9</v>
      </c>
      <c r="R145" s="2" t="n">
        <v>498.54</v>
      </c>
      <c r="S145" s="5">
        <f>G145/F145</f>
        <v/>
      </c>
      <c r="T145" s="5">
        <f>MAX(0,1-J145/8)</f>
        <v/>
      </c>
      <c r="U145" s="5">
        <f>IFERROR(G145/(F145*T145),0)</f>
        <v/>
      </c>
      <c r="V145" s="5">
        <f>IFERROR(H145/G145,0)</f>
        <v/>
      </c>
      <c r="W145" s="5">
        <f>T145*U145*V145</f>
        <v/>
      </c>
      <c r="X145" s="5">
        <f>IFERROR(I145/G145,0)</f>
        <v/>
      </c>
      <c r="Y145" s="6">
        <f>IFERROR(G145/M145,0)</f>
        <v/>
      </c>
      <c r="Z145" s="6">
        <f>IFERROR(O145/G145,0)</f>
        <v/>
      </c>
      <c r="AA145" s="2">
        <f>IF(L145="None","No Maintenance",IF(L145="Preventive","Planned","Breakdown"))</f>
        <v/>
      </c>
    </row>
    <row r="146">
      <c r="A146" s="2" t="n">
        <v>142</v>
      </c>
      <c r="B146" s="4" t="n">
        <v>46070</v>
      </c>
      <c r="C146" s="2" t="inlineStr">
        <is>
          <t>Day</t>
        </is>
      </c>
      <c r="D146" s="2" t="inlineStr">
        <is>
          <t>Line 1</t>
        </is>
      </c>
      <c r="E146" s="2" t="inlineStr">
        <is>
          <t>Classic Chips</t>
        </is>
      </c>
      <c r="F146" s="2" t="n">
        <v>998</v>
      </c>
      <c r="G146" s="2" t="n">
        <v>989.3</v>
      </c>
      <c r="H146" s="2" t="n">
        <v>971.5</v>
      </c>
      <c r="I146" s="2" t="n">
        <v>17.8</v>
      </c>
      <c r="J146" s="2" t="n">
        <v>0.11</v>
      </c>
      <c r="K146" s="2" t="inlineStr">
        <is>
          <t>No Downtime</t>
        </is>
      </c>
      <c r="L146" s="2" t="inlineStr">
        <is>
          <t>None</t>
        </is>
      </c>
      <c r="M146" s="2" t="n">
        <v>2042.3</v>
      </c>
      <c r="N146" s="2" t="n">
        <v>308.1</v>
      </c>
      <c r="O146" s="2" t="n">
        <v>112411.2</v>
      </c>
      <c r="P146" s="2" t="n">
        <v>182.9</v>
      </c>
      <c r="Q146" s="2" t="n">
        <v>1.67</v>
      </c>
      <c r="R146" s="2" t="n">
        <v>0</v>
      </c>
      <c r="S146" s="5">
        <f>G146/F146</f>
        <v/>
      </c>
      <c r="T146" s="5">
        <f>MAX(0,1-J146/8)</f>
        <v/>
      </c>
      <c r="U146" s="5">
        <f>IFERROR(G146/(F146*T146),0)</f>
        <v/>
      </c>
      <c r="V146" s="5">
        <f>IFERROR(H146/G146,0)</f>
        <v/>
      </c>
      <c r="W146" s="5">
        <f>T146*U146*V146</f>
        <v/>
      </c>
      <c r="X146" s="5">
        <f>IFERROR(I146/G146,0)</f>
        <v/>
      </c>
      <c r="Y146" s="6">
        <f>IFERROR(G146/M146,0)</f>
        <v/>
      </c>
      <c r="Z146" s="6">
        <f>IFERROR(O146/G146,0)</f>
        <v/>
      </c>
      <c r="AA146" s="2">
        <f>IF(L146="None","No Maintenance",IF(L146="Preventive","Planned","Breakdown"))</f>
        <v/>
      </c>
    </row>
    <row r="147">
      <c r="A147" s="2" t="n">
        <v>143</v>
      </c>
      <c r="B147" s="4" t="n">
        <v>46070</v>
      </c>
      <c r="C147" s="2" t="inlineStr">
        <is>
          <t>Evening</t>
        </is>
      </c>
      <c r="D147" s="2" t="inlineStr">
        <is>
          <t>Line 2</t>
        </is>
      </c>
      <c r="E147" s="2" t="inlineStr">
        <is>
          <t>Classic Chips</t>
        </is>
      </c>
      <c r="F147" s="2" t="n">
        <v>949</v>
      </c>
      <c r="G147" s="2" t="n">
        <v>824.3</v>
      </c>
      <c r="H147" s="2" t="n">
        <v>819.5</v>
      </c>
      <c r="I147" s="2" t="n">
        <v>4.8</v>
      </c>
      <c r="J147" s="2" t="n">
        <v>0.25</v>
      </c>
      <c r="K147" s="2" t="inlineStr">
        <is>
          <t>No Downtime</t>
        </is>
      </c>
      <c r="L147" s="2" t="inlineStr">
        <is>
          <t>None</t>
        </is>
      </c>
      <c r="M147" s="2" t="n">
        <v>1677</v>
      </c>
      <c r="N147" s="2" t="n">
        <v>268.3</v>
      </c>
      <c r="O147" s="2" t="n">
        <v>96724.2</v>
      </c>
      <c r="P147" s="2" t="n">
        <v>175.4</v>
      </c>
      <c r="Q147" s="2" t="n">
        <v>1.48</v>
      </c>
      <c r="R147" s="2" t="n">
        <v>0</v>
      </c>
      <c r="S147" s="5">
        <f>G147/F147</f>
        <v/>
      </c>
      <c r="T147" s="5">
        <f>MAX(0,1-J147/8)</f>
        <v/>
      </c>
      <c r="U147" s="5">
        <f>IFERROR(G147/(F147*T147),0)</f>
        <v/>
      </c>
      <c r="V147" s="5">
        <f>IFERROR(H147/G147,0)</f>
        <v/>
      </c>
      <c r="W147" s="5">
        <f>T147*U147*V147</f>
        <v/>
      </c>
      <c r="X147" s="5">
        <f>IFERROR(I147/G147,0)</f>
        <v/>
      </c>
      <c r="Y147" s="6">
        <f>IFERROR(G147/M147,0)</f>
        <v/>
      </c>
      <c r="Z147" s="6">
        <f>IFERROR(O147/G147,0)</f>
        <v/>
      </c>
      <c r="AA147" s="2">
        <f>IF(L147="None","No Maintenance",IF(L147="Preventive","Planned","Breakdown"))</f>
        <v/>
      </c>
    </row>
    <row r="148">
      <c r="A148" s="2" t="n">
        <v>144</v>
      </c>
      <c r="B148" s="4" t="n">
        <v>46070</v>
      </c>
      <c r="C148" s="2" t="inlineStr">
        <is>
          <t>Night</t>
        </is>
      </c>
      <c r="D148" s="2" t="inlineStr">
        <is>
          <t>Line 1</t>
        </is>
      </c>
      <c r="E148" s="2" t="inlineStr">
        <is>
          <t>Classic Chips</t>
        </is>
      </c>
      <c r="F148" s="2" t="n">
        <v>933</v>
      </c>
      <c r="G148" s="2" t="n">
        <v>857.1</v>
      </c>
      <c r="H148" s="2" t="n">
        <v>843</v>
      </c>
      <c r="I148" s="2" t="n">
        <v>14.2</v>
      </c>
      <c r="J148" s="2" t="n">
        <v>0.12</v>
      </c>
      <c r="K148" s="2" t="inlineStr">
        <is>
          <t>No Downtime</t>
        </is>
      </c>
      <c r="L148" s="2" t="inlineStr">
        <is>
          <t>None</t>
        </is>
      </c>
      <c r="M148" s="2" t="n">
        <v>1678.9</v>
      </c>
      <c r="N148" s="2" t="n">
        <v>284.1</v>
      </c>
      <c r="O148" s="2" t="n">
        <v>101953.3</v>
      </c>
      <c r="P148" s="2" t="n">
        <v>173.8</v>
      </c>
      <c r="Q148" s="2" t="n">
        <v>1.59</v>
      </c>
      <c r="R148" s="2" t="n">
        <v>0</v>
      </c>
      <c r="S148" s="5">
        <f>G148/F148</f>
        <v/>
      </c>
      <c r="T148" s="5">
        <f>MAX(0,1-J148/8)</f>
        <v/>
      </c>
      <c r="U148" s="5">
        <f>IFERROR(G148/(F148*T148),0)</f>
        <v/>
      </c>
      <c r="V148" s="5">
        <f>IFERROR(H148/G148,0)</f>
        <v/>
      </c>
      <c r="W148" s="5">
        <f>T148*U148*V148</f>
        <v/>
      </c>
      <c r="X148" s="5">
        <f>IFERROR(I148/G148,0)</f>
        <v/>
      </c>
      <c r="Y148" s="6">
        <f>IFERROR(G148/M148,0)</f>
        <v/>
      </c>
      <c r="Z148" s="6">
        <f>IFERROR(O148/G148,0)</f>
        <v/>
      </c>
      <c r="AA148" s="2">
        <f>IF(L148="None","No Maintenance",IF(L148="Preventive","Planned","Breakdown"))</f>
        <v/>
      </c>
    </row>
    <row r="149">
      <c r="A149" s="2" t="n">
        <v>145</v>
      </c>
      <c r="B149" s="4" t="n">
        <v>46071</v>
      </c>
      <c r="C149" s="2" t="inlineStr">
        <is>
          <t>Day</t>
        </is>
      </c>
      <c r="D149" s="2" t="inlineStr">
        <is>
          <t>Line 2</t>
        </is>
      </c>
      <c r="E149" s="2" t="inlineStr">
        <is>
          <t>Salt &amp; Vinegar</t>
        </is>
      </c>
      <c r="F149" s="2" t="n">
        <v>924</v>
      </c>
      <c r="G149" s="2" t="n">
        <v>759.3</v>
      </c>
      <c r="H149" s="2" t="n">
        <v>747.1</v>
      </c>
      <c r="I149" s="2" t="n">
        <v>12.2</v>
      </c>
      <c r="J149" s="2" t="n">
        <v>0.33</v>
      </c>
      <c r="K149" s="2" t="inlineStr">
        <is>
          <t>No Downtime</t>
        </is>
      </c>
      <c r="L149" s="2" t="inlineStr">
        <is>
          <t>None</t>
        </is>
      </c>
      <c r="M149" s="2" t="n">
        <v>1581.7</v>
      </c>
      <c r="N149" s="2" t="n">
        <v>232.8</v>
      </c>
      <c r="O149" s="2" t="n">
        <v>98522.2</v>
      </c>
      <c r="P149" s="2" t="n">
        <v>172.1</v>
      </c>
      <c r="Q149" s="2" t="n">
        <v>1.7</v>
      </c>
      <c r="R149" s="2" t="n">
        <v>0</v>
      </c>
      <c r="S149" s="5">
        <f>G149/F149</f>
        <v/>
      </c>
      <c r="T149" s="5">
        <f>MAX(0,1-J149/8)</f>
        <v/>
      </c>
      <c r="U149" s="5">
        <f>IFERROR(G149/(F149*T149),0)</f>
        <v/>
      </c>
      <c r="V149" s="5">
        <f>IFERROR(H149/G149,0)</f>
        <v/>
      </c>
      <c r="W149" s="5">
        <f>T149*U149*V149</f>
        <v/>
      </c>
      <c r="X149" s="5">
        <f>IFERROR(I149/G149,0)</f>
        <v/>
      </c>
      <c r="Y149" s="6">
        <f>IFERROR(G149/M149,0)</f>
        <v/>
      </c>
      <c r="Z149" s="6">
        <f>IFERROR(O149/G149,0)</f>
        <v/>
      </c>
      <c r="AA149" s="2">
        <f>IF(L149="None","No Maintenance",IF(L149="Preventive","Planned","Breakdown"))</f>
        <v/>
      </c>
    </row>
    <row r="150">
      <c r="A150" s="2" t="n">
        <v>146</v>
      </c>
      <c r="B150" s="4" t="n">
        <v>46071</v>
      </c>
      <c r="C150" s="2" t="inlineStr">
        <is>
          <t>Evening</t>
        </is>
      </c>
      <c r="D150" s="2" t="inlineStr">
        <is>
          <t>Line 2</t>
        </is>
      </c>
      <c r="E150" s="2" t="inlineStr">
        <is>
          <t>Classic Chips</t>
        </is>
      </c>
      <c r="F150" s="2" t="n">
        <v>907</v>
      </c>
      <c r="G150" s="2" t="n">
        <v>818.5</v>
      </c>
      <c r="H150" s="2" t="n">
        <v>803.3</v>
      </c>
      <c r="I150" s="2" t="n">
        <v>15.2</v>
      </c>
      <c r="J150" s="2" t="n">
        <v>0.18</v>
      </c>
      <c r="K150" s="2" t="inlineStr">
        <is>
          <t>No Downtime</t>
        </is>
      </c>
      <c r="L150" s="2" t="inlineStr">
        <is>
          <t>None</t>
        </is>
      </c>
      <c r="M150" s="2" t="n">
        <v>1712</v>
      </c>
      <c r="N150" s="2" t="n">
        <v>266.6</v>
      </c>
      <c r="O150" s="2" t="n">
        <v>96396.7</v>
      </c>
      <c r="P150" s="2" t="n">
        <v>185</v>
      </c>
      <c r="Q150" s="2" t="n">
        <v>1.82</v>
      </c>
      <c r="R150" s="2" t="n">
        <v>0</v>
      </c>
      <c r="S150" s="5">
        <f>G150/F150</f>
        <v/>
      </c>
      <c r="T150" s="5">
        <f>MAX(0,1-J150/8)</f>
        <v/>
      </c>
      <c r="U150" s="5">
        <f>IFERROR(G150/(F150*T150),0)</f>
        <v/>
      </c>
      <c r="V150" s="5">
        <f>IFERROR(H150/G150,0)</f>
        <v/>
      </c>
      <c r="W150" s="5">
        <f>T150*U150*V150</f>
        <v/>
      </c>
      <c r="X150" s="5">
        <f>IFERROR(I150/G150,0)</f>
        <v/>
      </c>
      <c r="Y150" s="6">
        <f>IFERROR(G150/M150,0)</f>
        <v/>
      </c>
      <c r="Z150" s="6">
        <f>IFERROR(O150/G150,0)</f>
        <v/>
      </c>
      <c r="AA150" s="2">
        <f>IF(L150="None","No Maintenance",IF(L150="Preventive","Planned","Breakdown"))</f>
        <v/>
      </c>
    </row>
    <row r="151">
      <c r="A151" s="2" t="n">
        <v>147</v>
      </c>
      <c r="B151" s="4" t="n">
        <v>46071</v>
      </c>
      <c r="C151" s="2" t="inlineStr">
        <is>
          <t>Night</t>
        </is>
      </c>
      <c r="D151" s="2" t="inlineStr">
        <is>
          <t>Line 2</t>
        </is>
      </c>
      <c r="E151" s="2" t="inlineStr">
        <is>
          <t>Paprika Chips</t>
        </is>
      </c>
      <c r="F151" s="2" t="n">
        <v>905</v>
      </c>
      <c r="G151" s="2" t="n">
        <v>716.9</v>
      </c>
      <c r="H151" s="2" t="n">
        <v>707.7</v>
      </c>
      <c r="I151" s="2" t="n">
        <v>9.199999999999999</v>
      </c>
      <c r="J151" s="2" t="n">
        <v>0.16</v>
      </c>
      <c r="K151" s="2" t="inlineStr">
        <is>
          <t>No Downtime</t>
        </is>
      </c>
      <c r="L151" s="2" t="inlineStr">
        <is>
          <t>None</t>
        </is>
      </c>
      <c r="M151" s="2" t="n">
        <v>1452.3</v>
      </c>
      <c r="N151" s="2" t="n">
        <v>236.3</v>
      </c>
      <c r="O151" s="2" t="n">
        <v>84063.7</v>
      </c>
      <c r="P151" s="2" t="n">
        <v>176.5</v>
      </c>
      <c r="Q151" s="2" t="n">
        <v>1.64</v>
      </c>
      <c r="R151" s="2" t="n">
        <v>0</v>
      </c>
      <c r="S151" s="5">
        <f>G151/F151</f>
        <v/>
      </c>
      <c r="T151" s="5">
        <f>MAX(0,1-J151/8)</f>
        <v/>
      </c>
      <c r="U151" s="5">
        <f>IFERROR(G151/(F151*T151),0)</f>
        <v/>
      </c>
      <c r="V151" s="5">
        <f>IFERROR(H151/G151,0)</f>
        <v/>
      </c>
      <c r="W151" s="5">
        <f>T151*U151*V151</f>
        <v/>
      </c>
      <c r="X151" s="5">
        <f>IFERROR(I151/G151,0)</f>
        <v/>
      </c>
      <c r="Y151" s="6">
        <f>IFERROR(G151/M151,0)</f>
        <v/>
      </c>
      <c r="Z151" s="6">
        <f>IFERROR(O151/G151,0)</f>
        <v/>
      </c>
      <c r="AA151" s="2">
        <f>IF(L151="None","No Maintenance",IF(L151="Preventive","Planned","Breakdown"))</f>
        <v/>
      </c>
    </row>
    <row r="152">
      <c r="A152" s="2" t="n">
        <v>148</v>
      </c>
      <c r="B152" s="4" t="n">
        <v>46072</v>
      </c>
      <c r="C152" s="2" t="inlineStr">
        <is>
          <t>Day</t>
        </is>
      </c>
      <c r="D152" s="2" t="inlineStr">
        <is>
          <t>Line 2</t>
        </is>
      </c>
      <c r="E152" s="2" t="inlineStr">
        <is>
          <t>Classic Chips</t>
        </is>
      </c>
      <c r="F152" s="2" t="n">
        <v>941</v>
      </c>
      <c r="G152" s="2" t="n">
        <v>803.1</v>
      </c>
      <c r="H152" s="2" t="n">
        <v>796.9</v>
      </c>
      <c r="I152" s="2" t="n">
        <v>6.2</v>
      </c>
      <c r="J152" s="2" t="n">
        <v>0.09</v>
      </c>
      <c r="K152" s="2" t="inlineStr">
        <is>
          <t>No Downtime</t>
        </is>
      </c>
      <c r="L152" s="2" t="inlineStr">
        <is>
          <t>None</t>
        </is>
      </c>
      <c r="M152" s="2" t="n">
        <v>1729.4</v>
      </c>
      <c r="N152" s="2" t="n">
        <v>268.9</v>
      </c>
      <c r="O152" s="2" t="n">
        <v>95525.60000000001</v>
      </c>
      <c r="P152" s="2" t="n">
        <v>183.5</v>
      </c>
      <c r="Q152" s="2" t="n">
        <v>1.57</v>
      </c>
      <c r="R152" s="2" t="n">
        <v>0</v>
      </c>
      <c r="S152" s="5">
        <f>G152/F152</f>
        <v/>
      </c>
      <c r="T152" s="5">
        <f>MAX(0,1-J152/8)</f>
        <v/>
      </c>
      <c r="U152" s="5">
        <f>IFERROR(G152/(F152*T152),0)</f>
        <v/>
      </c>
      <c r="V152" s="5">
        <f>IFERROR(H152/G152,0)</f>
        <v/>
      </c>
      <c r="W152" s="5">
        <f>T152*U152*V152</f>
        <v/>
      </c>
      <c r="X152" s="5">
        <f>IFERROR(I152/G152,0)</f>
        <v/>
      </c>
      <c r="Y152" s="6">
        <f>IFERROR(G152/M152,0)</f>
        <v/>
      </c>
      <c r="Z152" s="6">
        <f>IFERROR(O152/G152,0)</f>
        <v/>
      </c>
      <c r="AA152" s="2">
        <f>IF(L152="None","No Maintenance",IF(L152="Preventive","Planned","Breakdown"))</f>
        <v/>
      </c>
    </row>
    <row r="153">
      <c r="A153" s="2" t="n">
        <v>149</v>
      </c>
      <c r="B153" s="4" t="n">
        <v>46072</v>
      </c>
      <c r="C153" s="2" t="inlineStr">
        <is>
          <t>Evening</t>
        </is>
      </c>
      <c r="D153" s="2" t="inlineStr">
        <is>
          <t>Line 1</t>
        </is>
      </c>
      <c r="E153" s="2" t="inlineStr">
        <is>
          <t>Classic Chips</t>
        </is>
      </c>
      <c r="F153" s="2" t="n">
        <v>1006</v>
      </c>
      <c r="G153" s="2" t="n">
        <v>869.3</v>
      </c>
      <c r="H153" s="2" t="n">
        <v>855</v>
      </c>
      <c r="I153" s="2" t="n">
        <v>14.4</v>
      </c>
      <c r="J153" s="2" t="n">
        <v>0.2</v>
      </c>
      <c r="K153" s="2" t="inlineStr">
        <is>
          <t>No Downtime</t>
        </is>
      </c>
      <c r="L153" s="2" t="inlineStr">
        <is>
          <t>None</t>
        </is>
      </c>
      <c r="M153" s="2" t="n">
        <v>1839.2</v>
      </c>
      <c r="N153" s="2" t="n">
        <v>261.6</v>
      </c>
      <c r="O153" s="2" t="n">
        <v>104342.5</v>
      </c>
      <c r="P153" s="2" t="n">
        <v>175.6</v>
      </c>
      <c r="Q153" s="2" t="n">
        <v>1.45</v>
      </c>
      <c r="R153" s="2" t="n">
        <v>0</v>
      </c>
      <c r="S153" s="5">
        <f>G153/F153</f>
        <v/>
      </c>
      <c r="T153" s="5">
        <f>MAX(0,1-J153/8)</f>
        <v/>
      </c>
      <c r="U153" s="5">
        <f>IFERROR(G153/(F153*T153),0)</f>
        <v/>
      </c>
      <c r="V153" s="5">
        <f>IFERROR(H153/G153,0)</f>
        <v/>
      </c>
      <c r="W153" s="5">
        <f>T153*U153*V153</f>
        <v/>
      </c>
      <c r="X153" s="5">
        <f>IFERROR(I153/G153,0)</f>
        <v/>
      </c>
      <c r="Y153" s="6">
        <f>IFERROR(G153/M153,0)</f>
        <v/>
      </c>
      <c r="Z153" s="6">
        <f>IFERROR(O153/G153,0)</f>
        <v/>
      </c>
      <c r="AA153" s="2">
        <f>IF(L153="None","No Maintenance",IF(L153="Preventive","Planned","Breakdown"))</f>
        <v/>
      </c>
    </row>
    <row r="154">
      <c r="A154" s="2" t="n">
        <v>150</v>
      </c>
      <c r="B154" s="4" t="n">
        <v>46072</v>
      </c>
      <c r="C154" s="2" t="inlineStr">
        <is>
          <t>Night</t>
        </is>
      </c>
      <c r="D154" s="2" t="inlineStr">
        <is>
          <t>Line 1</t>
        </is>
      </c>
      <c r="E154" s="2" t="inlineStr">
        <is>
          <t>Paprika Chips</t>
        </is>
      </c>
      <c r="F154" s="2" t="n">
        <v>916</v>
      </c>
      <c r="G154" s="2" t="n">
        <v>576.3</v>
      </c>
      <c r="H154" s="2" t="n">
        <v>560.3</v>
      </c>
      <c r="I154" s="2" t="n">
        <v>16</v>
      </c>
      <c r="J154" s="2" t="n">
        <v>4.41</v>
      </c>
      <c r="K154" s="2" t="inlineStr">
        <is>
          <t>Planned Maintenance</t>
        </is>
      </c>
      <c r="L154" s="2" t="inlineStr">
        <is>
          <t>Preventive</t>
        </is>
      </c>
      <c r="M154" s="2" t="n">
        <v>1183.7</v>
      </c>
      <c r="N154" s="2" t="n">
        <v>196.5</v>
      </c>
      <c r="O154" s="2" t="n">
        <v>71649.2</v>
      </c>
      <c r="P154" s="2" t="n">
        <v>181.2</v>
      </c>
      <c r="Q154" s="2" t="n">
        <v>1.78</v>
      </c>
      <c r="R154" s="2" t="n">
        <v>179.21</v>
      </c>
      <c r="S154" s="5">
        <f>G154/F154</f>
        <v/>
      </c>
      <c r="T154" s="5">
        <f>MAX(0,1-J154/8)</f>
        <v/>
      </c>
      <c r="U154" s="5">
        <f>IFERROR(G154/(F154*T154),0)</f>
        <v/>
      </c>
      <c r="V154" s="5">
        <f>IFERROR(H154/G154,0)</f>
        <v/>
      </c>
      <c r="W154" s="5">
        <f>T154*U154*V154</f>
        <v/>
      </c>
      <c r="X154" s="5">
        <f>IFERROR(I154/G154,0)</f>
        <v/>
      </c>
      <c r="Y154" s="6">
        <f>IFERROR(G154/M154,0)</f>
        <v/>
      </c>
      <c r="Z154" s="6">
        <f>IFERROR(O154/G154,0)</f>
        <v/>
      </c>
      <c r="AA154" s="2">
        <f>IF(L154="None","No Maintenance",IF(L154="Preventive","Planned","Breakdown"))</f>
        <v/>
      </c>
    </row>
    <row r="155">
      <c r="A155" s="2" t="n">
        <v>151</v>
      </c>
      <c r="B155" s="4" t="n">
        <v>46073</v>
      </c>
      <c r="C155" s="2" t="inlineStr">
        <is>
          <t>Day</t>
        </is>
      </c>
      <c r="D155" s="2" t="inlineStr">
        <is>
          <t>Line 2</t>
        </is>
      </c>
      <c r="E155" s="2" t="inlineStr">
        <is>
          <t>Paprika Chips</t>
        </is>
      </c>
      <c r="F155" s="2" t="n">
        <v>1016</v>
      </c>
      <c r="G155" s="2" t="n">
        <v>929.9</v>
      </c>
      <c r="H155" s="2" t="n">
        <v>918</v>
      </c>
      <c r="I155" s="2" t="n">
        <v>11.9</v>
      </c>
      <c r="J155" s="2" t="n">
        <v>0.17</v>
      </c>
      <c r="K155" s="2" t="inlineStr">
        <is>
          <t>No Downtime</t>
        </is>
      </c>
      <c r="L155" s="2" t="inlineStr">
        <is>
          <t>None</t>
        </is>
      </c>
      <c r="M155" s="2" t="n">
        <v>1921.3</v>
      </c>
      <c r="N155" s="2" t="n">
        <v>285</v>
      </c>
      <c r="O155" s="2" t="n">
        <v>94080.8</v>
      </c>
      <c r="P155" s="2" t="n">
        <v>180.8</v>
      </c>
      <c r="Q155" s="2" t="n">
        <v>1.99</v>
      </c>
      <c r="R155" s="2" t="n">
        <v>0</v>
      </c>
      <c r="S155" s="5">
        <f>G155/F155</f>
        <v/>
      </c>
      <c r="T155" s="5">
        <f>MAX(0,1-J155/8)</f>
        <v/>
      </c>
      <c r="U155" s="5">
        <f>IFERROR(G155/(F155*T155),0)</f>
        <v/>
      </c>
      <c r="V155" s="5">
        <f>IFERROR(H155/G155,0)</f>
        <v/>
      </c>
      <c r="W155" s="5">
        <f>T155*U155*V155</f>
        <v/>
      </c>
      <c r="X155" s="5">
        <f>IFERROR(I155/G155,0)</f>
        <v/>
      </c>
      <c r="Y155" s="6">
        <f>IFERROR(G155/M155,0)</f>
        <v/>
      </c>
      <c r="Z155" s="6">
        <f>IFERROR(O155/G155,0)</f>
        <v/>
      </c>
      <c r="AA155" s="2">
        <f>IF(L155="None","No Maintenance",IF(L155="Preventive","Planned","Breakdown"))</f>
        <v/>
      </c>
    </row>
    <row r="156">
      <c r="A156" s="2" t="n">
        <v>152</v>
      </c>
      <c r="B156" s="4" t="n">
        <v>46073</v>
      </c>
      <c r="C156" s="2" t="inlineStr">
        <is>
          <t>Evening</t>
        </is>
      </c>
      <c r="D156" s="2" t="inlineStr">
        <is>
          <t>Line 2</t>
        </is>
      </c>
      <c r="E156" s="2" t="inlineStr">
        <is>
          <t>Salt &amp; Vinegar</t>
        </is>
      </c>
      <c r="F156" s="2" t="n">
        <v>917</v>
      </c>
      <c r="G156" s="2" t="n">
        <v>719.6</v>
      </c>
      <c r="H156" s="2" t="n">
        <v>709.6</v>
      </c>
      <c r="I156" s="2" t="n">
        <v>10.1</v>
      </c>
      <c r="J156" s="2" t="n">
        <v>0.6899999999999999</v>
      </c>
      <c r="K156" s="2" t="inlineStr">
        <is>
          <t>Conveyor Jam</t>
        </is>
      </c>
      <c r="L156" s="2" t="inlineStr">
        <is>
          <t>Corrective</t>
        </is>
      </c>
      <c r="M156" s="2" t="n">
        <v>1453.3</v>
      </c>
      <c r="N156" s="2" t="n">
        <v>232.7</v>
      </c>
      <c r="O156" s="2" t="n">
        <v>93547.7</v>
      </c>
      <c r="P156" s="2" t="n">
        <v>178.9</v>
      </c>
      <c r="Q156" s="2" t="n">
        <v>1.43</v>
      </c>
      <c r="R156" s="2" t="n">
        <v>365.66</v>
      </c>
      <c r="S156" s="5">
        <f>G156/F156</f>
        <v/>
      </c>
      <c r="T156" s="5">
        <f>MAX(0,1-J156/8)</f>
        <v/>
      </c>
      <c r="U156" s="5">
        <f>IFERROR(G156/(F156*T156),0)</f>
        <v/>
      </c>
      <c r="V156" s="5">
        <f>IFERROR(H156/G156,0)</f>
        <v/>
      </c>
      <c r="W156" s="5">
        <f>T156*U156*V156</f>
        <v/>
      </c>
      <c r="X156" s="5">
        <f>IFERROR(I156/G156,0)</f>
        <v/>
      </c>
      <c r="Y156" s="6">
        <f>IFERROR(G156/M156,0)</f>
        <v/>
      </c>
      <c r="Z156" s="6">
        <f>IFERROR(O156/G156,0)</f>
        <v/>
      </c>
      <c r="AA156" s="2">
        <f>IF(L156="None","No Maintenance",IF(L156="Preventive","Planned","Breakdown"))</f>
        <v/>
      </c>
    </row>
    <row r="157">
      <c r="A157" s="2" t="n">
        <v>153</v>
      </c>
      <c r="B157" s="4" t="n">
        <v>46073</v>
      </c>
      <c r="C157" s="2" t="inlineStr">
        <is>
          <t>Night</t>
        </is>
      </c>
      <c r="D157" s="2" t="inlineStr">
        <is>
          <t>Line 1</t>
        </is>
      </c>
      <c r="E157" s="2" t="inlineStr">
        <is>
          <t>Paprika Chips</t>
        </is>
      </c>
      <c r="F157" s="2" t="n">
        <v>976</v>
      </c>
      <c r="G157" s="2" t="n">
        <v>579.1</v>
      </c>
      <c r="H157" s="2" t="n">
        <v>571.5</v>
      </c>
      <c r="I157" s="2" t="n">
        <v>7.6</v>
      </c>
      <c r="J157" s="2" t="n">
        <v>3.16</v>
      </c>
      <c r="K157" s="2" t="inlineStr">
        <is>
          <t>Electrical Fault</t>
        </is>
      </c>
      <c r="L157" s="2" t="inlineStr">
        <is>
          <t>Emergency</t>
        </is>
      </c>
      <c r="M157" s="2" t="n">
        <v>1237.1</v>
      </c>
      <c r="N157" s="2" t="n">
        <v>191.4</v>
      </c>
      <c r="O157" s="2" t="n">
        <v>73904.8</v>
      </c>
      <c r="P157" s="2" t="n">
        <v>177.1</v>
      </c>
      <c r="Q157" s="2" t="n">
        <v>1.6</v>
      </c>
      <c r="R157" s="2" t="n">
        <v>1399.56</v>
      </c>
      <c r="S157" s="5">
        <f>G157/F157</f>
        <v/>
      </c>
      <c r="T157" s="5">
        <f>MAX(0,1-J157/8)</f>
        <v/>
      </c>
      <c r="U157" s="5">
        <f>IFERROR(G157/(F157*T157),0)</f>
        <v/>
      </c>
      <c r="V157" s="5">
        <f>IFERROR(H157/G157,0)</f>
        <v/>
      </c>
      <c r="W157" s="5">
        <f>T157*U157*V157</f>
        <v/>
      </c>
      <c r="X157" s="5">
        <f>IFERROR(I157/G157,0)</f>
        <v/>
      </c>
      <c r="Y157" s="6">
        <f>IFERROR(G157/M157,0)</f>
        <v/>
      </c>
      <c r="Z157" s="6">
        <f>IFERROR(O157/G157,0)</f>
        <v/>
      </c>
      <c r="AA157" s="2">
        <f>IF(L157="None","No Maintenance",IF(L157="Preventive","Planned","Breakdown"))</f>
        <v/>
      </c>
    </row>
    <row r="158">
      <c r="A158" s="2" t="n">
        <v>154</v>
      </c>
      <c r="B158" s="4" t="n">
        <v>46074</v>
      </c>
      <c r="C158" s="2" t="inlineStr">
        <is>
          <t>Day</t>
        </is>
      </c>
      <c r="D158" s="2" t="inlineStr">
        <is>
          <t>Line 1</t>
        </is>
      </c>
      <c r="E158" s="2" t="inlineStr">
        <is>
          <t>Classic Chips</t>
        </is>
      </c>
      <c r="F158" s="2" t="n">
        <v>959</v>
      </c>
      <c r="G158" s="2" t="n">
        <v>883.4</v>
      </c>
      <c r="H158" s="2" t="n">
        <v>872.8</v>
      </c>
      <c r="I158" s="2" t="n">
        <v>10.6</v>
      </c>
      <c r="J158" s="2" t="n">
        <v>0.21</v>
      </c>
      <c r="K158" s="2" t="inlineStr">
        <is>
          <t>No Downtime</t>
        </is>
      </c>
      <c r="L158" s="2" t="inlineStr">
        <is>
          <t>None</t>
        </is>
      </c>
      <c r="M158" s="2" t="n">
        <v>1877.7</v>
      </c>
      <c r="N158" s="2" t="n">
        <v>276.6</v>
      </c>
      <c r="O158" s="2" t="n">
        <v>117028.5</v>
      </c>
      <c r="P158" s="2" t="n">
        <v>172</v>
      </c>
      <c r="Q158" s="2" t="n">
        <v>1.98</v>
      </c>
      <c r="R158" s="2" t="n">
        <v>0</v>
      </c>
      <c r="S158" s="5">
        <f>G158/F158</f>
        <v/>
      </c>
      <c r="T158" s="5">
        <f>MAX(0,1-J158/8)</f>
        <v/>
      </c>
      <c r="U158" s="5">
        <f>IFERROR(G158/(F158*T158),0)</f>
        <v/>
      </c>
      <c r="V158" s="5">
        <f>IFERROR(H158/G158,0)</f>
        <v/>
      </c>
      <c r="W158" s="5">
        <f>T158*U158*V158</f>
        <v/>
      </c>
      <c r="X158" s="5">
        <f>IFERROR(I158/G158,0)</f>
        <v/>
      </c>
      <c r="Y158" s="6">
        <f>IFERROR(G158/M158,0)</f>
        <v/>
      </c>
      <c r="Z158" s="6">
        <f>IFERROR(O158/G158,0)</f>
        <v/>
      </c>
      <c r="AA158" s="2">
        <f>IF(L158="None","No Maintenance",IF(L158="Preventive","Planned","Breakdown"))</f>
        <v/>
      </c>
    </row>
    <row r="159">
      <c r="A159" s="2" t="n">
        <v>155</v>
      </c>
      <c r="B159" s="4" t="n">
        <v>46074</v>
      </c>
      <c r="C159" s="2" t="inlineStr">
        <is>
          <t>Evening</t>
        </is>
      </c>
      <c r="D159" s="2" t="inlineStr">
        <is>
          <t>Line 1</t>
        </is>
      </c>
      <c r="E159" s="2" t="inlineStr">
        <is>
          <t>Classic Chips</t>
        </is>
      </c>
      <c r="F159" s="2" t="n">
        <v>916</v>
      </c>
      <c r="G159" s="2" t="n">
        <v>662.5</v>
      </c>
      <c r="H159" s="2" t="n">
        <v>660.3</v>
      </c>
      <c r="I159" s="2" t="n">
        <v>2.2</v>
      </c>
      <c r="J159" s="2" t="n">
        <v>1.67</v>
      </c>
      <c r="K159" s="2" t="inlineStr">
        <is>
          <t>Packaging Machine</t>
        </is>
      </c>
      <c r="L159" s="2" t="inlineStr">
        <is>
          <t>Corrective</t>
        </is>
      </c>
      <c r="M159" s="2" t="n">
        <v>1405.3</v>
      </c>
      <c r="N159" s="2" t="n">
        <v>215.9</v>
      </c>
      <c r="O159" s="2" t="n">
        <v>77989</v>
      </c>
      <c r="P159" s="2" t="n">
        <v>175.9</v>
      </c>
      <c r="Q159" s="2" t="n">
        <v>1.81</v>
      </c>
      <c r="R159" s="2" t="n">
        <v>518.99</v>
      </c>
      <c r="S159" s="5">
        <f>G159/F159</f>
        <v/>
      </c>
      <c r="T159" s="5">
        <f>MAX(0,1-J159/8)</f>
        <v/>
      </c>
      <c r="U159" s="5">
        <f>IFERROR(G159/(F159*T159),0)</f>
        <v/>
      </c>
      <c r="V159" s="5">
        <f>IFERROR(H159/G159,0)</f>
        <v/>
      </c>
      <c r="W159" s="5">
        <f>T159*U159*V159</f>
        <v/>
      </c>
      <c r="X159" s="5">
        <f>IFERROR(I159/G159,0)</f>
        <v/>
      </c>
      <c r="Y159" s="6">
        <f>IFERROR(G159/M159,0)</f>
        <v/>
      </c>
      <c r="Z159" s="6">
        <f>IFERROR(O159/G159,0)</f>
        <v/>
      </c>
      <c r="AA159" s="2">
        <f>IF(L159="None","No Maintenance",IF(L159="Preventive","Planned","Breakdown"))</f>
        <v/>
      </c>
    </row>
    <row r="160">
      <c r="A160" s="2" t="n">
        <v>156</v>
      </c>
      <c r="B160" s="4" t="n">
        <v>46074</v>
      </c>
      <c r="C160" s="2" t="inlineStr">
        <is>
          <t>Night</t>
        </is>
      </c>
      <c r="D160" s="2" t="inlineStr">
        <is>
          <t>Line 2</t>
        </is>
      </c>
      <c r="E160" s="2" t="inlineStr">
        <is>
          <t>Paprika Chips</t>
        </is>
      </c>
      <c r="F160" s="2" t="n">
        <v>926</v>
      </c>
      <c r="G160" s="2" t="n">
        <v>805.1</v>
      </c>
      <c r="H160" s="2" t="n">
        <v>795.5</v>
      </c>
      <c r="I160" s="2" t="n">
        <v>9.5</v>
      </c>
      <c r="J160" s="2" t="n">
        <v>0</v>
      </c>
      <c r="K160" s="2" t="inlineStr">
        <is>
          <t>No Downtime</t>
        </is>
      </c>
      <c r="L160" s="2" t="inlineStr">
        <is>
          <t>None</t>
        </is>
      </c>
      <c r="M160" s="2" t="n">
        <v>1598.6</v>
      </c>
      <c r="N160" s="2" t="n">
        <v>249</v>
      </c>
      <c r="O160" s="2" t="n">
        <v>92380.7</v>
      </c>
      <c r="P160" s="2" t="n">
        <v>177.9</v>
      </c>
      <c r="Q160" s="2" t="n">
        <v>1.63</v>
      </c>
      <c r="R160" s="2" t="n">
        <v>0</v>
      </c>
      <c r="S160" s="5">
        <f>G160/F160</f>
        <v/>
      </c>
      <c r="T160" s="5">
        <f>MAX(0,1-J160/8)</f>
        <v/>
      </c>
      <c r="U160" s="5">
        <f>IFERROR(G160/(F160*T160),0)</f>
        <v/>
      </c>
      <c r="V160" s="5">
        <f>IFERROR(H160/G160,0)</f>
        <v/>
      </c>
      <c r="W160" s="5">
        <f>T160*U160*V160</f>
        <v/>
      </c>
      <c r="X160" s="5">
        <f>IFERROR(I160/G160,0)</f>
        <v/>
      </c>
      <c r="Y160" s="6">
        <f>IFERROR(G160/M160,0)</f>
        <v/>
      </c>
      <c r="Z160" s="6">
        <f>IFERROR(O160/G160,0)</f>
        <v/>
      </c>
      <c r="AA160" s="2">
        <f>IF(L160="None","No Maintenance",IF(L160="Preventive","Planned","Breakdown"))</f>
        <v/>
      </c>
    </row>
    <row r="161">
      <c r="A161" s="2" t="n">
        <v>157</v>
      </c>
      <c r="B161" s="4" t="n">
        <v>46075</v>
      </c>
      <c r="C161" s="2" t="inlineStr">
        <is>
          <t>Day</t>
        </is>
      </c>
      <c r="D161" s="2" t="inlineStr">
        <is>
          <t>Line 1</t>
        </is>
      </c>
      <c r="E161" s="2" t="inlineStr">
        <is>
          <t>Classic Chips</t>
        </is>
      </c>
      <c r="F161" s="2" t="n">
        <v>923</v>
      </c>
      <c r="G161" s="2" t="n">
        <v>633.3</v>
      </c>
      <c r="H161" s="2" t="n">
        <v>624.6</v>
      </c>
      <c r="I161" s="2" t="n">
        <v>8.699999999999999</v>
      </c>
      <c r="J161" s="2" t="n">
        <v>1.94</v>
      </c>
      <c r="K161" s="2" t="inlineStr">
        <is>
          <t>Raw Material Shortage</t>
        </is>
      </c>
      <c r="L161" s="2" t="inlineStr">
        <is>
          <t>Corrective</t>
        </is>
      </c>
      <c r="M161" s="2" t="n">
        <v>1263.9</v>
      </c>
      <c r="N161" s="2" t="n">
        <v>202.3</v>
      </c>
      <c r="O161" s="2" t="n">
        <v>75045.8</v>
      </c>
      <c r="P161" s="2" t="n">
        <v>178.5</v>
      </c>
      <c r="Q161" s="2" t="n">
        <v>1.56</v>
      </c>
      <c r="R161" s="2" t="n">
        <v>870.75</v>
      </c>
      <c r="S161" s="5">
        <f>G161/F161</f>
        <v/>
      </c>
      <c r="T161" s="5">
        <f>MAX(0,1-J161/8)</f>
        <v/>
      </c>
      <c r="U161" s="5">
        <f>IFERROR(G161/(F161*T161),0)</f>
        <v/>
      </c>
      <c r="V161" s="5">
        <f>IFERROR(H161/G161,0)</f>
        <v/>
      </c>
      <c r="W161" s="5">
        <f>T161*U161*V161</f>
        <v/>
      </c>
      <c r="X161" s="5">
        <f>IFERROR(I161/G161,0)</f>
        <v/>
      </c>
      <c r="Y161" s="6">
        <f>IFERROR(G161/M161,0)</f>
        <v/>
      </c>
      <c r="Z161" s="6">
        <f>IFERROR(O161/G161,0)</f>
        <v/>
      </c>
      <c r="AA161" s="2">
        <f>IF(L161="None","No Maintenance",IF(L161="Preventive","Planned","Breakdown"))</f>
        <v/>
      </c>
    </row>
    <row r="162">
      <c r="A162" s="2" t="n">
        <v>158</v>
      </c>
      <c r="B162" s="4" t="n">
        <v>46075</v>
      </c>
      <c r="C162" s="2" t="inlineStr">
        <is>
          <t>Evening</t>
        </is>
      </c>
      <c r="D162" s="2" t="inlineStr">
        <is>
          <t>Line 1</t>
        </is>
      </c>
      <c r="E162" s="2" t="inlineStr">
        <is>
          <t>Paprika Chips</t>
        </is>
      </c>
      <c r="F162" s="2" t="n">
        <v>1002</v>
      </c>
      <c r="G162" s="2" t="n">
        <v>800.6</v>
      </c>
      <c r="H162" s="2" t="n">
        <v>794.5</v>
      </c>
      <c r="I162" s="2" t="n">
        <v>6.1</v>
      </c>
      <c r="J162" s="2" t="n">
        <v>0.87</v>
      </c>
      <c r="K162" s="2" t="inlineStr">
        <is>
          <t>Fryer Temperature</t>
        </is>
      </c>
      <c r="L162" s="2" t="inlineStr">
        <is>
          <t>Corrective</t>
        </is>
      </c>
      <c r="M162" s="2" t="n">
        <v>1631.9</v>
      </c>
      <c r="N162" s="2" t="n">
        <v>272.6</v>
      </c>
      <c r="O162" s="2" t="n">
        <v>95039.89999999999</v>
      </c>
      <c r="P162" s="2" t="n">
        <v>182.7</v>
      </c>
      <c r="Q162" s="2" t="n">
        <v>1.88</v>
      </c>
      <c r="R162" s="2" t="n">
        <v>661.89</v>
      </c>
      <c r="S162" s="5">
        <f>G162/F162</f>
        <v/>
      </c>
      <c r="T162" s="5">
        <f>MAX(0,1-J162/8)</f>
        <v/>
      </c>
      <c r="U162" s="5">
        <f>IFERROR(G162/(F162*T162),0)</f>
        <v/>
      </c>
      <c r="V162" s="5">
        <f>IFERROR(H162/G162,0)</f>
        <v/>
      </c>
      <c r="W162" s="5">
        <f>T162*U162*V162</f>
        <v/>
      </c>
      <c r="X162" s="5">
        <f>IFERROR(I162/G162,0)</f>
        <v/>
      </c>
      <c r="Y162" s="6">
        <f>IFERROR(G162/M162,0)</f>
        <v/>
      </c>
      <c r="Z162" s="6">
        <f>IFERROR(O162/G162,0)</f>
        <v/>
      </c>
      <c r="AA162" s="2">
        <f>IF(L162="None","No Maintenance",IF(L162="Preventive","Planned","Breakdown"))</f>
        <v/>
      </c>
    </row>
    <row r="163">
      <c r="A163" s="2" t="n">
        <v>159</v>
      </c>
      <c r="B163" s="4" t="n">
        <v>46075</v>
      </c>
      <c r="C163" s="2" t="inlineStr">
        <is>
          <t>Night</t>
        </is>
      </c>
      <c r="D163" s="2" t="inlineStr">
        <is>
          <t>Line 1</t>
        </is>
      </c>
      <c r="E163" s="2" t="inlineStr">
        <is>
          <t>Paprika Chips</t>
        </is>
      </c>
      <c r="F163" s="2" t="n">
        <v>917</v>
      </c>
      <c r="G163" s="2" t="n">
        <v>788</v>
      </c>
      <c r="H163" s="2" t="n">
        <v>771.5</v>
      </c>
      <c r="I163" s="2" t="n">
        <v>16.5</v>
      </c>
      <c r="J163" s="2" t="n">
        <v>0.52</v>
      </c>
      <c r="K163" s="2" t="inlineStr">
        <is>
          <t>Quality Hold</t>
        </is>
      </c>
      <c r="L163" s="2" t="inlineStr">
        <is>
          <t>Emergency</t>
        </is>
      </c>
      <c r="M163" s="2" t="n">
        <v>1585.1</v>
      </c>
      <c r="N163" s="2" t="n">
        <v>223.1</v>
      </c>
      <c r="O163" s="2" t="n">
        <v>87416.7</v>
      </c>
      <c r="P163" s="2" t="n">
        <v>183.3</v>
      </c>
      <c r="Q163" s="2" t="n">
        <v>1.85</v>
      </c>
      <c r="R163" s="2" t="n">
        <v>1219.21</v>
      </c>
      <c r="S163" s="5">
        <f>G163/F163</f>
        <v/>
      </c>
      <c r="T163" s="5">
        <f>MAX(0,1-J163/8)</f>
        <v/>
      </c>
      <c r="U163" s="5">
        <f>IFERROR(G163/(F163*T163),0)</f>
        <v/>
      </c>
      <c r="V163" s="5">
        <f>IFERROR(H163/G163,0)</f>
        <v/>
      </c>
      <c r="W163" s="5">
        <f>T163*U163*V163</f>
        <v/>
      </c>
      <c r="X163" s="5">
        <f>IFERROR(I163/G163,0)</f>
        <v/>
      </c>
      <c r="Y163" s="6">
        <f>IFERROR(G163/M163,0)</f>
        <v/>
      </c>
      <c r="Z163" s="6">
        <f>IFERROR(O163/G163,0)</f>
        <v/>
      </c>
      <c r="AA163" s="2">
        <f>IF(L163="None","No Maintenance",IF(L163="Preventive","Planned","Breakdown"))</f>
        <v/>
      </c>
    </row>
    <row r="164">
      <c r="A164" s="2" t="n">
        <v>160</v>
      </c>
      <c r="B164" s="4" t="n">
        <v>46076</v>
      </c>
      <c r="C164" s="2" t="inlineStr">
        <is>
          <t>Day</t>
        </is>
      </c>
      <c r="D164" s="2" t="inlineStr">
        <is>
          <t>Line 1</t>
        </is>
      </c>
      <c r="E164" s="2" t="inlineStr">
        <is>
          <t>Classic Chips</t>
        </is>
      </c>
      <c r="F164" s="2" t="n">
        <v>1034</v>
      </c>
      <c r="G164" s="2" t="n">
        <v>1007.3</v>
      </c>
      <c r="H164" s="2" t="n">
        <v>982.6</v>
      </c>
      <c r="I164" s="2" t="n">
        <v>24.7</v>
      </c>
      <c r="J164" s="2" t="n">
        <v>0.32</v>
      </c>
      <c r="K164" s="2" t="inlineStr">
        <is>
          <t>No Downtime</t>
        </is>
      </c>
      <c r="L164" s="2" t="inlineStr">
        <is>
          <t>None</t>
        </is>
      </c>
      <c r="M164" s="2" t="n">
        <v>2117.5</v>
      </c>
      <c r="N164" s="2" t="n">
        <v>362</v>
      </c>
      <c r="O164" s="2" t="n">
        <v>122634.7</v>
      </c>
      <c r="P164" s="2" t="n">
        <v>182.5</v>
      </c>
      <c r="Q164" s="2" t="n">
        <v>1.83</v>
      </c>
      <c r="R164" s="2" t="n">
        <v>0</v>
      </c>
      <c r="S164" s="5">
        <f>G164/F164</f>
        <v/>
      </c>
      <c r="T164" s="5">
        <f>MAX(0,1-J164/8)</f>
        <v/>
      </c>
      <c r="U164" s="5">
        <f>IFERROR(G164/(F164*T164),0)</f>
        <v/>
      </c>
      <c r="V164" s="5">
        <f>IFERROR(H164/G164,0)</f>
        <v/>
      </c>
      <c r="W164" s="5">
        <f>T164*U164*V164</f>
        <v/>
      </c>
      <c r="X164" s="5">
        <f>IFERROR(I164/G164,0)</f>
        <v/>
      </c>
      <c r="Y164" s="6">
        <f>IFERROR(G164/M164,0)</f>
        <v/>
      </c>
      <c r="Z164" s="6">
        <f>IFERROR(O164/G164,0)</f>
        <v/>
      </c>
      <c r="AA164" s="2">
        <f>IF(L164="None","No Maintenance",IF(L164="Preventive","Planned","Breakdown"))</f>
        <v/>
      </c>
    </row>
    <row r="165">
      <c r="A165" s="2" t="n">
        <v>161</v>
      </c>
      <c r="B165" s="4" t="n">
        <v>46076</v>
      </c>
      <c r="C165" s="2" t="inlineStr">
        <is>
          <t>Evening</t>
        </is>
      </c>
      <c r="D165" s="2" t="inlineStr">
        <is>
          <t>Line 2</t>
        </is>
      </c>
      <c r="E165" s="2" t="inlineStr">
        <is>
          <t>Classic Chips</t>
        </is>
      </c>
      <c r="F165" s="2" t="n">
        <v>946</v>
      </c>
      <c r="G165" s="2" t="n">
        <v>610.5</v>
      </c>
      <c r="H165" s="2" t="n">
        <v>600.8</v>
      </c>
      <c r="I165" s="2" t="n">
        <v>9.699999999999999</v>
      </c>
      <c r="J165" s="2" t="n">
        <v>2.19</v>
      </c>
      <c r="K165" s="2" t="inlineStr">
        <is>
          <t>Planned Maintenance</t>
        </is>
      </c>
      <c r="L165" s="2" t="inlineStr">
        <is>
          <t>Preventive</t>
        </is>
      </c>
      <c r="M165" s="2" t="n">
        <v>1225.7</v>
      </c>
      <c r="N165" s="2" t="n">
        <v>186.1</v>
      </c>
      <c r="O165" s="2" t="n">
        <v>76456.60000000001</v>
      </c>
      <c r="P165" s="2" t="n">
        <v>175.7</v>
      </c>
      <c r="Q165" s="2" t="n">
        <v>1.71</v>
      </c>
      <c r="R165" s="2" t="n">
        <v>286.5</v>
      </c>
      <c r="S165" s="5">
        <f>G165/F165</f>
        <v/>
      </c>
      <c r="T165" s="5">
        <f>MAX(0,1-J165/8)</f>
        <v/>
      </c>
      <c r="U165" s="5">
        <f>IFERROR(G165/(F165*T165),0)</f>
        <v/>
      </c>
      <c r="V165" s="5">
        <f>IFERROR(H165/G165,0)</f>
        <v/>
      </c>
      <c r="W165" s="5">
        <f>T165*U165*V165</f>
        <v/>
      </c>
      <c r="X165" s="5">
        <f>IFERROR(I165/G165,0)</f>
        <v/>
      </c>
      <c r="Y165" s="6">
        <f>IFERROR(G165/M165,0)</f>
        <v/>
      </c>
      <c r="Z165" s="6">
        <f>IFERROR(O165/G165,0)</f>
        <v/>
      </c>
      <c r="AA165" s="2">
        <f>IF(L165="None","No Maintenance",IF(L165="Preventive","Planned","Breakdown"))</f>
        <v/>
      </c>
    </row>
    <row r="166">
      <c r="A166" s="2" t="n">
        <v>162</v>
      </c>
      <c r="B166" s="4" t="n">
        <v>46076</v>
      </c>
      <c r="C166" s="2" t="inlineStr">
        <is>
          <t>Night</t>
        </is>
      </c>
      <c r="D166" s="2" t="inlineStr">
        <is>
          <t>Line 1</t>
        </is>
      </c>
      <c r="E166" s="2" t="inlineStr">
        <is>
          <t>Salt &amp; Vinegar</t>
        </is>
      </c>
      <c r="F166" s="2" t="n">
        <v>975</v>
      </c>
      <c r="G166" s="2" t="n">
        <v>846</v>
      </c>
      <c r="H166" s="2" t="n">
        <v>834.9</v>
      </c>
      <c r="I166" s="2" t="n">
        <v>11.1</v>
      </c>
      <c r="J166" s="2" t="n">
        <v>0.04</v>
      </c>
      <c r="K166" s="2" t="inlineStr">
        <is>
          <t>No Downtime</t>
        </is>
      </c>
      <c r="L166" s="2" t="inlineStr">
        <is>
          <t>None</t>
        </is>
      </c>
      <c r="M166" s="2" t="n">
        <v>1794</v>
      </c>
      <c r="N166" s="2" t="n">
        <v>255.8</v>
      </c>
      <c r="O166" s="2" t="n">
        <v>99227.10000000001</v>
      </c>
      <c r="P166" s="2" t="n">
        <v>177.7</v>
      </c>
      <c r="Q166" s="2" t="n">
        <v>1.4</v>
      </c>
      <c r="R166" s="2" t="n">
        <v>0</v>
      </c>
      <c r="S166" s="5">
        <f>G166/F166</f>
        <v/>
      </c>
      <c r="T166" s="5">
        <f>MAX(0,1-J166/8)</f>
        <v/>
      </c>
      <c r="U166" s="5">
        <f>IFERROR(G166/(F166*T166),0)</f>
        <v/>
      </c>
      <c r="V166" s="5">
        <f>IFERROR(H166/G166,0)</f>
        <v/>
      </c>
      <c r="W166" s="5">
        <f>T166*U166*V166</f>
        <v/>
      </c>
      <c r="X166" s="5">
        <f>IFERROR(I166/G166,0)</f>
        <v/>
      </c>
      <c r="Y166" s="6">
        <f>IFERROR(G166/M166,0)</f>
        <v/>
      </c>
      <c r="Z166" s="6">
        <f>IFERROR(O166/G166,0)</f>
        <v/>
      </c>
      <c r="AA166" s="2">
        <f>IF(L166="None","No Maintenance",IF(L166="Preventive","Planned","Breakdown"))</f>
        <v/>
      </c>
    </row>
    <row r="167">
      <c r="A167" s="2" t="n">
        <v>163</v>
      </c>
      <c r="B167" s="4" t="n">
        <v>46077</v>
      </c>
      <c r="C167" s="2" t="inlineStr">
        <is>
          <t>Day</t>
        </is>
      </c>
      <c r="D167" s="2" t="inlineStr">
        <is>
          <t>Line 1</t>
        </is>
      </c>
      <c r="E167" s="2" t="inlineStr">
        <is>
          <t>Paprika Chips</t>
        </is>
      </c>
      <c r="F167" s="2" t="n">
        <v>1003</v>
      </c>
      <c r="G167" s="2" t="n">
        <v>941.4</v>
      </c>
      <c r="H167" s="2" t="n">
        <v>926.1</v>
      </c>
      <c r="I167" s="2" t="n">
        <v>15.3</v>
      </c>
      <c r="J167" s="2" t="n">
        <v>0.07000000000000001</v>
      </c>
      <c r="K167" s="2" t="inlineStr">
        <is>
          <t>No Downtime</t>
        </is>
      </c>
      <c r="L167" s="2" t="inlineStr">
        <is>
          <t>None</t>
        </is>
      </c>
      <c r="M167" s="2" t="n">
        <v>1928.8</v>
      </c>
      <c r="N167" s="2" t="n">
        <v>297.6</v>
      </c>
      <c r="O167" s="2" t="n">
        <v>111462.2</v>
      </c>
      <c r="P167" s="2" t="n">
        <v>181.7</v>
      </c>
      <c r="Q167" s="2" t="n">
        <v>1.85</v>
      </c>
      <c r="R167" s="2" t="n">
        <v>0</v>
      </c>
      <c r="S167" s="5">
        <f>G167/F167</f>
        <v/>
      </c>
      <c r="T167" s="5">
        <f>MAX(0,1-J167/8)</f>
        <v/>
      </c>
      <c r="U167" s="5">
        <f>IFERROR(G167/(F167*T167),0)</f>
        <v/>
      </c>
      <c r="V167" s="5">
        <f>IFERROR(H167/G167,0)</f>
        <v/>
      </c>
      <c r="W167" s="5">
        <f>T167*U167*V167</f>
        <v/>
      </c>
      <c r="X167" s="5">
        <f>IFERROR(I167/G167,0)</f>
        <v/>
      </c>
      <c r="Y167" s="6">
        <f>IFERROR(G167/M167,0)</f>
        <v/>
      </c>
      <c r="Z167" s="6">
        <f>IFERROR(O167/G167,0)</f>
        <v/>
      </c>
      <c r="AA167" s="2">
        <f>IF(L167="None","No Maintenance",IF(L167="Preventive","Planned","Breakdown"))</f>
        <v/>
      </c>
    </row>
    <row r="168">
      <c r="A168" s="2" t="n">
        <v>164</v>
      </c>
      <c r="B168" s="4" t="n">
        <v>46077</v>
      </c>
      <c r="C168" s="2" t="inlineStr">
        <is>
          <t>Evening</t>
        </is>
      </c>
      <c r="D168" s="2" t="inlineStr">
        <is>
          <t>Line 1</t>
        </is>
      </c>
      <c r="E168" s="2" t="inlineStr">
        <is>
          <t>Paprika Chips</t>
        </is>
      </c>
      <c r="F168" s="2" t="n">
        <v>1036</v>
      </c>
      <c r="G168" s="2" t="n">
        <v>710.7</v>
      </c>
      <c r="H168" s="2" t="n">
        <v>698.6</v>
      </c>
      <c r="I168" s="2" t="n">
        <v>12</v>
      </c>
      <c r="J168" s="2" t="n">
        <v>4.68</v>
      </c>
      <c r="K168" s="2" t="inlineStr">
        <is>
          <t>Planned Maintenance</t>
        </is>
      </c>
      <c r="L168" s="2" t="inlineStr">
        <is>
          <t>Preventive</t>
        </is>
      </c>
      <c r="M168" s="2" t="n">
        <v>1479.1</v>
      </c>
      <c r="N168" s="2" t="n">
        <v>233.3</v>
      </c>
      <c r="O168" s="2" t="n">
        <v>89100.2</v>
      </c>
      <c r="P168" s="2" t="n">
        <v>180.4</v>
      </c>
      <c r="Q168" s="2" t="n">
        <v>1.69</v>
      </c>
      <c r="R168" s="2" t="n">
        <v>117.81</v>
      </c>
      <c r="S168" s="5">
        <f>G168/F168</f>
        <v/>
      </c>
      <c r="T168" s="5">
        <f>MAX(0,1-J168/8)</f>
        <v/>
      </c>
      <c r="U168" s="5">
        <f>IFERROR(G168/(F168*T168),0)</f>
        <v/>
      </c>
      <c r="V168" s="5">
        <f>IFERROR(H168/G168,0)</f>
        <v/>
      </c>
      <c r="W168" s="5">
        <f>T168*U168*V168</f>
        <v/>
      </c>
      <c r="X168" s="5">
        <f>IFERROR(I168/G168,0)</f>
        <v/>
      </c>
      <c r="Y168" s="6">
        <f>IFERROR(G168/M168,0)</f>
        <v/>
      </c>
      <c r="Z168" s="6">
        <f>IFERROR(O168/G168,0)</f>
        <v/>
      </c>
      <c r="AA168" s="2">
        <f>IF(L168="None","No Maintenance",IF(L168="Preventive","Planned","Breakdown"))</f>
        <v/>
      </c>
    </row>
    <row r="169">
      <c r="A169" s="2" t="n">
        <v>165</v>
      </c>
      <c r="B169" s="4" t="n">
        <v>46077</v>
      </c>
      <c r="C169" s="2" t="inlineStr">
        <is>
          <t>Night</t>
        </is>
      </c>
      <c r="D169" s="2" t="inlineStr">
        <is>
          <t>Line 1</t>
        </is>
      </c>
      <c r="E169" s="2" t="inlineStr">
        <is>
          <t>Paprika Chips</t>
        </is>
      </c>
      <c r="F169" s="2" t="n">
        <v>907</v>
      </c>
      <c r="G169" s="2" t="n">
        <v>715.4</v>
      </c>
      <c r="H169" s="2" t="n">
        <v>703.8</v>
      </c>
      <c r="I169" s="2" t="n">
        <v>11.7</v>
      </c>
      <c r="J169" s="2" t="n">
        <v>0.31</v>
      </c>
      <c r="K169" s="2" t="inlineStr">
        <is>
          <t>No Downtime</t>
        </is>
      </c>
      <c r="L169" s="2" t="inlineStr">
        <is>
          <t>None</t>
        </is>
      </c>
      <c r="M169" s="2" t="n">
        <v>1431.1</v>
      </c>
      <c r="N169" s="2" t="n">
        <v>220.8</v>
      </c>
      <c r="O169" s="2" t="n">
        <v>79545.39999999999</v>
      </c>
      <c r="P169" s="2" t="n">
        <v>176.9</v>
      </c>
      <c r="Q169" s="2" t="n">
        <v>2.07</v>
      </c>
      <c r="R169" s="2" t="n">
        <v>0</v>
      </c>
      <c r="S169" s="5">
        <f>G169/F169</f>
        <v/>
      </c>
      <c r="T169" s="5">
        <f>MAX(0,1-J169/8)</f>
        <v/>
      </c>
      <c r="U169" s="5">
        <f>IFERROR(G169/(F169*T169),0)</f>
        <v/>
      </c>
      <c r="V169" s="5">
        <f>IFERROR(H169/G169,0)</f>
        <v/>
      </c>
      <c r="W169" s="5">
        <f>T169*U169*V169</f>
        <v/>
      </c>
      <c r="X169" s="5">
        <f>IFERROR(I169/G169,0)</f>
        <v/>
      </c>
      <c r="Y169" s="6">
        <f>IFERROR(G169/M169,0)</f>
        <v/>
      </c>
      <c r="Z169" s="6">
        <f>IFERROR(O169/G169,0)</f>
        <v/>
      </c>
      <c r="AA169" s="2">
        <f>IF(L169="None","No Maintenance",IF(L169="Preventive","Planned","Breakdown"))</f>
        <v/>
      </c>
    </row>
    <row r="170">
      <c r="A170" s="2" t="n">
        <v>166</v>
      </c>
      <c r="B170" s="4" t="n">
        <v>46078</v>
      </c>
      <c r="C170" s="2" t="inlineStr">
        <is>
          <t>Day</t>
        </is>
      </c>
      <c r="D170" s="2" t="inlineStr">
        <is>
          <t>Line 2</t>
        </is>
      </c>
      <c r="E170" s="2" t="inlineStr">
        <is>
          <t>Salt &amp; Vinegar</t>
        </is>
      </c>
      <c r="F170" s="2" t="n">
        <v>1024</v>
      </c>
      <c r="G170" s="2" t="n">
        <v>644.2</v>
      </c>
      <c r="H170" s="2" t="n">
        <v>639</v>
      </c>
      <c r="I170" s="2" t="n">
        <v>5.2</v>
      </c>
      <c r="J170" s="2" t="n">
        <v>4.75</v>
      </c>
      <c r="K170" s="2" t="inlineStr">
        <is>
          <t>Planned Maintenance</t>
        </is>
      </c>
      <c r="L170" s="2" t="inlineStr">
        <is>
          <t>Preventive</t>
        </is>
      </c>
      <c r="M170" s="2" t="n">
        <v>1330.5</v>
      </c>
      <c r="N170" s="2" t="n">
        <v>204.2</v>
      </c>
      <c r="O170" s="2" t="n">
        <v>77978.2</v>
      </c>
      <c r="P170" s="2" t="n">
        <v>178.3</v>
      </c>
      <c r="Q170" s="2" t="n">
        <v>1.88</v>
      </c>
      <c r="R170" s="2" t="n">
        <v>189.67</v>
      </c>
      <c r="S170" s="5">
        <f>G170/F170</f>
        <v/>
      </c>
      <c r="T170" s="5">
        <f>MAX(0,1-J170/8)</f>
        <v/>
      </c>
      <c r="U170" s="5">
        <f>IFERROR(G170/(F170*T170),0)</f>
        <v/>
      </c>
      <c r="V170" s="5">
        <f>IFERROR(H170/G170,0)</f>
        <v/>
      </c>
      <c r="W170" s="5">
        <f>T170*U170*V170</f>
        <v/>
      </c>
      <c r="X170" s="5">
        <f>IFERROR(I170/G170,0)</f>
        <v/>
      </c>
      <c r="Y170" s="6">
        <f>IFERROR(G170/M170,0)</f>
        <v/>
      </c>
      <c r="Z170" s="6">
        <f>IFERROR(O170/G170,0)</f>
        <v/>
      </c>
      <c r="AA170" s="2">
        <f>IF(L170="None","No Maintenance",IF(L170="Preventive","Planned","Breakdown"))</f>
        <v/>
      </c>
    </row>
    <row r="171">
      <c r="A171" s="2" t="n">
        <v>167</v>
      </c>
      <c r="B171" s="4" t="n">
        <v>46078</v>
      </c>
      <c r="C171" s="2" t="inlineStr">
        <is>
          <t>Evening</t>
        </is>
      </c>
      <c r="D171" s="2" t="inlineStr">
        <is>
          <t>Line 1</t>
        </is>
      </c>
      <c r="E171" s="2" t="inlineStr">
        <is>
          <t>Classic Chips</t>
        </is>
      </c>
      <c r="F171" s="2" t="n">
        <v>1037</v>
      </c>
      <c r="G171" s="2" t="n">
        <v>894.3</v>
      </c>
      <c r="H171" s="2" t="n">
        <v>887.8</v>
      </c>
      <c r="I171" s="2" t="n">
        <v>6.5</v>
      </c>
      <c r="J171" s="2" t="n">
        <v>0.36</v>
      </c>
      <c r="K171" s="2" t="inlineStr">
        <is>
          <t>No Downtime</t>
        </is>
      </c>
      <c r="L171" s="2" t="inlineStr">
        <is>
          <t>None</t>
        </is>
      </c>
      <c r="M171" s="2" t="n">
        <v>1824.1</v>
      </c>
      <c r="N171" s="2" t="n">
        <v>281.4</v>
      </c>
      <c r="O171" s="2" t="n">
        <v>106252.2</v>
      </c>
      <c r="P171" s="2" t="n">
        <v>177.6</v>
      </c>
      <c r="Q171" s="2" t="n">
        <v>1.56</v>
      </c>
      <c r="R171" s="2" t="n">
        <v>0</v>
      </c>
      <c r="S171" s="5">
        <f>G171/F171</f>
        <v/>
      </c>
      <c r="T171" s="5">
        <f>MAX(0,1-J171/8)</f>
        <v/>
      </c>
      <c r="U171" s="5">
        <f>IFERROR(G171/(F171*T171),0)</f>
        <v/>
      </c>
      <c r="V171" s="5">
        <f>IFERROR(H171/G171,0)</f>
        <v/>
      </c>
      <c r="W171" s="5">
        <f>T171*U171*V171</f>
        <v/>
      </c>
      <c r="X171" s="5">
        <f>IFERROR(I171/G171,0)</f>
        <v/>
      </c>
      <c r="Y171" s="6">
        <f>IFERROR(G171/M171,0)</f>
        <v/>
      </c>
      <c r="Z171" s="6">
        <f>IFERROR(O171/G171,0)</f>
        <v/>
      </c>
      <c r="AA171" s="2">
        <f>IF(L171="None","No Maintenance",IF(L171="Preventive","Planned","Breakdown"))</f>
        <v/>
      </c>
    </row>
    <row r="172">
      <c r="A172" s="2" t="n">
        <v>168</v>
      </c>
      <c r="B172" s="4" t="n">
        <v>46078</v>
      </c>
      <c r="C172" s="2" t="inlineStr">
        <is>
          <t>Night</t>
        </is>
      </c>
      <c r="D172" s="2" t="inlineStr">
        <is>
          <t>Line 1</t>
        </is>
      </c>
      <c r="E172" s="2" t="inlineStr">
        <is>
          <t>Salt &amp; Vinegar</t>
        </is>
      </c>
      <c r="F172" s="2" t="n">
        <v>978</v>
      </c>
      <c r="G172" s="2" t="n">
        <v>602.3</v>
      </c>
      <c r="H172" s="2" t="n">
        <v>591.9</v>
      </c>
      <c r="I172" s="2" t="n">
        <v>10.4</v>
      </c>
      <c r="J172" s="2" t="n">
        <v>4.47</v>
      </c>
      <c r="K172" s="2" t="inlineStr">
        <is>
          <t>Planned Maintenance</t>
        </is>
      </c>
      <c r="L172" s="2" t="inlineStr">
        <is>
          <t>Preventive</t>
        </is>
      </c>
      <c r="M172" s="2" t="n">
        <v>1202.7</v>
      </c>
      <c r="N172" s="2" t="n">
        <v>187.6</v>
      </c>
      <c r="O172" s="2" t="n">
        <v>65654.10000000001</v>
      </c>
      <c r="P172" s="2" t="n">
        <v>180</v>
      </c>
      <c r="Q172" s="2" t="n">
        <v>1.65</v>
      </c>
      <c r="R172" s="2" t="n">
        <v>229.07</v>
      </c>
      <c r="S172" s="5">
        <f>G172/F172</f>
        <v/>
      </c>
      <c r="T172" s="5">
        <f>MAX(0,1-J172/8)</f>
        <v/>
      </c>
      <c r="U172" s="5">
        <f>IFERROR(G172/(F172*T172),0)</f>
        <v/>
      </c>
      <c r="V172" s="5">
        <f>IFERROR(H172/G172,0)</f>
        <v/>
      </c>
      <c r="W172" s="5">
        <f>T172*U172*V172</f>
        <v/>
      </c>
      <c r="X172" s="5">
        <f>IFERROR(I172/G172,0)</f>
        <v/>
      </c>
      <c r="Y172" s="6">
        <f>IFERROR(G172/M172,0)</f>
        <v/>
      </c>
      <c r="Z172" s="6">
        <f>IFERROR(O172/G172,0)</f>
        <v/>
      </c>
      <c r="AA172" s="2">
        <f>IF(L172="None","No Maintenance",IF(L172="Preventive","Planned","Breakdown"))</f>
        <v/>
      </c>
    </row>
    <row r="173">
      <c r="A173" s="2" t="n">
        <v>169</v>
      </c>
      <c r="B173" s="4" t="n">
        <v>46079</v>
      </c>
      <c r="C173" s="2" t="inlineStr">
        <is>
          <t>Day</t>
        </is>
      </c>
      <c r="D173" s="2" t="inlineStr">
        <is>
          <t>Line 1</t>
        </is>
      </c>
      <c r="E173" s="2" t="inlineStr">
        <is>
          <t>Paprika Chips</t>
        </is>
      </c>
      <c r="F173" s="2" t="n">
        <v>963</v>
      </c>
      <c r="G173" s="2" t="n">
        <v>612.1</v>
      </c>
      <c r="H173" s="2" t="n">
        <v>597.9</v>
      </c>
      <c r="I173" s="2" t="n">
        <v>14.2</v>
      </c>
      <c r="J173" s="2" t="n">
        <v>2.87</v>
      </c>
      <c r="K173" s="2" t="inlineStr">
        <is>
          <t>Raw Material Shortage</t>
        </is>
      </c>
      <c r="L173" s="2" t="inlineStr">
        <is>
          <t>Emergency</t>
        </is>
      </c>
      <c r="M173" s="2" t="n">
        <v>1292.4</v>
      </c>
      <c r="N173" s="2" t="n">
        <v>214.5</v>
      </c>
      <c r="O173" s="2" t="n">
        <v>70246.60000000001</v>
      </c>
      <c r="P173" s="2" t="n">
        <v>172.7</v>
      </c>
      <c r="Q173" s="2" t="n">
        <v>1.93</v>
      </c>
      <c r="R173" s="2" t="n">
        <v>1219.27</v>
      </c>
      <c r="S173" s="5">
        <f>G173/F173</f>
        <v/>
      </c>
      <c r="T173" s="5">
        <f>MAX(0,1-J173/8)</f>
        <v/>
      </c>
      <c r="U173" s="5">
        <f>IFERROR(G173/(F173*T173),0)</f>
        <v/>
      </c>
      <c r="V173" s="5">
        <f>IFERROR(H173/G173,0)</f>
        <v/>
      </c>
      <c r="W173" s="5">
        <f>T173*U173*V173</f>
        <v/>
      </c>
      <c r="X173" s="5">
        <f>IFERROR(I173/G173,0)</f>
        <v/>
      </c>
      <c r="Y173" s="6">
        <f>IFERROR(G173/M173,0)</f>
        <v/>
      </c>
      <c r="Z173" s="6">
        <f>IFERROR(O173/G173,0)</f>
        <v/>
      </c>
      <c r="AA173" s="2">
        <f>IF(L173="None","No Maintenance",IF(L173="Preventive","Planned","Breakdown"))</f>
        <v/>
      </c>
    </row>
    <row r="174">
      <c r="A174" s="2" t="n">
        <v>170</v>
      </c>
      <c r="B174" s="4" t="n">
        <v>46079</v>
      </c>
      <c r="C174" s="2" t="inlineStr">
        <is>
          <t>Evening</t>
        </is>
      </c>
      <c r="D174" s="2" t="inlineStr">
        <is>
          <t>Line 2</t>
        </is>
      </c>
      <c r="E174" s="2" t="inlineStr">
        <is>
          <t>Salt &amp; Vinegar</t>
        </is>
      </c>
      <c r="F174" s="2" t="n">
        <v>996</v>
      </c>
      <c r="G174" s="2" t="n">
        <v>774.2</v>
      </c>
      <c r="H174" s="2" t="n">
        <v>764.3</v>
      </c>
      <c r="I174" s="2" t="n">
        <v>9.9</v>
      </c>
      <c r="J174" s="2" t="n">
        <v>0.31</v>
      </c>
      <c r="K174" s="2" t="inlineStr">
        <is>
          <t>No Downtime</t>
        </is>
      </c>
      <c r="L174" s="2" t="inlineStr">
        <is>
          <t>None</t>
        </is>
      </c>
      <c r="M174" s="2" t="n">
        <v>1642.4</v>
      </c>
      <c r="N174" s="2" t="n">
        <v>261.8</v>
      </c>
      <c r="O174" s="2" t="n">
        <v>91724.7</v>
      </c>
      <c r="P174" s="2" t="n">
        <v>181.5</v>
      </c>
      <c r="Q174" s="2" t="n">
        <v>1.86</v>
      </c>
      <c r="R174" s="2" t="n">
        <v>0</v>
      </c>
      <c r="S174" s="5">
        <f>G174/F174</f>
        <v/>
      </c>
      <c r="T174" s="5">
        <f>MAX(0,1-J174/8)</f>
        <v/>
      </c>
      <c r="U174" s="5">
        <f>IFERROR(G174/(F174*T174),0)</f>
        <v/>
      </c>
      <c r="V174" s="5">
        <f>IFERROR(H174/G174,0)</f>
        <v/>
      </c>
      <c r="W174" s="5">
        <f>T174*U174*V174</f>
        <v/>
      </c>
      <c r="X174" s="5">
        <f>IFERROR(I174/G174,0)</f>
        <v/>
      </c>
      <c r="Y174" s="6">
        <f>IFERROR(G174/M174,0)</f>
        <v/>
      </c>
      <c r="Z174" s="6">
        <f>IFERROR(O174/G174,0)</f>
        <v/>
      </c>
      <c r="AA174" s="2">
        <f>IF(L174="None","No Maintenance",IF(L174="Preventive","Planned","Breakdown"))</f>
        <v/>
      </c>
    </row>
    <row r="175">
      <c r="A175" s="2" t="n">
        <v>171</v>
      </c>
      <c r="B175" s="4" t="n">
        <v>46079</v>
      </c>
      <c r="C175" s="2" t="inlineStr">
        <is>
          <t>Night</t>
        </is>
      </c>
      <c r="D175" s="2" t="inlineStr">
        <is>
          <t>Line 1</t>
        </is>
      </c>
      <c r="E175" s="2" t="inlineStr">
        <is>
          <t>Classic Chips</t>
        </is>
      </c>
      <c r="F175" s="2" t="n">
        <v>961</v>
      </c>
      <c r="G175" s="2" t="n">
        <v>564.5</v>
      </c>
      <c r="H175" s="2" t="n">
        <v>554.9</v>
      </c>
      <c r="I175" s="2" t="n">
        <v>9.6</v>
      </c>
      <c r="J175" s="2" t="n">
        <v>3.73</v>
      </c>
      <c r="K175" s="2" t="inlineStr">
        <is>
          <t>Conveyor Jam</t>
        </is>
      </c>
      <c r="L175" s="2" t="inlineStr">
        <is>
          <t>Corrective</t>
        </is>
      </c>
      <c r="M175" s="2" t="n">
        <v>1177.1</v>
      </c>
      <c r="N175" s="2" t="n">
        <v>166</v>
      </c>
      <c r="O175" s="2" t="n">
        <v>65611.3</v>
      </c>
      <c r="P175" s="2" t="n">
        <v>173</v>
      </c>
      <c r="Q175" s="2" t="n">
        <v>1.45</v>
      </c>
      <c r="R175" s="2" t="n">
        <v>544.12</v>
      </c>
      <c r="S175" s="5">
        <f>G175/F175</f>
        <v/>
      </c>
      <c r="T175" s="5">
        <f>MAX(0,1-J175/8)</f>
        <v/>
      </c>
      <c r="U175" s="5">
        <f>IFERROR(G175/(F175*T175),0)</f>
        <v/>
      </c>
      <c r="V175" s="5">
        <f>IFERROR(H175/G175,0)</f>
        <v/>
      </c>
      <c r="W175" s="5">
        <f>T175*U175*V175</f>
        <v/>
      </c>
      <c r="X175" s="5">
        <f>IFERROR(I175/G175,0)</f>
        <v/>
      </c>
      <c r="Y175" s="6">
        <f>IFERROR(G175/M175,0)</f>
        <v/>
      </c>
      <c r="Z175" s="6">
        <f>IFERROR(O175/G175,0)</f>
        <v/>
      </c>
      <c r="AA175" s="2">
        <f>IF(L175="None","No Maintenance",IF(L175="Preventive","Planned","Breakdown"))</f>
        <v/>
      </c>
    </row>
    <row r="176">
      <c r="A176" s="2" t="n">
        <v>172</v>
      </c>
      <c r="B176" s="4" t="n">
        <v>46080</v>
      </c>
      <c r="C176" s="2" t="inlineStr">
        <is>
          <t>Day</t>
        </is>
      </c>
      <c r="D176" s="2" t="inlineStr">
        <is>
          <t>Line 1</t>
        </is>
      </c>
      <c r="E176" s="2" t="inlineStr">
        <is>
          <t>Paprika Chips</t>
        </is>
      </c>
      <c r="F176" s="2" t="n">
        <v>983</v>
      </c>
      <c r="G176" s="2" t="n">
        <v>730.8</v>
      </c>
      <c r="H176" s="2" t="n">
        <v>719.5</v>
      </c>
      <c r="I176" s="2" t="n">
        <v>11.3</v>
      </c>
      <c r="J176" s="2" t="n">
        <v>2.35</v>
      </c>
      <c r="K176" s="2" t="inlineStr">
        <is>
          <t>Packaging Machine</t>
        </is>
      </c>
      <c r="L176" s="2" t="inlineStr">
        <is>
          <t>Corrective</t>
        </is>
      </c>
      <c r="M176" s="2" t="n">
        <v>1515.1</v>
      </c>
      <c r="N176" s="2" t="n">
        <v>238.6</v>
      </c>
      <c r="O176" s="2" t="n">
        <v>89231.89999999999</v>
      </c>
      <c r="P176" s="2" t="n">
        <v>181.1</v>
      </c>
      <c r="Q176" s="2" t="n">
        <v>1.73</v>
      </c>
      <c r="R176" s="2" t="n">
        <v>786.99</v>
      </c>
      <c r="S176" s="5">
        <f>G176/F176</f>
        <v/>
      </c>
      <c r="T176" s="5">
        <f>MAX(0,1-J176/8)</f>
        <v/>
      </c>
      <c r="U176" s="5">
        <f>IFERROR(G176/(F176*T176),0)</f>
        <v/>
      </c>
      <c r="V176" s="5">
        <f>IFERROR(H176/G176,0)</f>
        <v/>
      </c>
      <c r="W176" s="5">
        <f>T176*U176*V176</f>
        <v/>
      </c>
      <c r="X176" s="5">
        <f>IFERROR(I176/G176,0)</f>
        <v/>
      </c>
      <c r="Y176" s="6">
        <f>IFERROR(G176/M176,0)</f>
        <v/>
      </c>
      <c r="Z176" s="6">
        <f>IFERROR(O176/G176,0)</f>
        <v/>
      </c>
      <c r="AA176" s="2">
        <f>IF(L176="None","No Maintenance",IF(L176="Preventive","Planned","Breakdown"))</f>
        <v/>
      </c>
    </row>
    <row r="177">
      <c r="A177" s="2" t="n">
        <v>173</v>
      </c>
      <c r="B177" s="4" t="n">
        <v>46080</v>
      </c>
      <c r="C177" s="2" t="inlineStr">
        <is>
          <t>Evening</t>
        </is>
      </c>
      <c r="D177" s="2" t="inlineStr">
        <is>
          <t>Line 1</t>
        </is>
      </c>
      <c r="E177" s="2" t="inlineStr">
        <is>
          <t>Classic Chips</t>
        </is>
      </c>
      <c r="F177" s="2" t="n">
        <v>923</v>
      </c>
      <c r="G177" s="2" t="n">
        <v>772.6</v>
      </c>
      <c r="H177" s="2" t="n">
        <v>762.4</v>
      </c>
      <c r="I177" s="2" t="n">
        <v>10.2</v>
      </c>
      <c r="J177" s="2" t="n">
        <v>0.55</v>
      </c>
      <c r="K177" s="2" t="inlineStr">
        <is>
          <t>Conveyor Jam</t>
        </is>
      </c>
      <c r="L177" s="2" t="inlineStr">
        <is>
          <t>Corrective</t>
        </is>
      </c>
      <c r="M177" s="2" t="n">
        <v>1592.3</v>
      </c>
      <c r="N177" s="2" t="n">
        <v>250.8</v>
      </c>
      <c r="O177" s="2" t="n">
        <v>80065.5</v>
      </c>
      <c r="P177" s="2" t="n">
        <v>178.4</v>
      </c>
      <c r="Q177" s="2" t="n">
        <v>1.55</v>
      </c>
      <c r="R177" s="2" t="n">
        <v>774.46</v>
      </c>
      <c r="S177" s="5">
        <f>G177/F177</f>
        <v/>
      </c>
      <c r="T177" s="5">
        <f>MAX(0,1-J177/8)</f>
        <v/>
      </c>
      <c r="U177" s="5">
        <f>IFERROR(G177/(F177*T177),0)</f>
        <v/>
      </c>
      <c r="V177" s="5">
        <f>IFERROR(H177/G177,0)</f>
        <v/>
      </c>
      <c r="W177" s="5">
        <f>T177*U177*V177</f>
        <v/>
      </c>
      <c r="X177" s="5">
        <f>IFERROR(I177/G177,0)</f>
        <v/>
      </c>
      <c r="Y177" s="6">
        <f>IFERROR(G177/M177,0)</f>
        <v/>
      </c>
      <c r="Z177" s="6">
        <f>IFERROR(O177/G177,0)</f>
        <v/>
      </c>
      <c r="AA177" s="2">
        <f>IF(L177="None","No Maintenance",IF(L177="Preventive","Planned","Breakdown"))</f>
        <v/>
      </c>
    </row>
    <row r="178">
      <c r="A178" s="2" t="n">
        <v>174</v>
      </c>
      <c r="B178" s="4" t="n">
        <v>46080</v>
      </c>
      <c r="C178" s="2" t="inlineStr">
        <is>
          <t>Night</t>
        </is>
      </c>
      <c r="D178" s="2" t="inlineStr">
        <is>
          <t>Line 2</t>
        </is>
      </c>
      <c r="E178" s="2" t="inlineStr">
        <is>
          <t>Salt &amp; Vinegar</t>
        </is>
      </c>
      <c r="F178" s="2" t="n">
        <v>1000</v>
      </c>
      <c r="G178" s="2" t="n">
        <v>623.5</v>
      </c>
      <c r="H178" s="2" t="n">
        <v>611</v>
      </c>
      <c r="I178" s="2" t="n">
        <v>12.5</v>
      </c>
      <c r="J178" s="2" t="n">
        <v>2.41</v>
      </c>
      <c r="K178" s="2" t="inlineStr">
        <is>
          <t>Electrical Fault</t>
        </is>
      </c>
      <c r="L178" s="2" t="inlineStr">
        <is>
          <t>Corrective</t>
        </is>
      </c>
      <c r="M178" s="2" t="n">
        <v>1278.7</v>
      </c>
      <c r="N178" s="2" t="n">
        <v>216.4</v>
      </c>
      <c r="O178" s="2" t="n">
        <v>68901.7</v>
      </c>
      <c r="P178" s="2" t="n">
        <v>175.8</v>
      </c>
      <c r="Q178" s="2" t="n">
        <v>1.75</v>
      </c>
      <c r="R178" s="2" t="n">
        <v>512.5599999999999</v>
      </c>
      <c r="S178" s="5">
        <f>G178/F178</f>
        <v/>
      </c>
      <c r="T178" s="5">
        <f>MAX(0,1-J178/8)</f>
        <v/>
      </c>
      <c r="U178" s="5">
        <f>IFERROR(G178/(F178*T178),0)</f>
        <v/>
      </c>
      <c r="V178" s="5">
        <f>IFERROR(H178/G178,0)</f>
        <v/>
      </c>
      <c r="W178" s="5">
        <f>T178*U178*V178</f>
        <v/>
      </c>
      <c r="X178" s="5">
        <f>IFERROR(I178/G178,0)</f>
        <v/>
      </c>
      <c r="Y178" s="6">
        <f>IFERROR(G178/M178,0)</f>
        <v/>
      </c>
      <c r="Z178" s="6">
        <f>IFERROR(O178/G178,0)</f>
        <v/>
      </c>
      <c r="AA178" s="2">
        <f>IF(L178="None","No Maintenance",IF(L178="Preventive","Planned","Breakdown"))</f>
        <v/>
      </c>
    </row>
    <row r="179">
      <c r="A179" s="2" t="n">
        <v>175</v>
      </c>
      <c r="B179" s="4" t="n">
        <v>46081</v>
      </c>
      <c r="C179" s="2" t="inlineStr">
        <is>
          <t>Day</t>
        </is>
      </c>
      <c r="D179" s="2" t="inlineStr">
        <is>
          <t>Line 1</t>
        </is>
      </c>
      <c r="E179" s="2" t="inlineStr">
        <is>
          <t>Classic Chips</t>
        </is>
      </c>
      <c r="F179" s="2" t="n">
        <v>967</v>
      </c>
      <c r="G179" s="2" t="n">
        <v>663.9</v>
      </c>
      <c r="H179" s="2" t="n">
        <v>660.7</v>
      </c>
      <c r="I179" s="2" t="n">
        <v>3.1</v>
      </c>
      <c r="J179" s="2" t="n">
        <v>3.25</v>
      </c>
      <c r="K179" s="2" t="inlineStr">
        <is>
          <t>Planned Maintenance</t>
        </is>
      </c>
      <c r="L179" s="2" t="inlineStr">
        <is>
          <t>Preventive</t>
        </is>
      </c>
      <c r="M179" s="2" t="n">
        <v>1363.5</v>
      </c>
      <c r="N179" s="2" t="n">
        <v>204.8</v>
      </c>
      <c r="O179" s="2" t="n">
        <v>72078.2</v>
      </c>
      <c r="P179" s="2" t="n">
        <v>176.5</v>
      </c>
      <c r="Q179" s="2" t="n">
        <v>1.69</v>
      </c>
      <c r="R179" s="2" t="n">
        <v>146.05</v>
      </c>
      <c r="S179" s="5">
        <f>G179/F179</f>
        <v/>
      </c>
      <c r="T179" s="5">
        <f>MAX(0,1-J179/8)</f>
        <v/>
      </c>
      <c r="U179" s="5">
        <f>IFERROR(G179/(F179*T179),0)</f>
        <v/>
      </c>
      <c r="V179" s="5">
        <f>IFERROR(H179/G179,0)</f>
        <v/>
      </c>
      <c r="W179" s="5">
        <f>T179*U179*V179</f>
        <v/>
      </c>
      <c r="X179" s="5">
        <f>IFERROR(I179/G179,0)</f>
        <v/>
      </c>
      <c r="Y179" s="6">
        <f>IFERROR(G179/M179,0)</f>
        <v/>
      </c>
      <c r="Z179" s="6">
        <f>IFERROR(O179/G179,0)</f>
        <v/>
      </c>
      <c r="AA179" s="2">
        <f>IF(L179="None","No Maintenance",IF(L179="Preventive","Planned","Breakdown"))</f>
        <v/>
      </c>
    </row>
    <row r="180">
      <c r="A180" s="2" t="n">
        <v>176</v>
      </c>
      <c r="B180" s="4" t="n">
        <v>46081</v>
      </c>
      <c r="C180" s="2" t="inlineStr">
        <is>
          <t>Evening</t>
        </is>
      </c>
      <c r="D180" s="2" t="inlineStr">
        <is>
          <t>Line 1</t>
        </is>
      </c>
      <c r="E180" s="2" t="inlineStr">
        <is>
          <t>Salt &amp; Vinegar</t>
        </is>
      </c>
      <c r="F180" s="2" t="n">
        <v>980</v>
      </c>
      <c r="G180" s="2" t="n">
        <v>626.6</v>
      </c>
      <c r="H180" s="2" t="n">
        <v>616.4</v>
      </c>
      <c r="I180" s="2" t="n">
        <v>10.2</v>
      </c>
      <c r="J180" s="2" t="n">
        <v>3.21</v>
      </c>
      <c r="K180" s="2" t="inlineStr">
        <is>
          <t>Electrical Fault</t>
        </is>
      </c>
      <c r="L180" s="2" t="inlineStr">
        <is>
          <t>Corrective</t>
        </is>
      </c>
      <c r="M180" s="2" t="n">
        <v>1374.3</v>
      </c>
      <c r="N180" s="2" t="n">
        <v>206.6</v>
      </c>
      <c r="O180" s="2" t="n">
        <v>77148.60000000001</v>
      </c>
      <c r="P180" s="2" t="n">
        <v>177.5</v>
      </c>
      <c r="Q180" s="2" t="n">
        <v>1.81</v>
      </c>
      <c r="R180" s="2" t="n">
        <v>656.01</v>
      </c>
      <c r="S180" s="5">
        <f>G180/F180</f>
        <v/>
      </c>
      <c r="T180" s="5">
        <f>MAX(0,1-J180/8)</f>
        <v/>
      </c>
      <c r="U180" s="5">
        <f>IFERROR(G180/(F180*T180),0)</f>
        <v/>
      </c>
      <c r="V180" s="5">
        <f>IFERROR(H180/G180,0)</f>
        <v/>
      </c>
      <c r="W180" s="5">
        <f>T180*U180*V180</f>
        <v/>
      </c>
      <c r="X180" s="5">
        <f>IFERROR(I180/G180,0)</f>
        <v/>
      </c>
      <c r="Y180" s="6">
        <f>IFERROR(G180/M180,0)</f>
        <v/>
      </c>
      <c r="Z180" s="6">
        <f>IFERROR(O180/G180,0)</f>
        <v/>
      </c>
      <c r="AA180" s="2">
        <f>IF(L180="None","No Maintenance",IF(L180="Preventive","Planned","Breakdown"))</f>
        <v/>
      </c>
    </row>
    <row r="181">
      <c r="A181" s="2" t="n">
        <v>177</v>
      </c>
      <c r="B181" s="4" t="n">
        <v>46081</v>
      </c>
      <c r="C181" s="2" t="inlineStr">
        <is>
          <t>Night</t>
        </is>
      </c>
      <c r="D181" s="2" t="inlineStr">
        <is>
          <t>Line 1</t>
        </is>
      </c>
      <c r="E181" s="2" t="inlineStr">
        <is>
          <t>Salt &amp; Vinegar</t>
        </is>
      </c>
      <c r="F181" s="2" t="n">
        <v>1045</v>
      </c>
      <c r="G181" s="2" t="n">
        <v>855.7</v>
      </c>
      <c r="H181" s="2" t="n">
        <v>833.4</v>
      </c>
      <c r="I181" s="2" t="n">
        <v>22.3</v>
      </c>
      <c r="J181" s="2" t="n">
        <v>0.88</v>
      </c>
      <c r="K181" s="2" t="inlineStr">
        <is>
          <t>Raw Material Shortage</t>
        </is>
      </c>
      <c r="L181" s="2" t="inlineStr">
        <is>
          <t>Corrective</t>
        </is>
      </c>
      <c r="M181" s="2" t="n">
        <v>1781.8</v>
      </c>
      <c r="N181" s="2" t="n">
        <v>236.2</v>
      </c>
      <c r="O181" s="2" t="n">
        <v>97132</v>
      </c>
      <c r="P181" s="2" t="n">
        <v>173.2</v>
      </c>
      <c r="Q181" s="2" t="n">
        <v>1.7</v>
      </c>
      <c r="R181" s="2" t="n">
        <v>457.8</v>
      </c>
      <c r="S181" s="5">
        <f>G181/F181</f>
        <v/>
      </c>
      <c r="T181" s="5">
        <f>MAX(0,1-J181/8)</f>
        <v/>
      </c>
      <c r="U181" s="5">
        <f>IFERROR(G181/(F181*T181),0)</f>
        <v/>
      </c>
      <c r="V181" s="5">
        <f>IFERROR(H181/G181,0)</f>
        <v/>
      </c>
      <c r="W181" s="5">
        <f>T181*U181*V181</f>
        <v/>
      </c>
      <c r="X181" s="5">
        <f>IFERROR(I181/G181,0)</f>
        <v/>
      </c>
      <c r="Y181" s="6">
        <f>IFERROR(G181/M181,0)</f>
        <v/>
      </c>
      <c r="Z181" s="6">
        <f>IFERROR(O181/G181,0)</f>
        <v/>
      </c>
      <c r="AA181" s="2">
        <f>IF(L181="None","No Maintenance",IF(L181="Preventive","Planned","Breakdown"))</f>
        <v/>
      </c>
    </row>
    <row r="182">
      <c r="A182" s="2" t="n">
        <v>178</v>
      </c>
      <c r="B182" s="4" t="n">
        <v>46082</v>
      </c>
      <c r="C182" s="2" t="inlineStr">
        <is>
          <t>Day</t>
        </is>
      </c>
      <c r="D182" s="2" t="inlineStr">
        <is>
          <t>Line 1</t>
        </is>
      </c>
      <c r="E182" s="2" t="inlineStr">
        <is>
          <t>Paprika Chips</t>
        </is>
      </c>
      <c r="F182" s="2" t="n">
        <v>1017</v>
      </c>
      <c r="G182" s="2" t="n">
        <v>956.1</v>
      </c>
      <c r="H182" s="2" t="n">
        <v>948.7</v>
      </c>
      <c r="I182" s="2" t="n">
        <v>7.4</v>
      </c>
      <c r="J182" s="2" t="n">
        <v>0.64</v>
      </c>
      <c r="K182" s="2" t="inlineStr">
        <is>
          <t>Quality Hold</t>
        </is>
      </c>
      <c r="L182" s="2" t="inlineStr">
        <is>
          <t>Corrective</t>
        </is>
      </c>
      <c r="M182" s="2" t="n">
        <v>1936.4</v>
      </c>
      <c r="N182" s="2" t="n">
        <v>297.9</v>
      </c>
      <c r="O182" s="2" t="n">
        <v>109308.4</v>
      </c>
      <c r="P182" s="2" t="n">
        <v>177.4</v>
      </c>
      <c r="Q182" s="2" t="n">
        <v>1.43</v>
      </c>
      <c r="R182" s="2" t="n">
        <v>473.73</v>
      </c>
      <c r="S182" s="5">
        <f>G182/F182</f>
        <v/>
      </c>
      <c r="T182" s="5">
        <f>MAX(0,1-J182/8)</f>
        <v/>
      </c>
      <c r="U182" s="5">
        <f>IFERROR(G182/(F182*T182),0)</f>
        <v/>
      </c>
      <c r="V182" s="5">
        <f>IFERROR(H182/G182,0)</f>
        <v/>
      </c>
      <c r="W182" s="5">
        <f>T182*U182*V182</f>
        <v/>
      </c>
      <c r="X182" s="5">
        <f>IFERROR(I182/G182,0)</f>
        <v/>
      </c>
      <c r="Y182" s="6">
        <f>IFERROR(G182/M182,0)</f>
        <v/>
      </c>
      <c r="Z182" s="6">
        <f>IFERROR(O182/G182,0)</f>
        <v/>
      </c>
      <c r="AA182" s="2">
        <f>IF(L182="None","No Maintenance",IF(L182="Preventive","Planned","Breakdown"))</f>
        <v/>
      </c>
    </row>
    <row r="183">
      <c r="A183" s="2" t="n">
        <v>179</v>
      </c>
      <c r="B183" s="4" t="n">
        <v>46082</v>
      </c>
      <c r="C183" s="2" t="inlineStr">
        <is>
          <t>Evening</t>
        </is>
      </c>
      <c r="D183" s="2" t="inlineStr">
        <is>
          <t>Line 2</t>
        </is>
      </c>
      <c r="E183" s="2" t="inlineStr">
        <is>
          <t>Classic Chips</t>
        </is>
      </c>
      <c r="F183" s="2" t="n">
        <v>942</v>
      </c>
      <c r="G183" s="2" t="n">
        <v>556.9</v>
      </c>
      <c r="H183" s="2" t="n">
        <v>551.3</v>
      </c>
      <c r="I183" s="2" t="n">
        <v>5.6</v>
      </c>
      <c r="J183" s="2" t="n">
        <v>3.95</v>
      </c>
      <c r="K183" s="2" t="inlineStr">
        <is>
          <t>Planned Maintenance</t>
        </is>
      </c>
      <c r="L183" s="2" t="inlineStr">
        <is>
          <t>Preventive</t>
        </is>
      </c>
      <c r="M183" s="2" t="n">
        <v>1185</v>
      </c>
      <c r="N183" s="2" t="n">
        <v>172.1</v>
      </c>
      <c r="O183" s="2" t="n">
        <v>65128.2</v>
      </c>
      <c r="P183" s="2" t="n">
        <v>178.2</v>
      </c>
      <c r="Q183" s="2" t="n">
        <v>1.81</v>
      </c>
      <c r="R183" s="2" t="n">
        <v>125.04</v>
      </c>
      <c r="S183" s="5">
        <f>G183/F183</f>
        <v/>
      </c>
      <c r="T183" s="5">
        <f>MAX(0,1-J183/8)</f>
        <v/>
      </c>
      <c r="U183" s="5">
        <f>IFERROR(G183/(F183*T183),0)</f>
        <v/>
      </c>
      <c r="V183" s="5">
        <f>IFERROR(H183/G183,0)</f>
        <v/>
      </c>
      <c r="W183" s="5">
        <f>T183*U183*V183</f>
        <v/>
      </c>
      <c r="X183" s="5">
        <f>IFERROR(I183/G183,0)</f>
        <v/>
      </c>
      <c r="Y183" s="6">
        <f>IFERROR(G183/M183,0)</f>
        <v/>
      </c>
      <c r="Z183" s="6">
        <f>IFERROR(O183/G183,0)</f>
        <v/>
      </c>
      <c r="AA183" s="2">
        <f>IF(L183="None","No Maintenance",IF(L183="Preventive","Planned","Breakdown"))</f>
        <v/>
      </c>
    </row>
    <row r="184">
      <c r="A184" s="2" t="n">
        <v>180</v>
      </c>
      <c r="B184" s="4" t="n">
        <v>46082</v>
      </c>
      <c r="C184" s="2" t="inlineStr">
        <is>
          <t>Night</t>
        </is>
      </c>
      <c r="D184" s="2" t="inlineStr">
        <is>
          <t>Line 1</t>
        </is>
      </c>
      <c r="E184" s="2" t="inlineStr">
        <is>
          <t>Paprika Chips</t>
        </is>
      </c>
      <c r="F184" s="2" t="n">
        <v>1021</v>
      </c>
      <c r="G184" s="2" t="n">
        <v>618.7</v>
      </c>
      <c r="H184" s="2" t="n">
        <v>606.9</v>
      </c>
      <c r="I184" s="2" t="n">
        <v>11.8</v>
      </c>
      <c r="J184" s="2" t="n">
        <v>2.66</v>
      </c>
      <c r="K184" s="2" t="inlineStr">
        <is>
          <t>Packaging Machine</t>
        </is>
      </c>
      <c r="L184" s="2" t="inlineStr">
        <is>
          <t>Corrective</t>
        </is>
      </c>
      <c r="M184" s="2" t="n">
        <v>1270.8</v>
      </c>
      <c r="N184" s="2" t="n">
        <v>192</v>
      </c>
      <c r="O184" s="2" t="n">
        <v>71392.8</v>
      </c>
      <c r="P184" s="2" t="n">
        <v>187.2</v>
      </c>
      <c r="Q184" s="2" t="n">
        <v>1.99</v>
      </c>
      <c r="R184" s="2" t="n">
        <v>673.87</v>
      </c>
      <c r="S184" s="5">
        <f>G184/F184</f>
        <v/>
      </c>
      <c r="T184" s="5">
        <f>MAX(0,1-J184/8)</f>
        <v/>
      </c>
      <c r="U184" s="5">
        <f>IFERROR(G184/(F184*T184),0)</f>
        <v/>
      </c>
      <c r="V184" s="5">
        <f>IFERROR(H184/G184,0)</f>
        <v/>
      </c>
      <c r="W184" s="5">
        <f>T184*U184*V184</f>
        <v/>
      </c>
      <c r="X184" s="5">
        <f>IFERROR(I184/G184,0)</f>
        <v/>
      </c>
      <c r="Y184" s="6">
        <f>IFERROR(G184/M184,0)</f>
        <v/>
      </c>
      <c r="Z184" s="6">
        <f>IFERROR(O184/G184,0)</f>
        <v/>
      </c>
      <c r="AA184" s="2">
        <f>IF(L184="None","No Maintenance",IF(L184="Preventive","Planned","Breakdown"))</f>
        <v/>
      </c>
    </row>
    <row r="185">
      <c r="A185" s="2" t="n">
        <v>181</v>
      </c>
      <c r="B185" s="4" t="n">
        <v>46083</v>
      </c>
      <c r="C185" s="2" t="inlineStr">
        <is>
          <t>Day</t>
        </is>
      </c>
      <c r="D185" s="2" t="inlineStr">
        <is>
          <t>Line 2</t>
        </is>
      </c>
      <c r="E185" s="2" t="inlineStr">
        <is>
          <t>Paprika Chips</t>
        </is>
      </c>
      <c r="F185" s="2" t="n">
        <v>934</v>
      </c>
      <c r="G185" s="2" t="n">
        <v>857.7</v>
      </c>
      <c r="H185" s="2" t="n">
        <v>840.8</v>
      </c>
      <c r="I185" s="2" t="n">
        <v>16.9</v>
      </c>
      <c r="J185" s="2" t="n">
        <v>0.15</v>
      </c>
      <c r="K185" s="2" t="inlineStr">
        <is>
          <t>No Downtime</t>
        </is>
      </c>
      <c r="L185" s="2" t="inlineStr">
        <is>
          <t>None</t>
        </is>
      </c>
      <c r="M185" s="2" t="n">
        <v>1779.5</v>
      </c>
      <c r="N185" s="2" t="n">
        <v>269.3</v>
      </c>
      <c r="O185" s="2" t="n">
        <v>105983.1</v>
      </c>
      <c r="P185" s="2" t="n">
        <v>181.2</v>
      </c>
      <c r="Q185" s="2" t="n">
        <v>1.69</v>
      </c>
      <c r="R185" s="2" t="n">
        <v>0</v>
      </c>
      <c r="S185" s="5">
        <f>G185/F185</f>
        <v/>
      </c>
      <c r="T185" s="5">
        <f>MAX(0,1-J185/8)</f>
        <v/>
      </c>
      <c r="U185" s="5">
        <f>IFERROR(G185/(F185*T185),0)</f>
        <v/>
      </c>
      <c r="V185" s="5">
        <f>IFERROR(H185/G185,0)</f>
        <v/>
      </c>
      <c r="W185" s="5">
        <f>T185*U185*V185</f>
        <v/>
      </c>
      <c r="X185" s="5">
        <f>IFERROR(I185/G185,0)</f>
        <v/>
      </c>
      <c r="Y185" s="6">
        <f>IFERROR(G185/M185,0)</f>
        <v/>
      </c>
      <c r="Z185" s="6">
        <f>IFERROR(O185/G185,0)</f>
        <v/>
      </c>
      <c r="AA185" s="2">
        <f>IF(L185="None","No Maintenance",IF(L185="Preventive","Planned","Breakdown"))</f>
        <v/>
      </c>
    </row>
    <row r="186">
      <c r="A186" s="2" t="n">
        <v>182</v>
      </c>
      <c r="B186" s="4" t="n">
        <v>46083</v>
      </c>
      <c r="C186" s="2" t="inlineStr">
        <is>
          <t>Evening</t>
        </is>
      </c>
      <c r="D186" s="2" t="inlineStr">
        <is>
          <t>Line 1</t>
        </is>
      </c>
      <c r="E186" s="2" t="inlineStr">
        <is>
          <t>Salt &amp; Vinegar</t>
        </is>
      </c>
      <c r="F186" s="2" t="n">
        <v>954</v>
      </c>
      <c r="G186" s="2" t="n">
        <v>852.5</v>
      </c>
      <c r="H186" s="2" t="n">
        <v>835.7</v>
      </c>
      <c r="I186" s="2" t="n">
        <v>16.8</v>
      </c>
      <c r="J186" s="2" t="n">
        <v>0.36</v>
      </c>
      <c r="K186" s="2" t="inlineStr">
        <is>
          <t>No Downtime</t>
        </is>
      </c>
      <c r="L186" s="2" t="inlineStr">
        <is>
          <t>None</t>
        </is>
      </c>
      <c r="M186" s="2" t="n">
        <v>1724.3</v>
      </c>
      <c r="N186" s="2" t="n">
        <v>264.9</v>
      </c>
      <c r="O186" s="2" t="n">
        <v>103901.8</v>
      </c>
      <c r="P186" s="2" t="n">
        <v>178.2</v>
      </c>
      <c r="Q186" s="2" t="n">
        <v>1.69</v>
      </c>
      <c r="R186" s="2" t="n">
        <v>0</v>
      </c>
      <c r="S186" s="5">
        <f>G186/F186</f>
        <v/>
      </c>
      <c r="T186" s="5">
        <f>MAX(0,1-J186/8)</f>
        <v/>
      </c>
      <c r="U186" s="5">
        <f>IFERROR(G186/(F186*T186),0)</f>
        <v/>
      </c>
      <c r="V186" s="5">
        <f>IFERROR(H186/G186,0)</f>
        <v/>
      </c>
      <c r="W186" s="5">
        <f>T186*U186*V186</f>
        <v/>
      </c>
      <c r="X186" s="5">
        <f>IFERROR(I186/G186,0)</f>
        <v/>
      </c>
      <c r="Y186" s="6">
        <f>IFERROR(G186/M186,0)</f>
        <v/>
      </c>
      <c r="Z186" s="6">
        <f>IFERROR(O186/G186,0)</f>
        <v/>
      </c>
      <c r="AA186" s="2">
        <f>IF(L186="None","No Maintenance",IF(L186="Preventive","Planned","Breakdown"))</f>
        <v/>
      </c>
    </row>
    <row r="187">
      <c r="A187" s="2" t="n">
        <v>183</v>
      </c>
      <c r="B187" s="4" t="n">
        <v>46083</v>
      </c>
      <c r="C187" s="2" t="inlineStr">
        <is>
          <t>Night</t>
        </is>
      </c>
      <c r="D187" s="2" t="inlineStr">
        <is>
          <t>Line 1</t>
        </is>
      </c>
      <c r="E187" s="2" t="inlineStr">
        <is>
          <t>Classic Chips</t>
        </is>
      </c>
      <c r="F187" s="2" t="n">
        <v>1027</v>
      </c>
      <c r="G187" s="2" t="n">
        <v>815.2</v>
      </c>
      <c r="H187" s="2" t="n">
        <v>803.7</v>
      </c>
      <c r="I187" s="2" t="n">
        <v>11.5</v>
      </c>
      <c r="J187" s="2" t="n">
        <v>0.66</v>
      </c>
      <c r="K187" s="2" t="inlineStr">
        <is>
          <t>Conveyor Jam</t>
        </is>
      </c>
      <c r="L187" s="2" t="inlineStr">
        <is>
          <t>Corrective</t>
        </is>
      </c>
      <c r="M187" s="2" t="n">
        <v>1615.2</v>
      </c>
      <c r="N187" s="2" t="n">
        <v>291.3</v>
      </c>
      <c r="O187" s="2" t="n">
        <v>92047.10000000001</v>
      </c>
      <c r="P187" s="2" t="n">
        <v>178.3</v>
      </c>
      <c r="Q187" s="2" t="n">
        <v>1.58</v>
      </c>
      <c r="R187" s="2" t="n">
        <v>889.02</v>
      </c>
      <c r="S187" s="5">
        <f>G187/F187</f>
        <v/>
      </c>
      <c r="T187" s="5">
        <f>MAX(0,1-J187/8)</f>
        <v/>
      </c>
      <c r="U187" s="5">
        <f>IFERROR(G187/(F187*T187),0)</f>
        <v/>
      </c>
      <c r="V187" s="5">
        <f>IFERROR(H187/G187,0)</f>
        <v/>
      </c>
      <c r="W187" s="5">
        <f>T187*U187*V187</f>
        <v/>
      </c>
      <c r="X187" s="5">
        <f>IFERROR(I187/G187,0)</f>
        <v/>
      </c>
      <c r="Y187" s="6">
        <f>IFERROR(G187/M187,0)</f>
        <v/>
      </c>
      <c r="Z187" s="6">
        <f>IFERROR(O187/G187,0)</f>
        <v/>
      </c>
      <c r="AA187" s="2">
        <f>IF(L187="None","No Maintenance",IF(L187="Preventive","Planned","Breakdown"))</f>
        <v/>
      </c>
    </row>
    <row r="188">
      <c r="A188" s="2" t="n">
        <v>184</v>
      </c>
      <c r="B188" s="4" t="n">
        <v>46084</v>
      </c>
      <c r="C188" s="2" t="inlineStr">
        <is>
          <t>Day</t>
        </is>
      </c>
      <c r="D188" s="2" t="inlineStr">
        <is>
          <t>Line 2</t>
        </is>
      </c>
      <c r="E188" s="2" t="inlineStr">
        <is>
          <t>Classic Chips</t>
        </is>
      </c>
      <c r="F188" s="2" t="n">
        <v>998</v>
      </c>
      <c r="G188" s="2" t="n">
        <v>744.5</v>
      </c>
      <c r="H188" s="2" t="n">
        <v>731.5</v>
      </c>
      <c r="I188" s="2" t="n">
        <v>13</v>
      </c>
      <c r="J188" s="2" t="n">
        <v>0.87</v>
      </c>
      <c r="K188" s="2" t="inlineStr">
        <is>
          <t>Conveyor Jam</t>
        </is>
      </c>
      <c r="L188" s="2" t="inlineStr">
        <is>
          <t>Corrective</t>
        </is>
      </c>
      <c r="M188" s="2" t="n">
        <v>1546.9</v>
      </c>
      <c r="N188" s="2" t="n">
        <v>253.1</v>
      </c>
      <c r="O188" s="2" t="n">
        <v>80805.3</v>
      </c>
      <c r="P188" s="2" t="n">
        <v>178.9</v>
      </c>
      <c r="Q188" s="2" t="n">
        <v>1.85</v>
      </c>
      <c r="R188" s="2" t="n">
        <v>681.34</v>
      </c>
      <c r="S188" s="5">
        <f>G188/F188</f>
        <v/>
      </c>
      <c r="T188" s="5">
        <f>MAX(0,1-J188/8)</f>
        <v/>
      </c>
      <c r="U188" s="5">
        <f>IFERROR(G188/(F188*T188),0)</f>
        <v/>
      </c>
      <c r="V188" s="5">
        <f>IFERROR(H188/G188,0)</f>
        <v/>
      </c>
      <c r="W188" s="5">
        <f>T188*U188*V188</f>
        <v/>
      </c>
      <c r="X188" s="5">
        <f>IFERROR(I188/G188,0)</f>
        <v/>
      </c>
      <c r="Y188" s="6">
        <f>IFERROR(G188/M188,0)</f>
        <v/>
      </c>
      <c r="Z188" s="6">
        <f>IFERROR(O188/G188,0)</f>
        <v/>
      </c>
      <c r="AA188" s="2">
        <f>IF(L188="None","No Maintenance",IF(L188="Preventive","Planned","Breakdown"))</f>
        <v/>
      </c>
    </row>
    <row r="189">
      <c r="A189" s="2" t="n">
        <v>185</v>
      </c>
      <c r="B189" s="4" t="n">
        <v>46084</v>
      </c>
      <c r="C189" s="2" t="inlineStr">
        <is>
          <t>Evening</t>
        </is>
      </c>
      <c r="D189" s="2" t="inlineStr">
        <is>
          <t>Line 2</t>
        </is>
      </c>
      <c r="E189" s="2" t="inlineStr">
        <is>
          <t>Salt &amp; Vinegar</t>
        </is>
      </c>
      <c r="F189" s="2" t="n">
        <v>912</v>
      </c>
      <c r="G189" s="2" t="n">
        <v>607.1</v>
      </c>
      <c r="H189" s="2" t="n">
        <v>600.1</v>
      </c>
      <c r="I189" s="2" t="n">
        <v>7</v>
      </c>
      <c r="J189" s="2" t="n">
        <v>1.9</v>
      </c>
      <c r="K189" s="2" t="inlineStr">
        <is>
          <t>Conveyor Jam</t>
        </is>
      </c>
      <c r="L189" s="2" t="inlineStr">
        <is>
          <t>Corrective</t>
        </is>
      </c>
      <c r="M189" s="2" t="n">
        <v>1271.1</v>
      </c>
      <c r="N189" s="2" t="n">
        <v>205.2</v>
      </c>
      <c r="O189" s="2" t="n">
        <v>75093.5</v>
      </c>
      <c r="P189" s="2" t="n">
        <v>173.2</v>
      </c>
      <c r="Q189" s="2" t="n">
        <v>1.66</v>
      </c>
      <c r="R189" s="2" t="n">
        <v>370.03</v>
      </c>
      <c r="S189" s="5">
        <f>G189/F189</f>
        <v/>
      </c>
      <c r="T189" s="5">
        <f>MAX(0,1-J189/8)</f>
        <v/>
      </c>
      <c r="U189" s="5">
        <f>IFERROR(G189/(F189*T189),0)</f>
        <v/>
      </c>
      <c r="V189" s="5">
        <f>IFERROR(H189/G189,0)</f>
        <v/>
      </c>
      <c r="W189" s="5">
        <f>T189*U189*V189</f>
        <v/>
      </c>
      <c r="X189" s="5">
        <f>IFERROR(I189/G189,0)</f>
        <v/>
      </c>
      <c r="Y189" s="6">
        <f>IFERROR(G189/M189,0)</f>
        <v/>
      </c>
      <c r="Z189" s="6">
        <f>IFERROR(O189/G189,0)</f>
        <v/>
      </c>
      <c r="AA189" s="2">
        <f>IF(L189="None","No Maintenance",IF(L189="Preventive","Planned","Breakdown"))</f>
        <v/>
      </c>
    </row>
    <row r="190">
      <c r="A190" s="2" t="n">
        <v>186</v>
      </c>
      <c r="B190" s="4" t="n">
        <v>46084</v>
      </c>
      <c r="C190" s="2" t="inlineStr">
        <is>
          <t>Night</t>
        </is>
      </c>
      <c r="D190" s="2" t="inlineStr">
        <is>
          <t>Line 1</t>
        </is>
      </c>
      <c r="E190" s="2" t="inlineStr">
        <is>
          <t>Salt &amp; Vinegar</t>
        </is>
      </c>
      <c r="F190" s="2" t="n">
        <v>902</v>
      </c>
      <c r="G190" s="2" t="n">
        <v>715.2</v>
      </c>
      <c r="H190" s="2" t="n">
        <v>706.2</v>
      </c>
      <c r="I190" s="2" t="n">
        <v>9</v>
      </c>
      <c r="J190" s="2" t="n">
        <v>0.17</v>
      </c>
      <c r="K190" s="2" t="inlineStr">
        <is>
          <t>No Downtime</t>
        </is>
      </c>
      <c r="L190" s="2" t="inlineStr">
        <is>
          <t>None</t>
        </is>
      </c>
      <c r="M190" s="2" t="n">
        <v>1449.9</v>
      </c>
      <c r="N190" s="2" t="n">
        <v>241.1</v>
      </c>
      <c r="O190" s="2" t="n">
        <v>93101.10000000001</v>
      </c>
      <c r="P190" s="2" t="n">
        <v>178.3</v>
      </c>
      <c r="Q190" s="2" t="n">
        <v>1.27</v>
      </c>
      <c r="R190" s="2" t="n">
        <v>0</v>
      </c>
      <c r="S190" s="5">
        <f>G190/F190</f>
        <v/>
      </c>
      <c r="T190" s="5">
        <f>MAX(0,1-J190/8)</f>
        <v/>
      </c>
      <c r="U190" s="5">
        <f>IFERROR(G190/(F190*T190),0)</f>
        <v/>
      </c>
      <c r="V190" s="5">
        <f>IFERROR(H190/G190,0)</f>
        <v/>
      </c>
      <c r="W190" s="5">
        <f>T190*U190*V190</f>
        <v/>
      </c>
      <c r="X190" s="5">
        <f>IFERROR(I190/G190,0)</f>
        <v/>
      </c>
      <c r="Y190" s="6">
        <f>IFERROR(G190/M190,0)</f>
        <v/>
      </c>
      <c r="Z190" s="6">
        <f>IFERROR(O190/G190,0)</f>
        <v/>
      </c>
      <c r="AA190" s="2">
        <f>IF(L190="None","No Maintenance",IF(L190="Preventive","Planned","Breakdown"))</f>
        <v/>
      </c>
    </row>
    <row r="191">
      <c r="A191" s="2" t="n">
        <v>187</v>
      </c>
      <c r="B191" s="4" t="n">
        <v>46085</v>
      </c>
      <c r="C191" s="2" t="inlineStr">
        <is>
          <t>Day</t>
        </is>
      </c>
      <c r="D191" s="2" t="inlineStr">
        <is>
          <t>Line 2</t>
        </is>
      </c>
      <c r="E191" s="2" t="inlineStr">
        <is>
          <t>Paprika Chips</t>
        </is>
      </c>
      <c r="F191" s="2" t="n">
        <v>1036</v>
      </c>
      <c r="G191" s="2" t="n">
        <v>673.9</v>
      </c>
      <c r="H191" s="2" t="n">
        <v>663.9</v>
      </c>
      <c r="I191" s="2" t="n">
        <v>10</v>
      </c>
      <c r="J191" s="2" t="n">
        <v>2.86</v>
      </c>
      <c r="K191" s="2" t="inlineStr">
        <is>
          <t>Packaging Machine</t>
        </is>
      </c>
      <c r="L191" s="2" t="inlineStr">
        <is>
          <t>Corrective</t>
        </is>
      </c>
      <c r="M191" s="2" t="n">
        <v>1405.4</v>
      </c>
      <c r="N191" s="2" t="n">
        <v>218.5</v>
      </c>
      <c r="O191" s="2" t="n">
        <v>82082.7</v>
      </c>
      <c r="P191" s="2" t="n">
        <v>181.5</v>
      </c>
      <c r="Q191" s="2" t="n">
        <v>1.52</v>
      </c>
      <c r="R191" s="2" t="n">
        <v>397.68</v>
      </c>
      <c r="S191" s="5">
        <f>G191/F191</f>
        <v/>
      </c>
      <c r="T191" s="5">
        <f>MAX(0,1-J191/8)</f>
        <v/>
      </c>
      <c r="U191" s="5">
        <f>IFERROR(G191/(F191*T191),0)</f>
        <v/>
      </c>
      <c r="V191" s="5">
        <f>IFERROR(H191/G191,0)</f>
        <v/>
      </c>
      <c r="W191" s="5">
        <f>T191*U191*V191</f>
        <v/>
      </c>
      <c r="X191" s="5">
        <f>IFERROR(I191/G191,0)</f>
        <v/>
      </c>
      <c r="Y191" s="6">
        <f>IFERROR(G191/M191,0)</f>
        <v/>
      </c>
      <c r="Z191" s="6">
        <f>IFERROR(O191/G191,0)</f>
        <v/>
      </c>
      <c r="AA191" s="2">
        <f>IF(L191="None","No Maintenance",IF(L191="Preventive","Planned","Breakdown"))</f>
        <v/>
      </c>
    </row>
    <row r="192">
      <c r="A192" s="2" t="n">
        <v>188</v>
      </c>
      <c r="B192" s="4" t="n">
        <v>46085</v>
      </c>
      <c r="C192" s="2" t="inlineStr">
        <is>
          <t>Evening</t>
        </is>
      </c>
      <c r="D192" s="2" t="inlineStr">
        <is>
          <t>Line 1</t>
        </is>
      </c>
      <c r="E192" s="2" t="inlineStr">
        <is>
          <t>Paprika Chips</t>
        </is>
      </c>
      <c r="F192" s="2" t="n">
        <v>980</v>
      </c>
      <c r="G192" s="2" t="n">
        <v>644.4</v>
      </c>
      <c r="H192" s="2" t="n">
        <v>639.6</v>
      </c>
      <c r="I192" s="2" t="n">
        <v>4.8</v>
      </c>
      <c r="J192" s="2" t="n">
        <v>4.73</v>
      </c>
      <c r="K192" s="2" t="inlineStr">
        <is>
          <t>Planned Maintenance</t>
        </is>
      </c>
      <c r="L192" s="2" t="inlineStr">
        <is>
          <t>Preventive</t>
        </is>
      </c>
      <c r="M192" s="2" t="n">
        <v>1352.7</v>
      </c>
      <c r="N192" s="2" t="n">
        <v>215.8</v>
      </c>
      <c r="O192" s="2" t="n">
        <v>76806.89999999999</v>
      </c>
      <c r="P192" s="2" t="n">
        <v>167.3</v>
      </c>
      <c r="Q192" s="2" t="n">
        <v>1.64</v>
      </c>
      <c r="R192" s="2" t="n">
        <v>160.24</v>
      </c>
      <c r="S192" s="5">
        <f>G192/F192</f>
        <v/>
      </c>
      <c r="T192" s="5">
        <f>MAX(0,1-J192/8)</f>
        <v/>
      </c>
      <c r="U192" s="5">
        <f>IFERROR(G192/(F192*T192),0)</f>
        <v/>
      </c>
      <c r="V192" s="5">
        <f>IFERROR(H192/G192,0)</f>
        <v/>
      </c>
      <c r="W192" s="5">
        <f>T192*U192*V192</f>
        <v/>
      </c>
      <c r="X192" s="5">
        <f>IFERROR(I192/G192,0)</f>
        <v/>
      </c>
      <c r="Y192" s="6">
        <f>IFERROR(G192/M192,0)</f>
        <v/>
      </c>
      <c r="Z192" s="6">
        <f>IFERROR(O192/G192,0)</f>
        <v/>
      </c>
      <c r="AA192" s="2">
        <f>IF(L192="None","No Maintenance",IF(L192="Preventive","Planned","Breakdown"))</f>
        <v/>
      </c>
    </row>
    <row r="193">
      <c r="A193" s="2" t="n">
        <v>189</v>
      </c>
      <c r="B193" s="4" t="n">
        <v>46085</v>
      </c>
      <c r="C193" s="2" t="inlineStr">
        <is>
          <t>Night</t>
        </is>
      </c>
      <c r="D193" s="2" t="inlineStr">
        <is>
          <t>Line 1</t>
        </is>
      </c>
      <c r="E193" s="2" t="inlineStr">
        <is>
          <t>Classic Chips</t>
        </is>
      </c>
      <c r="F193" s="2" t="n">
        <v>975</v>
      </c>
      <c r="G193" s="2" t="n">
        <v>798.4</v>
      </c>
      <c r="H193" s="2" t="n">
        <v>787.5</v>
      </c>
      <c r="I193" s="2" t="n">
        <v>10.9</v>
      </c>
      <c r="J193" s="2" t="n">
        <v>0.38</v>
      </c>
      <c r="K193" s="2" t="inlineStr">
        <is>
          <t>No Downtime</t>
        </is>
      </c>
      <c r="L193" s="2" t="inlineStr">
        <is>
          <t>None</t>
        </is>
      </c>
      <c r="M193" s="2" t="n">
        <v>1642.3</v>
      </c>
      <c r="N193" s="2" t="n">
        <v>276.1</v>
      </c>
      <c r="O193" s="2" t="n">
        <v>104546.2</v>
      </c>
      <c r="P193" s="2" t="n">
        <v>182.6</v>
      </c>
      <c r="Q193" s="2" t="n">
        <v>1.85</v>
      </c>
      <c r="R193" s="2" t="n">
        <v>0</v>
      </c>
      <c r="S193" s="5">
        <f>G193/F193</f>
        <v/>
      </c>
      <c r="T193" s="5">
        <f>MAX(0,1-J193/8)</f>
        <v/>
      </c>
      <c r="U193" s="5">
        <f>IFERROR(G193/(F193*T193),0)</f>
        <v/>
      </c>
      <c r="V193" s="5">
        <f>IFERROR(H193/G193,0)</f>
        <v/>
      </c>
      <c r="W193" s="5">
        <f>T193*U193*V193</f>
        <v/>
      </c>
      <c r="X193" s="5">
        <f>IFERROR(I193/G193,0)</f>
        <v/>
      </c>
      <c r="Y193" s="6">
        <f>IFERROR(G193/M193,0)</f>
        <v/>
      </c>
      <c r="Z193" s="6">
        <f>IFERROR(O193/G193,0)</f>
        <v/>
      </c>
      <c r="AA193" s="2">
        <f>IF(L193="None","No Maintenance",IF(L193="Preventive","Planned","Breakdown"))</f>
        <v/>
      </c>
    </row>
    <row r="194">
      <c r="A194" s="2" t="n">
        <v>190</v>
      </c>
      <c r="B194" s="4" t="n">
        <v>46086</v>
      </c>
      <c r="C194" s="2" t="inlineStr">
        <is>
          <t>Day</t>
        </is>
      </c>
      <c r="D194" s="2" t="inlineStr">
        <is>
          <t>Line 1</t>
        </is>
      </c>
      <c r="E194" s="2" t="inlineStr">
        <is>
          <t>Classic Chips</t>
        </is>
      </c>
      <c r="F194" s="2" t="n">
        <v>1012</v>
      </c>
      <c r="G194" s="2" t="n">
        <v>727.7</v>
      </c>
      <c r="H194" s="2" t="n">
        <v>705.8</v>
      </c>
      <c r="I194" s="2" t="n">
        <v>21.9</v>
      </c>
      <c r="J194" s="2" t="n">
        <v>1.99</v>
      </c>
      <c r="K194" s="2" t="inlineStr">
        <is>
          <t>Quality Hold</t>
        </is>
      </c>
      <c r="L194" s="2" t="inlineStr">
        <is>
          <t>Corrective</t>
        </is>
      </c>
      <c r="M194" s="2" t="n">
        <v>1433.6</v>
      </c>
      <c r="N194" s="2" t="n">
        <v>246.3</v>
      </c>
      <c r="O194" s="2" t="n">
        <v>86296.7</v>
      </c>
      <c r="P194" s="2" t="n">
        <v>181.3</v>
      </c>
      <c r="Q194" s="2" t="n">
        <v>1.45</v>
      </c>
      <c r="R194" s="2" t="n">
        <v>429.45</v>
      </c>
      <c r="S194" s="5">
        <f>G194/F194</f>
        <v/>
      </c>
      <c r="T194" s="5">
        <f>MAX(0,1-J194/8)</f>
        <v/>
      </c>
      <c r="U194" s="5">
        <f>IFERROR(G194/(F194*T194),0)</f>
        <v/>
      </c>
      <c r="V194" s="5">
        <f>IFERROR(H194/G194,0)</f>
        <v/>
      </c>
      <c r="W194" s="5">
        <f>T194*U194*V194</f>
        <v/>
      </c>
      <c r="X194" s="5">
        <f>IFERROR(I194/G194,0)</f>
        <v/>
      </c>
      <c r="Y194" s="6">
        <f>IFERROR(G194/M194,0)</f>
        <v/>
      </c>
      <c r="Z194" s="6">
        <f>IFERROR(O194/G194,0)</f>
        <v/>
      </c>
      <c r="AA194" s="2">
        <f>IF(L194="None","No Maintenance",IF(L194="Preventive","Planned","Breakdown"))</f>
        <v/>
      </c>
    </row>
    <row r="195">
      <c r="A195" s="2" t="n">
        <v>191</v>
      </c>
      <c r="B195" s="4" t="n">
        <v>46086</v>
      </c>
      <c r="C195" s="2" t="inlineStr">
        <is>
          <t>Evening</t>
        </is>
      </c>
      <c r="D195" s="2" t="inlineStr">
        <is>
          <t>Line 2</t>
        </is>
      </c>
      <c r="E195" s="2" t="inlineStr">
        <is>
          <t>Salt &amp; Vinegar</t>
        </is>
      </c>
      <c r="F195" s="2" t="n">
        <v>957</v>
      </c>
      <c r="G195" s="2" t="n">
        <v>604.6</v>
      </c>
      <c r="H195" s="2" t="n">
        <v>586.7</v>
      </c>
      <c r="I195" s="2" t="n">
        <v>18</v>
      </c>
      <c r="J195" s="2" t="n">
        <v>2.92</v>
      </c>
      <c r="K195" s="2" t="inlineStr">
        <is>
          <t>Planned Maintenance</t>
        </is>
      </c>
      <c r="L195" s="2" t="inlineStr">
        <is>
          <t>Preventive</t>
        </is>
      </c>
      <c r="M195" s="2" t="n">
        <v>1233.2</v>
      </c>
      <c r="N195" s="2" t="n">
        <v>184.6</v>
      </c>
      <c r="O195" s="2" t="n">
        <v>73922.3</v>
      </c>
      <c r="P195" s="2" t="n">
        <v>177.2</v>
      </c>
      <c r="Q195" s="2" t="n">
        <v>1.65</v>
      </c>
      <c r="R195" s="2" t="n">
        <v>227</v>
      </c>
      <c r="S195" s="5">
        <f>G195/F195</f>
        <v/>
      </c>
      <c r="T195" s="5">
        <f>MAX(0,1-J195/8)</f>
        <v/>
      </c>
      <c r="U195" s="5">
        <f>IFERROR(G195/(F195*T195),0)</f>
        <v/>
      </c>
      <c r="V195" s="5">
        <f>IFERROR(H195/G195,0)</f>
        <v/>
      </c>
      <c r="W195" s="5">
        <f>T195*U195*V195</f>
        <v/>
      </c>
      <c r="X195" s="5">
        <f>IFERROR(I195/G195,0)</f>
        <v/>
      </c>
      <c r="Y195" s="6">
        <f>IFERROR(G195/M195,0)</f>
        <v/>
      </c>
      <c r="Z195" s="6">
        <f>IFERROR(O195/G195,0)</f>
        <v/>
      </c>
      <c r="AA195" s="2">
        <f>IF(L195="None","No Maintenance",IF(L195="Preventive","Planned","Breakdown"))</f>
        <v/>
      </c>
    </row>
    <row r="196">
      <c r="A196" s="2" t="n">
        <v>192</v>
      </c>
      <c r="B196" s="4" t="n">
        <v>46086</v>
      </c>
      <c r="C196" s="2" t="inlineStr">
        <is>
          <t>Night</t>
        </is>
      </c>
      <c r="D196" s="2" t="inlineStr">
        <is>
          <t>Line 1</t>
        </is>
      </c>
      <c r="E196" s="2" t="inlineStr">
        <is>
          <t>Paprika Chips</t>
        </is>
      </c>
      <c r="F196" s="2" t="n">
        <v>995</v>
      </c>
      <c r="G196" s="2" t="n">
        <v>616</v>
      </c>
      <c r="H196" s="2" t="n">
        <v>599.7</v>
      </c>
      <c r="I196" s="2" t="n">
        <v>16.2</v>
      </c>
      <c r="J196" s="2" t="n">
        <v>3.29</v>
      </c>
      <c r="K196" s="2" t="inlineStr">
        <is>
          <t>Electrical Fault</t>
        </is>
      </c>
      <c r="L196" s="2" t="inlineStr">
        <is>
          <t>Corrective</t>
        </is>
      </c>
      <c r="M196" s="2" t="n">
        <v>1280.3</v>
      </c>
      <c r="N196" s="2" t="n">
        <v>190.4</v>
      </c>
      <c r="O196" s="2" t="n">
        <v>71296.10000000001</v>
      </c>
      <c r="P196" s="2" t="n">
        <v>180.5</v>
      </c>
      <c r="Q196" s="2" t="n">
        <v>1.38</v>
      </c>
      <c r="R196" s="2" t="n">
        <v>353.13</v>
      </c>
      <c r="S196" s="5">
        <f>G196/F196</f>
        <v/>
      </c>
      <c r="T196" s="5">
        <f>MAX(0,1-J196/8)</f>
        <v/>
      </c>
      <c r="U196" s="5">
        <f>IFERROR(G196/(F196*T196),0)</f>
        <v/>
      </c>
      <c r="V196" s="5">
        <f>IFERROR(H196/G196,0)</f>
        <v/>
      </c>
      <c r="W196" s="5">
        <f>T196*U196*V196</f>
        <v/>
      </c>
      <c r="X196" s="5">
        <f>IFERROR(I196/G196,0)</f>
        <v/>
      </c>
      <c r="Y196" s="6">
        <f>IFERROR(G196/M196,0)</f>
        <v/>
      </c>
      <c r="Z196" s="6">
        <f>IFERROR(O196/G196,0)</f>
        <v/>
      </c>
      <c r="AA196" s="2">
        <f>IF(L196="None","No Maintenance",IF(L196="Preventive","Planned","Breakdown"))</f>
        <v/>
      </c>
    </row>
    <row r="197">
      <c r="A197" s="2" t="n">
        <v>193</v>
      </c>
      <c r="B197" s="4" t="n">
        <v>46087</v>
      </c>
      <c r="C197" s="2" t="inlineStr">
        <is>
          <t>Day</t>
        </is>
      </c>
      <c r="D197" s="2" t="inlineStr">
        <is>
          <t>Line 2</t>
        </is>
      </c>
      <c r="E197" s="2" t="inlineStr">
        <is>
          <t>Paprika Chips</t>
        </is>
      </c>
      <c r="F197" s="2" t="n">
        <v>939</v>
      </c>
      <c r="G197" s="2" t="n">
        <v>862.8</v>
      </c>
      <c r="H197" s="2" t="n">
        <v>847.9</v>
      </c>
      <c r="I197" s="2" t="n">
        <v>15</v>
      </c>
      <c r="J197" s="2" t="n">
        <v>0.2</v>
      </c>
      <c r="K197" s="2" t="inlineStr">
        <is>
          <t>No Downtime</t>
        </is>
      </c>
      <c r="L197" s="2" t="inlineStr">
        <is>
          <t>None</t>
        </is>
      </c>
      <c r="M197" s="2" t="n">
        <v>1711.4</v>
      </c>
      <c r="N197" s="2" t="n">
        <v>286.1</v>
      </c>
      <c r="O197" s="2" t="n">
        <v>102756.8</v>
      </c>
      <c r="P197" s="2" t="n">
        <v>173.6</v>
      </c>
      <c r="Q197" s="2" t="n">
        <v>1.94</v>
      </c>
      <c r="R197" s="2" t="n">
        <v>0</v>
      </c>
      <c r="S197" s="5">
        <f>G197/F197</f>
        <v/>
      </c>
      <c r="T197" s="5">
        <f>MAX(0,1-J197/8)</f>
        <v/>
      </c>
      <c r="U197" s="5">
        <f>IFERROR(G197/(F197*T197),0)</f>
        <v/>
      </c>
      <c r="V197" s="5">
        <f>IFERROR(H197/G197,0)</f>
        <v/>
      </c>
      <c r="W197" s="5">
        <f>T197*U197*V197</f>
        <v/>
      </c>
      <c r="X197" s="5">
        <f>IFERROR(I197/G197,0)</f>
        <v/>
      </c>
      <c r="Y197" s="6">
        <f>IFERROR(G197/M197,0)</f>
        <v/>
      </c>
      <c r="Z197" s="6">
        <f>IFERROR(O197/G197,0)</f>
        <v/>
      </c>
      <c r="AA197" s="2">
        <f>IF(L197="None","No Maintenance",IF(L197="Preventive","Planned","Breakdown"))</f>
        <v/>
      </c>
    </row>
    <row r="198">
      <c r="A198" s="2" t="n">
        <v>194</v>
      </c>
      <c r="B198" s="4" t="n">
        <v>46087</v>
      </c>
      <c r="C198" s="2" t="inlineStr">
        <is>
          <t>Evening</t>
        </is>
      </c>
      <c r="D198" s="2" t="inlineStr">
        <is>
          <t>Line 2</t>
        </is>
      </c>
      <c r="E198" s="2" t="inlineStr">
        <is>
          <t>Salt &amp; Vinegar</t>
        </is>
      </c>
      <c r="F198" s="2" t="n">
        <v>1011</v>
      </c>
      <c r="G198" s="2" t="n">
        <v>618.7</v>
      </c>
      <c r="H198" s="2" t="n">
        <v>604.7</v>
      </c>
      <c r="I198" s="2" t="n">
        <v>14</v>
      </c>
      <c r="J198" s="2" t="n">
        <v>2.85</v>
      </c>
      <c r="K198" s="2" t="inlineStr">
        <is>
          <t>Raw Material Shortage</t>
        </is>
      </c>
      <c r="L198" s="2" t="inlineStr">
        <is>
          <t>Emergency</t>
        </is>
      </c>
      <c r="M198" s="2" t="n">
        <v>1277.1</v>
      </c>
      <c r="N198" s="2" t="n">
        <v>192.2</v>
      </c>
      <c r="O198" s="2" t="n">
        <v>81534.8</v>
      </c>
      <c r="P198" s="2" t="n">
        <v>178.8</v>
      </c>
      <c r="Q198" s="2" t="n">
        <v>1.82</v>
      </c>
      <c r="R198" s="2" t="n">
        <v>1026.47</v>
      </c>
      <c r="S198" s="5">
        <f>G198/F198</f>
        <v/>
      </c>
      <c r="T198" s="5">
        <f>MAX(0,1-J198/8)</f>
        <v/>
      </c>
      <c r="U198" s="5">
        <f>IFERROR(G198/(F198*T198),0)</f>
        <v/>
      </c>
      <c r="V198" s="5">
        <f>IFERROR(H198/G198,0)</f>
        <v/>
      </c>
      <c r="W198" s="5">
        <f>T198*U198*V198</f>
        <v/>
      </c>
      <c r="X198" s="5">
        <f>IFERROR(I198/G198,0)</f>
        <v/>
      </c>
      <c r="Y198" s="6">
        <f>IFERROR(G198/M198,0)</f>
        <v/>
      </c>
      <c r="Z198" s="6">
        <f>IFERROR(O198/G198,0)</f>
        <v/>
      </c>
      <c r="AA198" s="2">
        <f>IF(L198="None","No Maintenance",IF(L198="Preventive","Planned","Breakdown"))</f>
        <v/>
      </c>
    </row>
    <row r="199">
      <c r="A199" s="2" t="n">
        <v>195</v>
      </c>
      <c r="B199" s="4" t="n">
        <v>46087</v>
      </c>
      <c r="C199" s="2" t="inlineStr">
        <is>
          <t>Night</t>
        </is>
      </c>
      <c r="D199" s="2" t="inlineStr">
        <is>
          <t>Line 1</t>
        </is>
      </c>
      <c r="E199" s="2" t="inlineStr">
        <is>
          <t>Salt &amp; Vinegar</t>
        </is>
      </c>
      <c r="F199" s="2" t="n">
        <v>931</v>
      </c>
      <c r="G199" s="2" t="n">
        <v>769.3</v>
      </c>
      <c r="H199" s="2" t="n">
        <v>764.3</v>
      </c>
      <c r="I199" s="2" t="n">
        <v>4.9</v>
      </c>
      <c r="J199" s="2" t="n">
        <v>0.21</v>
      </c>
      <c r="K199" s="2" t="inlineStr">
        <is>
          <t>No Downtime</t>
        </is>
      </c>
      <c r="L199" s="2" t="inlineStr">
        <is>
          <t>None</t>
        </is>
      </c>
      <c r="M199" s="2" t="n">
        <v>1583.9</v>
      </c>
      <c r="N199" s="2" t="n">
        <v>263.9</v>
      </c>
      <c r="O199" s="2" t="n">
        <v>96972.8</v>
      </c>
      <c r="P199" s="2" t="n">
        <v>178.2</v>
      </c>
      <c r="Q199" s="2" t="n">
        <v>1.84</v>
      </c>
      <c r="R199" s="2" t="n">
        <v>0</v>
      </c>
      <c r="S199" s="5">
        <f>G199/F199</f>
        <v/>
      </c>
      <c r="T199" s="5">
        <f>MAX(0,1-J199/8)</f>
        <v/>
      </c>
      <c r="U199" s="5">
        <f>IFERROR(G199/(F199*T199),0)</f>
        <v/>
      </c>
      <c r="V199" s="5">
        <f>IFERROR(H199/G199,0)</f>
        <v/>
      </c>
      <c r="W199" s="5">
        <f>T199*U199*V199</f>
        <v/>
      </c>
      <c r="X199" s="5">
        <f>IFERROR(I199/G199,0)</f>
        <v/>
      </c>
      <c r="Y199" s="6">
        <f>IFERROR(G199/M199,0)</f>
        <v/>
      </c>
      <c r="Z199" s="6">
        <f>IFERROR(O199/G199,0)</f>
        <v/>
      </c>
      <c r="AA199" s="2">
        <f>IF(L199="None","No Maintenance",IF(L199="Preventive","Planned","Breakdown"))</f>
        <v/>
      </c>
    </row>
    <row r="200">
      <c r="A200" s="2" t="n">
        <v>196</v>
      </c>
      <c r="B200" s="4" t="n">
        <v>46088</v>
      </c>
      <c r="C200" s="2" t="inlineStr">
        <is>
          <t>Day</t>
        </is>
      </c>
      <c r="D200" s="2" t="inlineStr">
        <is>
          <t>Line 2</t>
        </is>
      </c>
      <c r="E200" s="2" t="inlineStr">
        <is>
          <t>Classic Chips</t>
        </is>
      </c>
      <c r="F200" s="2" t="n">
        <v>930</v>
      </c>
      <c r="G200" s="2" t="n">
        <v>788.6</v>
      </c>
      <c r="H200" s="2" t="n">
        <v>779.5</v>
      </c>
      <c r="I200" s="2" t="n">
        <v>9.1</v>
      </c>
      <c r="J200" s="2" t="n">
        <v>0.15</v>
      </c>
      <c r="K200" s="2" t="inlineStr">
        <is>
          <t>No Downtime</t>
        </is>
      </c>
      <c r="L200" s="2" t="inlineStr">
        <is>
          <t>None</t>
        </is>
      </c>
      <c r="M200" s="2" t="n">
        <v>1601.3</v>
      </c>
      <c r="N200" s="2" t="n">
        <v>248.2</v>
      </c>
      <c r="O200" s="2" t="n">
        <v>93933.10000000001</v>
      </c>
      <c r="P200" s="2" t="n">
        <v>176.6</v>
      </c>
      <c r="Q200" s="2" t="n">
        <v>1.73</v>
      </c>
      <c r="R200" s="2" t="n">
        <v>0</v>
      </c>
      <c r="S200" s="5">
        <f>G200/F200</f>
        <v/>
      </c>
      <c r="T200" s="5">
        <f>MAX(0,1-J200/8)</f>
        <v/>
      </c>
      <c r="U200" s="5">
        <f>IFERROR(G200/(F200*T200),0)</f>
        <v/>
      </c>
      <c r="V200" s="5">
        <f>IFERROR(H200/G200,0)</f>
        <v/>
      </c>
      <c r="W200" s="5">
        <f>T200*U200*V200</f>
        <v/>
      </c>
      <c r="X200" s="5">
        <f>IFERROR(I200/G200,0)</f>
        <v/>
      </c>
      <c r="Y200" s="6">
        <f>IFERROR(G200/M200,0)</f>
        <v/>
      </c>
      <c r="Z200" s="6">
        <f>IFERROR(O200/G200,0)</f>
        <v/>
      </c>
      <c r="AA200" s="2">
        <f>IF(L200="None","No Maintenance",IF(L200="Preventive","Planned","Breakdown"))</f>
        <v/>
      </c>
    </row>
    <row r="201">
      <c r="A201" s="2" t="n">
        <v>197</v>
      </c>
      <c r="B201" s="4" t="n">
        <v>46088</v>
      </c>
      <c r="C201" s="2" t="inlineStr">
        <is>
          <t>Evening</t>
        </is>
      </c>
      <c r="D201" s="2" t="inlineStr">
        <is>
          <t>Line 2</t>
        </is>
      </c>
      <c r="E201" s="2" t="inlineStr">
        <is>
          <t>Classic Chips</t>
        </is>
      </c>
      <c r="F201" s="2" t="n">
        <v>1006</v>
      </c>
      <c r="G201" s="2" t="n">
        <v>697.9</v>
      </c>
      <c r="H201" s="2" t="n">
        <v>686.3</v>
      </c>
      <c r="I201" s="2" t="n">
        <v>11.6</v>
      </c>
      <c r="J201" s="2" t="n">
        <v>1.48</v>
      </c>
      <c r="K201" s="2" t="inlineStr">
        <is>
          <t>Packaging Machine</t>
        </is>
      </c>
      <c r="L201" s="2" t="inlineStr">
        <is>
          <t>Corrective</t>
        </is>
      </c>
      <c r="M201" s="2" t="n">
        <v>1456.7</v>
      </c>
      <c r="N201" s="2" t="n">
        <v>218.7</v>
      </c>
      <c r="O201" s="2" t="n">
        <v>80297.10000000001</v>
      </c>
      <c r="P201" s="2" t="n">
        <v>177.9</v>
      </c>
      <c r="Q201" s="2" t="n">
        <v>1.58</v>
      </c>
      <c r="R201" s="2" t="n">
        <v>735.87</v>
      </c>
      <c r="S201" s="5">
        <f>G201/F201</f>
        <v/>
      </c>
      <c r="T201" s="5">
        <f>MAX(0,1-J201/8)</f>
        <v/>
      </c>
      <c r="U201" s="5">
        <f>IFERROR(G201/(F201*T201),0)</f>
        <v/>
      </c>
      <c r="V201" s="5">
        <f>IFERROR(H201/G201,0)</f>
        <v/>
      </c>
      <c r="W201" s="5">
        <f>T201*U201*V201</f>
        <v/>
      </c>
      <c r="X201" s="5">
        <f>IFERROR(I201/G201,0)</f>
        <v/>
      </c>
      <c r="Y201" s="6">
        <f>IFERROR(G201/M201,0)</f>
        <v/>
      </c>
      <c r="Z201" s="6">
        <f>IFERROR(O201/G201,0)</f>
        <v/>
      </c>
      <c r="AA201" s="2">
        <f>IF(L201="None","No Maintenance",IF(L201="Preventive","Planned","Breakdown"))</f>
        <v/>
      </c>
    </row>
    <row r="202">
      <c r="A202" s="2" t="n">
        <v>198</v>
      </c>
      <c r="B202" s="4" t="n">
        <v>46088</v>
      </c>
      <c r="C202" s="2" t="inlineStr">
        <is>
          <t>Night</t>
        </is>
      </c>
      <c r="D202" s="2" t="inlineStr">
        <is>
          <t>Line 1</t>
        </is>
      </c>
      <c r="E202" s="2" t="inlineStr">
        <is>
          <t>Classic Chips</t>
        </is>
      </c>
      <c r="F202" s="2" t="n">
        <v>1025</v>
      </c>
      <c r="G202" s="2" t="n">
        <v>878.2</v>
      </c>
      <c r="H202" s="2" t="n">
        <v>858.2</v>
      </c>
      <c r="I202" s="2" t="n">
        <v>20</v>
      </c>
      <c r="J202" s="2" t="n">
        <v>0.19</v>
      </c>
      <c r="K202" s="2" t="inlineStr">
        <is>
          <t>No Downtime</t>
        </is>
      </c>
      <c r="L202" s="2" t="inlineStr">
        <is>
          <t>None</t>
        </is>
      </c>
      <c r="M202" s="2" t="n">
        <v>1816.6</v>
      </c>
      <c r="N202" s="2" t="n">
        <v>263</v>
      </c>
      <c r="O202" s="2" t="n">
        <v>98308.60000000001</v>
      </c>
      <c r="P202" s="2" t="n">
        <v>183.3</v>
      </c>
      <c r="Q202" s="2" t="n">
        <v>1.7</v>
      </c>
      <c r="R202" s="2" t="n">
        <v>0</v>
      </c>
      <c r="S202" s="5">
        <f>G202/F202</f>
        <v/>
      </c>
      <c r="T202" s="5">
        <f>MAX(0,1-J202/8)</f>
        <v/>
      </c>
      <c r="U202" s="5">
        <f>IFERROR(G202/(F202*T202),0)</f>
        <v/>
      </c>
      <c r="V202" s="5">
        <f>IFERROR(H202/G202,0)</f>
        <v/>
      </c>
      <c r="W202" s="5">
        <f>T202*U202*V202</f>
        <v/>
      </c>
      <c r="X202" s="5">
        <f>IFERROR(I202/G202,0)</f>
        <v/>
      </c>
      <c r="Y202" s="6">
        <f>IFERROR(G202/M202,0)</f>
        <v/>
      </c>
      <c r="Z202" s="6">
        <f>IFERROR(O202/G202,0)</f>
        <v/>
      </c>
      <c r="AA202" s="2">
        <f>IF(L202="None","No Maintenance",IF(L202="Preventive","Planned","Breakdown"))</f>
        <v/>
      </c>
    </row>
    <row r="203">
      <c r="A203" s="2" t="n">
        <v>199</v>
      </c>
      <c r="B203" s="4" t="n">
        <v>46089</v>
      </c>
      <c r="C203" s="2" t="inlineStr">
        <is>
          <t>Day</t>
        </is>
      </c>
      <c r="D203" s="2" t="inlineStr">
        <is>
          <t>Line 2</t>
        </is>
      </c>
      <c r="E203" s="2" t="inlineStr">
        <is>
          <t>Classic Chips</t>
        </is>
      </c>
      <c r="F203" s="2" t="n">
        <v>953</v>
      </c>
      <c r="G203" s="2" t="n">
        <v>819.9</v>
      </c>
      <c r="H203" s="2" t="n">
        <v>815.1</v>
      </c>
      <c r="I203" s="2" t="n">
        <v>4.9</v>
      </c>
      <c r="J203" s="2" t="n">
        <v>0.07000000000000001</v>
      </c>
      <c r="K203" s="2" t="inlineStr">
        <is>
          <t>No Downtime</t>
        </is>
      </c>
      <c r="L203" s="2" t="inlineStr">
        <is>
          <t>None</t>
        </is>
      </c>
      <c r="M203" s="2" t="n">
        <v>1758.7</v>
      </c>
      <c r="N203" s="2" t="n">
        <v>259.5</v>
      </c>
      <c r="O203" s="2" t="n">
        <v>98424</v>
      </c>
      <c r="P203" s="2" t="n">
        <v>176.1</v>
      </c>
      <c r="Q203" s="2" t="n">
        <v>1.54</v>
      </c>
      <c r="R203" s="2" t="n">
        <v>0</v>
      </c>
      <c r="S203" s="5">
        <f>G203/F203</f>
        <v/>
      </c>
      <c r="T203" s="5">
        <f>MAX(0,1-J203/8)</f>
        <v/>
      </c>
      <c r="U203" s="5">
        <f>IFERROR(G203/(F203*T203),0)</f>
        <v/>
      </c>
      <c r="V203" s="5">
        <f>IFERROR(H203/G203,0)</f>
        <v/>
      </c>
      <c r="W203" s="5">
        <f>T203*U203*V203</f>
        <v/>
      </c>
      <c r="X203" s="5">
        <f>IFERROR(I203/G203,0)</f>
        <v/>
      </c>
      <c r="Y203" s="6">
        <f>IFERROR(G203/M203,0)</f>
        <v/>
      </c>
      <c r="Z203" s="6">
        <f>IFERROR(O203/G203,0)</f>
        <v/>
      </c>
      <c r="AA203" s="2">
        <f>IF(L203="None","No Maintenance",IF(L203="Preventive","Planned","Breakdown"))</f>
        <v/>
      </c>
    </row>
    <row r="204">
      <c r="A204" s="2" t="n">
        <v>200</v>
      </c>
      <c r="B204" s="4" t="n">
        <v>46089</v>
      </c>
      <c r="C204" s="2" t="inlineStr">
        <is>
          <t>Evening</t>
        </is>
      </c>
      <c r="D204" s="2" t="inlineStr">
        <is>
          <t>Line 2</t>
        </is>
      </c>
      <c r="E204" s="2" t="inlineStr">
        <is>
          <t>Classic Chips</t>
        </is>
      </c>
      <c r="F204" s="2" t="n">
        <v>1025</v>
      </c>
      <c r="G204" s="2" t="n">
        <v>853.2</v>
      </c>
      <c r="H204" s="2" t="n">
        <v>848.6</v>
      </c>
      <c r="I204" s="2" t="n">
        <v>4.5</v>
      </c>
      <c r="J204" s="2" t="n">
        <v>0.29</v>
      </c>
      <c r="K204" s="2" t="inlineStr">
        <is>
          <t>No Downtime</t>
        </is>
      </c>
      <c r="L204" s="2" t="inlineStr">
        <is>
          <t>None</t>
        </is>
      </c>
      <c r="M204" s="2" t="n">
        <v>1676.6</v>
      </c>
      <c r="N204" s="2" t="n">
        <v>295.9</v>
      </c>
      <c r="O204" s="2" t="n">
        <v>100834.8</v>
      </c>
      <c r="P204" s="2" t="n">
        <v>170.9</v>
      </c>
      <c r="Q204" s="2" t="n">
        <v>1.6</v>
      </c>
      <c r="R204" s="2" t="n">
        <v>0</v>
      </c>
      <c r="S204" s="5">
        <f>G204/F204</f>
        <v/>
      </c>
      <c r="T204" s="5">
        <f>MAX(0,1-J204/8)</f>
        <v/>
      </c>
      <c r="U204" s="5">
        <f>IFERROR(G204/(F204*T204),0)</f>
        <v/>
      </c>
      <c r="V204" s="5">
        <f>IFERROR(H204/G204,0)</f>
        <v/>
      </c>
      <c r="W204" s="5">
        <f>T204*U204*V204</f>
        <v/>
      </c>
      <c r="X204" s="5">
        <f>IFERROR(I204/G204,0)</f>
        <v/>
      </c>
      <c r="Y204" s="6">
        <f>IFERROR(G204/M204,0)</f>
        <v/>
      </c>
      <c r="Z204" s="6">
        <f>IFERROR(O204/G204,0)</f>
        <v/>
      </c>
      <c r="AA204" s="2">
        <f>IF(L204="None","No Maintenance",IF(L204="Preventive","Planned","Breakdown"))</f>
        <v/>
      </c>
    </row>
    <row r="205">
      <c r="A205" s="2" t="n">
        <v>201</v>
      </c>
      <c r="B205" s="4" t="n">
        <v>46089</v>
      </c>
      <c r="C205" s="2" t="inlineStr">
        <is>
          <t>Night</t>
        </is>
      </c>
      <c r="D205" s="2" t="inlineStr">
        <is>
          <t>Line 1</t>
        </is>
      </c>
      <c r="E205" s="2" t="inlineStr">
        <is>
          <t>Classic Chips</t>
        </is>
      </c>
      <c r="F205" s="2" t="n">
        <v>958</v>
      </c>
      <c r="G205" s="2" t="n">
        <v>664.7</v>
      </c>
      <c r="H205" s="2" t="n">
        <v>654</v>
      </c>
      <c r="I205" s="2" t="n">
        <v>10.7</v>
      </c>
      <c r="J205" s="2" t="n">
        <v>1.63</v>
      </c>
      <c r="K205" s="2" t="inlineStr">
        <is>
          <t>Packaging Machine</t>
        </is>
      </c>
      <c r="L205" s="2" t="inlineStr">
        <is>
          <t>Emergency</t>
        </is>
      </c>
      <c r="M205" s="2" t="n">
        <v>1419.3</v>
      </c>
      <c r="N205" s="2" t="n">
        <v>216.1</v>
      </c>
      <c r="O205" s="2" t="n">
        <v>88434.7</v>
      </c>
      <c r="P205" s="2" t="n">
        <v>176.5</v>
      </c>
      <c r="Q205" s="2" t="n">
        <v>1.77</v>
      </c>
      <c r="R205" s="2" t="n">
        <v>1432.21</v>
      </c>
      <c r="S205" s="5">
        <f>G205/F205</f>
        <v/>
      </c>
      <c r="T205" s="5">
        <f>MAX(0,1-J205/8)</f>
        <v/>
      </c>
      <c r="U205" s="5">
        <f>IFERROR(G205/(F205*T205),0)</f>
        <v/>
      </c>
      <c r="V205" s="5">
        <f>IFERROR(H205/G205,0)</f>
        <v/>
      </c>
      <c r="W205" s="5">
        <f>T205*U205*V205</f>
        <v/>
      </c>
      <c r="X205" s="5">
        <f>IFERROR(I205/G205,0)</f>
        <v/>
      </c>
      <c r="Y205" s="6">
        <f>IFERROR(G205/M205,0)</f>
        <v/>
      </c>
      <c r="Z205" s="6">
        <f>IFERROR(O205/G205,0)</f>
        <v/>
      </c>
      <c r="AA205" s="2">
        <f>IF(L205="None","No Maintenance",IF(L205="Preventive","Planned","Breakdown"))</f>
        <v/>
      </c>
    </row>
    <row r="206">
      <c r="A206" s="2" t="n">
        <v>202</v>
      </c>
      <c r="B206" s="4" t="n">
        <v>46090</v>
      </c>
      <c r="C206" s="2" t="inlineStr">
        <is>
          <t>Day</t>
        </is>
      </c>
      <c r="D206" s="2" t="inlineStr">
        <is>
          <t>Line 2</t>
        </is>
      </c>
      <c r="E206" s="2" t="inlineStr">
        <is>
          <t>Salt &amp; Vinegar</t>
        </is>
      </c>
      <c r="F206" s="2" t="n">
        <v>921</v>
      </c>
      <c r="G206" s="2" t="n">
        <v>830.6</v>
      </c>
      <c r="H206" s="2" t="n">
        <v>813.7</v>
      </c>
      <c r="I206" s="2" t="n">
        <v>16.9</v>
      </c>
      <c r="J206" s="2" t="n">
        <v>0.39</v>
      </c>
      <c r="K206" s="2" t="inlineStr">
        <is>
          <t>No Downtime</t>
        </is>
      </c>
      <c r="L206" s="2" t="inlineStr">
        <is>
          <t>None</t>
        </is>
      </c>
      <c r="M206" s="2" t="n">
        <v>1677.1</v>
      </c>
      <c r="N206" s="2" t="n">
        <v>277.6</v>
      </c>
      <c r="O206" s="2" t="n">
        <v>93695.89999999999</v>
      </c>
      <c r="P206" s="2" t="n">
        <v>174.2</v>
      </c>
      <c r="Q206" s="2" t="n">
        <v>2.01</v>
      </c>
      <c r="R206" s="2" t="n">
        <v>0</v>
      </c>
      <c r="S206" s="5">
        <f>G206/F206</f>
        <v/>
      </c>
      <c r="T206" s="5">
        <f>MAX(0,1-J206/8)</f>
        <v/>
      </c>
      <c r="U206" s="5">
        <f>IFERROR(G206/(F206*T206),0)</f>
        <v/>
      </c>
      <c r="V206" s="5">
        <f>IFERROR(H206/G206,0)</f>
        <v/>
      </c>
      <c r="W206" s="5">
        <f>T206*U206*V206</f>
        <v/>
      </c>
      <c r="X206" s="5">
        <f>IFERROR(I206/G206,0)</f>
        <v/>
      </c>
      <c r="Y206" s="6">
        <f>IFERROR(G206/M206,0)</f>
        <v/>
      </c>
      <c r="Z206" s="6">
        <f>IFERROR(O206/G206,0)</f>
        <v/>
      </c>
      <c r="AA206" s="2">
        <f>IF(L206="None","No Maintenance",IF(L206="Preventive","Planned","Breakdown"))</f>
        <v/>
      </c>
    </row>
    <row r="207">
      <c r="A207" s="2" t="n">
        <v>203</v>
      </c>
      <c r="B207" s="4" t="n">
        <v>46090</v>
      </c>
      <c r="C207" s="2" t="inlineStr">
        <is>
          <t>Evening</t>
        </is>
      </c>
      <c r="D207" s="2" t="inlineStr">
        <is>
          <t>Line 1</t>
        </is>
      </c>
      <c r="E207" s="2" t="inlineStr">
        <is>
          <t>Salt &amp; Vinegar</t>
        </is>
      </c>
      <c r="F207" s="2" t="n">
        <v>905</v>
      </c>
      <c r="G207" s="2" t="n">
        <v>599.7</v>
      </c>
      <c r="H207" s="2" t="n">
        <v>595.6</v>
      </c>
      <c r="I207" s="2" t="n">
        <v>4.1</v>
      </c>
      <c r="J207" s="2" t="n">
        <v>3.6</v>
      </c>
      <c r="K207" s="2" t="inlineStr">
        <is>
          <t>Conveyor Jam</t>
        </is>
      </c>
      <c r="L207" s="2" t="inlineStr">
        <is>
          <t>Corrective</t>
        </is>
      </c>
      <c r="M207" s="2" t="n">
        <v>1234.7</v>
      </c>
      <c r="N207" s="2" t="n">
        <v>190.9</v>
      </c>
      <c r="O207" s="2" t="n">
        <v>72853.7</v>
      </c>
      <c r="P207" s="2" t="n">
        <v>184</v>
      </c>
      <c r="Q207" s="2" t="n">
        <v>1.5</v>
      </c>
      <c r="R207" s="2" t="n">
        <v>660.97</v>
      </c>
      <c r="S207" s="5">
        <f>G207/F207</f>
        <v/>
      </c>
      <c r="T207" s="5">
        <f>MAX(0,1-J207/8)</f>
        <v/>
      </c>
      <c r="U207" s="5">
        <f>IFERROR(G207/(F207*T207),0)</f>
        <v/>
      </c>
      <c r="V207" s="5">
        <f>IFERROR(H207/G207,0)</f>
        <v/>
      </c>
      <c r="W207" s="5">
        <f>T207*U207*V207</f>
        <v/>
      </c>
      <c r="X207" s="5">
        <f>IFERROR(I207/G207,0)</f>
        <v/>
      </c>
      <c r="Y207" s="6">
        <f>IFERROR(G207/M207,0)</f>
        <v/>
      </c>
      <c r="Z207" s="6">
        <f>IFERROR(O207/G207,0)</f>
        <v/>
      </c>
      <c r="AA207" s="2">
        <f>IF(L207="None","No Maintenance",IF(L207="Preventive","Planned","Breakdown"))</f>
        <v/>
      </c>
    </row>
    <row r="208">
      <c r="A208" s="2" t="n">
        <v>204</v>
      </c>
      <c r="B208" s="4" t="n">
        <v>46090</v>
      </c>
      <c r="C208" s="2" t="inlineStr">
        <is>
          <t>Night</t>
        </is>
      </c>
      <c r="D208" s="2" t="inlineStr">
        <is>
          <t>Line 2</t>
        </is>
      </c>
      <c r="E208" s="2" t="inlineStr">
        <is>
          <t>Salt &amp; Vinegar</t>
        </is>
      </c>
      <c r="F208" s="2" t="n">
        <v>1007</v>
      </c>
      <c r="G208" s="2" t="n">
        <v>792.3</v>
      </c>
      <c r="H208" s="2" t="n">
        <v>784.7</v>
      </c>
      <c r="I208" s="2" t="n">
        <v>7.6</v>
      </c>
      <c r="J208" s="2" t="n">
        <v>0.28</v>
      </c>
      <c r="K208" s="2" t="inlineStr">
        <is>
          <t>No Downtime</t>
        </is>
      </c>
      <c r="L208" s="2" t="inlineStr">
        <is>
          <t>None</t>
        </is>
      </c>
      <c r="M208" s="2" t="n">
        <v>1602.6</v>
      </c>
      <c r="N208" s="2" t="n">
        <v>260.1</v>
      </c>
      <c r="O208" s="2" t="n">
        <v>93356.5</v>
      </c>
      <c r="P208" s="2" t="n">
        <v>176.3</v>
      </c>
      <c r="Q208" s="2" t="n">
        <v>1.6</v>
      </c>
      <c r="R208" s="2" t="n">
        <v>0</v>
      </c>
      <c r="S208" s="5">
        <f>G208/F208</f>
        <v/>
      </c>
      <c r="T208" s="5">
        <f>MAX(0,1-J208/8)</f>
        <v/>
      </c>
      <c r="U208" s="5">
        <f>IFERROR(G208/(F208*T208),0)</f>
        <v/>
      </c>
      <c r="V208" s="5">
        <f>IFERROR(H208/G208,0)</f>
        <v/>
      </c>
      <c r="W208" s="5">
        <f>T208*U208*V208</f>
        <v/>
      </c>
      <c r="X208" s="5">
        <f>IFERROR(I208/G208,0)</f>
        <v/>
      </c>
      <c r="Y208" s="6">
        <f>IFERROR(G208/M208,0)</f>
        <v/>
      </c>
      <c r="Z208" s="6">
        <f>IFERROR(O208/G208,0)</f>
        <v/>
      </c>
      <c r="AA208" s="2">
        <f>IF(L208="None","No Maintenance",IF(L208="Preventive","Planned","Breakdown"))</f>
        <v/>
      </c>
    </row>
    <row r="209">
      <c r="A209" s="2" t="n">
        <v>205</v>
      </c>
      <c r="B209" s="4" t="n">
        <v>46091</v>
      </c>
      <c r="C209" s="2" t="inlineStr">
        <is>
          <t>Day</t>
        </is>
      </c>
      <c r="D209" s="2" t="inlineStr">
        <is>
          <t>Line 2</t>
        </is>
      </c>
      <c r="E209" s="2" t="inlineStr">
        <is>
          <t>Classic Chips</t>
        </is>
      </c>
      <c r="F209" s="2" t="n">
        <v>915</v>
      </c>
      <c r="G209" s="2" t="n">
        <v>829.6</v>
      </c>
      <c r="H209" s="2" t="n">
        <v>822.8</v>
      </c>
      <c r="I209" s="2" t="n">
        <v>6.8</v>
      </c>
      <c r="J209" s="2" t="n">
        <v>0.23</v>
      </c>
      <c r="K209" s="2" t="inlineStr">
        <is>
          <t>No Downtime</t>
        </is>
      </c>
      <c r="L209" s="2" t="inlineStr">
        <is>
          <t>None</t>
        </is>
      </c>
      <c r="M209" s="2" t="n">
        <v>1789</v>
      </c>
      <c r="N209" s="2" t="n">
        <v>254.5</v>
      </c>
      <c r="O209" s="2" t="n">
        <v>101260.6</v>
      </c>
      <c r="P209" s="2" t="n">
        <v>182.8</v>
      </c>
      <c r="Q209" s="2" t="n">
        <v>1.7</v>
      </c>
      <c r="R209" s="2" t="n">
        <v>0</v>
      </c>
      <c r="S209" s="5">
        <f>G209/F209</f>
        <v/>
      </c>
      <c r="T209" s="5">
        <f>MAX(0,1-J209/8)</f>
        <v/>
      </c>
      <c r="U209" s="5">
        <f>IFERROR(G209/(F209*T209),0)</f>
        <v/>
      </c>
      <c r="V209" s="5">
        <f>IFERROR(H209/G209,0)</f>
        <v/>
      </c>
      <c r="W209" s="5">
        <f>T209*U209*V209</f>
        <v/>
      </c>
      <c r="X209" s="5">
        <f>IFERROR(I209/G209,0)</f>
        <v/>
      </c>
      <c r="Y209" s="6">
        <f>IFERROR(G209/M209,0)</f>
        <v/>
      </c>
      <c r="Z209" s="6">
        <f>IFERROR(O209/G209,0)</f>
        <v/>
      </c>
      <c r="AA209" s="2">
        <f>IF(L209="None","No Maintenance",IF(L209="Preventive","Planned","Breakdown"))</f>
        <v/>
      </c>
    </row>
    <row r="210">
      <c r="A210" s="2" t="n">
        <v>206</v>
      </c>
      <c r="B210" s="4" t="n">
        <v>46091</v>
      </c>
      <c r="C210" s="2" t="inlineStr">
        <is>
          <t>Evening</t>
        </is>
      </c>
      <c r="D210" s="2" t="inlineStr">
        <is>
          <t>Line 2</t>
        </is>
      </c>
      <c r="E210" s="2" t="inlineStr">
        <is>
          <t>Paprika Chips</t>
        </is>
      </c>
      <c r="F210" s="2" t="n">
        <v>928</v>
      </c>
      <c r="G210" s="2" t="n">
        <v>516.9</v>
      </c>
      <c r="H210" s="2" t="n">
        <v>511</v>
      </c>
      <c r="I210" s="2" t="n">
        <v>5.9</v>
      </c>
      <c r="J210" s="2" t="n">
        <v>3.16</v>
      </c>
      <c r="K210" s="2" t="inlineStr">
        <is>
          <t>Fryer Temperature</t>
        </is>
      </c>
      <c r="L210" s="2" t="inlineStr">
        <is>
          <t>Corrective</t>
        </is>
      </c>
      <c r="M210" s="2" t="n">
        <v>1047.6</v>
      </c>
      <c r="N210" s="2" t="n">
        <v>162.1</v>
      </c>
      <c r="O210" s="2" t="n">
        <v>59181.3</v>
      </c>
      <c r="P210" s="2" t="n">
        <v>175.6</v>
      </c>
      <c r="Q210" s="2" t="n">
        <v>1.47</v>
      </c>
      <c r="R210" s="2" t="n">
        <v>700.49</v>
      </c>
      <c r="S210" s="5">
        <f>G210/F210</f>
        <v/>
      </c>
      <c r="T210" s="5">
        <f>MAX(0,1-J210/8)</f>
        <v/>
      </c>
      <c r="U210" s="5">
        <f>IFERROR(G210/(F210*T210),0)</f>
        <v/>
      </c>
      <c r="V210" s="5">
        <f>IFERROR(H210/G210,0)</f>
        <v/>
      </c>
      <c r="W210" s="5">
        <f>T210*U210*V210</f>
        <v/>
      </c>
      <c r="X210" s="5">
        <f>IFERROR(I210/G210,0)</f>
        <v/>
      </c>
      <c r="Y210" s="6">
        <f>IFERROR(G210/M210,0)</f>
        <v/>
      </c>
      <c r="Z210" s="6">
        <f>IFERROR(O210/G210,0)</f>
        <v/>
      </c>
      <c r="AA210" s="2">
        <f>IF(L210="None","No Maintenance",IF(L210="Preventive","Planned","Breakdown"))</f>
        <v/>
      </c>
    </row>
    <row r="211">
      <c r="A211" s="2" t="n">
        <v>207</v>
      </c>
      <c r="B211" s="4" t="n">
        <v>46091</v>
      </c>
      <c r="C211" s="2" t="inlineStr">
        <is>
          <t>Night</t>
        </is>
      </c>
      <c r="D211" s="2" t="inlineStr">
        <is>
          <t>Line 1</t>
        </is>
      </c>
      <c r="E211" s="2" t="inlineStr">
        <is>
          <t>Classic Chips</t>
        </is>
      </c>
      <c r="F211" s="2" t="n">
        <v>923</v>
      </c>
      <c r="G211" s="2" t="n">
        <v>731.1</v>
      </c>
      <c r="H211" s="2" t="n">
        <v>719.9</v>
      </c>
      <c r="I211" s="2" t="n">
        <v>11.2</v>
      </c>
      <c r="J211" s="2" t="n">
        <v>1.29</v>
      </c>
      <c r="K211" s="2" t="inlineStr">
        <is>
          <t>Quality Hold</t>
        </is>
      </c>
      <c r="L211" s="2" t="inlineStr">
        <is>
          <t>Corrective</t>
        </is>
      </c>
      <c r="M211" s="2" t="n">
        <v>1502.8</v>
      </c>
      <c r="N211" s="2" t="n">
        <v>237.6</v>
      </c>
      <c r="O211" s="2" t="n">
        <v>79718.10000000001</v>
      </c>
      <c r="P211" s="2" t="n">
        <v>178.7</v>
      </c>
      <c r="Q211" s="2" t="n">
        <v>1.71</v>
      </c>
      <c r="R211" s="2" t="n">
        <v>725.12</v>
      </c>
      <c r="S211" s="5">
        <f>G211/F211</f>
        <v/>
      </c>
      <c r="T211" s="5">
        <f>MAX(0,1-J211/8)</f>
        <v/>
      </c>
      <c r="U211" s="5">
        <f>IFERROR(G211/(F211*T211),0)</f>
        <v/>
      </c>
      <c r="V211" s="5">
        <f>IFERROR(H211/G211,0)</f>
        <v/>
      </c>
      <c r="W211" s="5">
        <f>T211*U211*V211</f>
        <v/>
      </c>
      <c r="X211" s="5">
        <f>IFERROR(I211/G211,0)</f>
        <v/>
      </c>
      <c r="Y211" s="6">
        <f>IFERROR(G211/M211,0)</f>
        <v/>
      </c>
      <c r="Z211" s="6">
        <f>IFERROR(O211/G211,0)</f>
        <v/>
      </c>
      <c r="AA211" s="2">
        <f>IF(L211="None","No Maintenance",IF(L211="Preventive","Planned","Breakdown"))</f>
        <v/>
      </c>
    </row>
    <row r="212">
      <c r="A212" s="2" t="n">
        <v>208</v>
      </c>
      <c r="B212" s="4" t="n">
        <v>46092</v>
      </c>
      <c r="C212" s="2" t="inlineStr">
        <is>
          <t>Day</t>
        </is>
      </c>
      <c r="D212" s="2" t="inlineStr">
        <is>
          <t>Line 1</t>
        </is>
      </c>
      <c r="E212" s="2" t="inlineStr">
        <is>
          <t>Paprika Chips</t>
        </is>
      </c>
      <c r="F212" s="2" t="n">
        <v>983</v>
      </c>
      <c r="G212" s="2" t="n">
        <v>896.1</v>
      </c>
      <c r="H212" s="2" t="n">
        <v>872.3</v>
      </c>
      <c r="I212" s="2" t="n">
        <v>23.8</v>
      </c>
      <c r="J212" s="2" t="n">
        <v>0.16</v>
      </c>
      <c r="K212" s="2" t="inlineStr">
        <is>
          <t>No Downtime</t>
        </is>
      </c>
      <c r="L212" s="2" t="inlineStr">
        <is>
          <t>None</t>
        </is>
      </c>
      <c r="M212" s="2" t="n">
        <v>1883.8</v>
      </c>
      <c r="N212" s="2" t="n">
        <v>293</v>
      </c>
      <c r="O212" s="2" t="n">
        <v>103526.5</v>
      </c>
      <c r="P212" s="2" t="n">
        <v>177.5</v>
      </c>
      <c r="Q212" s="2" t="n">
        <v>1.74</v>
      </c>
      <c r="R212" s="2" t="n">
        <v>0</v>
      </c>
      <c r="S212" s="5">
        <f>G212/F212</f>
        <v/>
      </c>
      <c r="T212" s="5">
        <f>MAX(0,1-J212/8)</f>
        <v/>
      </c>
      <c r="U212" s="5">
        <f>IFERROR(G212/(F212*T212),0)</f>
        <v/>
      </c>
      <c r="V212" s="5">
        <f>IFERROR(H212/G212,0)</f>
        <v/>
      </c>
      <c r="W212" s="5">
        <f>T212*U212*V212</f>
        <v/>
      </c>
      <c r="X212" s="5">
        <f>IFERROR(I212/G212,0)</f>
        <v/>
      </c>
      <c r="Y212" s="6">
        <f>IFERROR(G212/M212,0)</f>
        <v/>
      </c>
      <c r="Z212" s="6">
        <f>IFERROR(O212/G212,0)</f>
        <v/>
      </c>
      <c r="AA212" s="2">
        <f>IF(L212="None","No Maintenance",IF(L212="Preventive","Planned","Breakdown"))</f>
        <v/>
      </c>
    </row>
    <row r="213">
      <c r="A213" s="2" t="n">
        <v>209</v>
      </c>
      <c r="B213" s="4" t="n">
        <v>46092</v>
      </c>
      <c r="C213" s="2" t="inlineStr">
        <is>
          <t>Evening</t>
        </is>
      </c>
      <c r="D213" s="2" t="inlineStr">
        <is>
          <t>Line 2</t>
        </is>
      </c>
      <c r="E213" s="2" t="inlineStr">
        <is>
          <t>Classic Chips</t>
        </is>
      </c>
      <c r="F213" s="2" t="n">
        <v>994</v>
      </c>
      <c r="G213" s="2" t="n">
        <v>840.8</v>
      </c>
      <c r="H213" s="2" t="n">
        <v>829.4</v>
      </c>
      <c r="I213" s="2" t="n">
        <v>11.4</v>
      </c>
      <c r="J213" s="2" t="n">
        <v>0.21</v>
      </c>
      <c r="K213" s="2" t="inlineStr">
        <is>
          <t>No Downtime</t>
        </is>
      </c>
      <c r="L213" s="2" t="inlineStr">
        <is>
          <t>None</t>
        </is>
      </c>
      <c r="M213" s="2" t="n">
        <v>1725.3</v>
      </c>
      <c r="N213" s="2" t="n">
        <v>243.6</v>
      </c>
      <c r="O213" s="2" t="n">
        <v>102171.3</v>
      </c>
      <c r="P213" s="2" t="n">
        <v>180</v>
      </c>
      <c r="Q213" s="2" t="n">
        <v>1.54</v>
      </c>
      <c r="R213" s="2" t="n">
        <v>0</v>
      </c>
      <c r="S213" s="5">
        <f>G213/F213</f>
        <v/>
      </c>
      <c r="T213" s="5">
        <f>MAX(0,1-J213/8)</f>
        <v/>
      </c>
      <c r="U213" s="5">
        <f>IFERROR(G213/(F213*T213),0)</f>
        <v/>
      </c>
      <c r="V213" s="5">
        <f>IFERROR(H213/G213,0)</f>
        <v/>
      </c>
      <c r="W213" s="5">
        <f>T213*U213*V213</f>
        <v/>
      </c>
      <c r="X213" s="5">
        <f>IFERROR(I213/G213,0)</f>
        <v/>
      </c>
      <c r="Y213" s="6">
        <f>IFERROR(G213/M213,0)</f>
        <v/>
      </c>
      <c r="Z213" s="6">
        <f>IFERROR(O213/G213,0)</f>
        <v/>
      </c>
      <c r="AA213" s="2">
        <f>IF(L213="None","No Maintenance",IF(L213="Preventive","Planned","Breakdown"))</f>
        <v/>
      </c>
    </row>
    <row r="214">
      <c r="A214" s="2" t="n">
        <v>210</v>
      </c>
      <c r="B214" s="4" t="n">
        <v>46092</v>
      </c>
      <c r="C214" s="2" t="inlineStr">
        <is>
          <t>Night</t>
        </is>
      </c>
      <c r="D214" s="2" t="inlineStr">
        <is>
          <t>Line 1</t>
        </is>
      </c>
      <c r="E214" s="2" t="inlineStr">
        <is>
          <t>Classic Chips</t>
        </is>
      </c>
      <c r="F214" s="2" t="n">
        <v>916</v>
      </c>
      <c r="G214" s="2" t="n">
        <v>572.4</v>
      </c>
      <c r="H214" s="2" t="n">
        <v>559.9</v>
      </c>
      <c r="I214" s="2" t="n">
        <v>12.4</v>
      </c>
      <c r="J214" s="2" t="n">
        <v>3.14</v>
      </c>
      <c r="K214" s="2" t="inlineStr">
        <is>
          <t>Conveyor Jam</t>
        </is>
      </c>
      <c r="L214" s="2" t="inlineStr">
        <is>
          <t>Corrective</t>
        </is>
      </c>
      <c r="M214" s="2" t="n">
        <v>1180.1</v>
      </c>
      <c r="N214" s="2" t="n">
        <v>196.3</v>
      </c>
      <c r="O214" s="2" t="n">
        <v>66992.7</v>
      </c>
      <c r="P214" s="2" t="n">
        <v>178.5</v>
      </c>
      <c r="Q214" s="2" t="n">
        <v>1.56</v>
      </c>
      <c r="R214" s="2" t="n">
        <v>884.55</v>
      </c>
      <c r="S214" s="5">
        <f>G214/F214</f>
        <v/>
      </c>
      <c r="T214" s="5">
        <f>MAX(0,1-J214/8)</f>
        <v/>
      </c>
      <c r="U214" s="5">
        <f>IFERROR(G214/(F214*T214),0)</f>
        <v/>
      </c>
      <c r="V214" s="5">
        <f>IFERROR(H214/G214,0)</f>
        <v/>
      </c>
      <c r="W214" s="5">
        <f>T214*U214*V214</f>
        <v/>
      </c>
      <c r="X214" s="5">
        <f>IFERROR(I214/G214,0)</f>
        <v/>
      </c>
      <c r="Y214" s="6">
        <f>IFERROR(G214/M214,0)</f>
        <v/>
      </c>
      <c r="Z214" s="6">
        <f>IFERROR(O214/G214,0)</f>
        <v/>
      </c>
      <c r="AA214" s="2">
        <f>IF(L214="None","No Maintenance",IF(L214="Preventive","Planned","Breakdown"))</f>
        <v/>
      </c>
    </row>
    <row r="215">
      <c r="A215" s="2" t="n">
        <v>211</v>
      </c>
      <c r="B215" s="4" t="n">
        <v>46093</v>
      </c>
      <c r="C215" s="2" t="inlineStr">
        <is>
          <t>Day</t>
        </is>
      </c>
      <c r="D215" s="2" t="inlineStr">
        <is>
          <t>Line 1</t>
        </is>
      </c>
      <c r="E215" s="2" t="inlineStr">
        <is>
          <t>Classic Chips</t>
        </is>
      </c>
      <c r="F215" s="2" t="n">
        <v>981</v>
      </c>
      <c r="G215" s="2" t="n">
        <v>604.6</v>
      </c>
      <c r="H215" s="2" t="n">
        <v>587.7</v>
      </c>
      <c r="I215" s="2" t="n">
        <v>16.8</v>
      </c>
      <c r="J215" s="2" t="n">
        <v>3.52</v>
      </c>
      <c r="K215" s="2" t="inlineStr">
        <is>
          <t>Raw Material Shortage</t>
        </is>
      </c>
      <c r="L215" s="2" t="inlineStr">
        <is>
          <t>Emergency</t>
        </is>
      </c>
      <c r="M215" s="2" t="n">
        <v>1215.3</v>
      </c>
      <c r="N215" s="2" t="n">
        <v>191.5</v>
      </c>
      <c r="O215" s="2" t="n">
        <v>70584.8</v>
      </c>
      <c r="P215" s="2" t="n">
        <v>180.8</v>
      </c>
      <c r="Q215" s="2" t="n">
        <v>1.62</v>
      </c>
      <c r="R215" s="2" t="n">
        <v>913.0599999999999</v>
      </c>
      <c r="S215" s="5">
        <f>G215/F215</f>
        <v/>
      </c>
      <c r="T215" s="5">
        <f>MAX(0,1-J215/8)</f>
        <v/>
      </c>
      <c r="U215" s="5">
        <f>IFERROR(G215/(F215*T215),0)</f>
        <v/>
      </c>
      <c r="V215" s="5">
        <f>IFERROR(H215/G215,0)</f>
        <v/>
      </c>
      <c r="W215" s="5">
        <f>T215*U215*V215</f>
        <v/>
      </c>
      <c r="X215" s="5">
        <f>IFERROR(I215/G215,0)</f>
        <v/>
      </c>
      <c r="Y215" s="6">
        <f>IFERROR(G215/M215,0)</f>
        <v/>
      </c>
      <c r="Z215" s="6">
        <f>IFERROR(O215/G215,0)</f>
        <v/>
      </c>
      <c r="AA215" s="2">
        <f>IF(L215="None","No Maintenance",IF(L215="Preventive","Planned","Breakdown"))</f>
        <v/>
      </c>
    </row>
    <row r="216">
      <c r="A216" s="2" t="n">
        <v>212</v>
      </c>
      <c r="B216" s="4" t="n">
        <v>46093</v>
      </c>
      <c r="C216" s="2" t="inlineStr">
        <is>
          <t>Evening</t>
        </is>
      </c>
      <c r="D216" s="2" t="inlineStr">
        <is>
          <t>Line 2</t>
        </is>
      </c>
      <c r="E216" s="2" t="inlineStr">
        <is>
          <t>Salt &amp; Vinegar</t>
        </is>
      </c>
      <c r="F216" s="2" t="n">
        <v>977</v>
      </c>
      <c r="G216" s="2" t="n">
        <v>669.5</v>
      </c>
      <c r="H216" s="2" t="n">
        <v>652.5</v>
      </c>
      <c r="I216" s="2" t="n">
        <v>17</v>
      </c>
      <c r="J216" s="2" t="n">
        <v>2.34</v>
      </c>
      <c r="K216" s="2" t="inlineStr">
        <is>
          <t>Electrical Fault</t>
        </is>
      </c>
      <c r="L216" s="2" t="inlineStr">
        <is>
          <t>Corrective</t>
        </is>
      </c>
      <c r="M216" s="2" t="n">
        <v>1354.4</v>
      </c>
      <c r="N216" s="2" t="n">
        <v>212.6</v>
      </c>
      <c r="O216" s="2" t="n">
        <v>79848.39999999999</v>
      </c>
      <c r="P216" s="2" t="n">
        <v>170.2</v>
      </c>
      <c r="Q216" s="2" t="n">
        <v>1.81</v>
      </c>
      <c r="R216" s="2" t="n">
        <v>733.03</v>
      </c>
      <c r="S216" s="5">
        <f>G216/F216</f>
        <v/>
      </c>
      <c r="T216" s="5">
        <f>MAX(0,1-J216/8)</f>
        <v/>
      </c>
      <c r="U216" s="5">
        <f>IFERROR(G216/(F216*T216),0)</f>
        <v/>
      </c>
      <c r="V216" s="5">
        <f>IFERROR(H216/G216,0)</f>
        <v/>
      </c>
      <c r="W216" s="5">
        <f>T216*U216*V216</f>
        <v/>
      </c>
      <c r="X216" s="5">
        <f>IFERROR(I216/G216,0)</f>
        <v/>
      </c>
      <c r="Y216" s="6">
        <f>IFERROR(G216/M216,0)</f>
        <v/>
      </c>
      <c r="Z216" s="6">
        <f>IFERROR(O216/G216,0)</f>
        <v/>
      </c>
      <c r="AA216" s="2">
        <f>IF(L216="None","No Maintenance",IF(L216="Preventive","Planned","Breakdown"))</f>
        <v/>
      </c>
    </row>
    <row r="217">
      <c r="A217" s="2" t="n">
        <v>213</v>
      </c>
      <c r="B217" s="4" t="n">
        <v>46093</v>
      </c>
      <c r="C217" s="2" t="inlineStr">
        <is>
          <t>Night</t>
        </is>
      </c>
      <c r="D217" s="2" t="inlineStr">
        <is>
          <t>Line 2</t>
        </is>
      </c>
      <c r="E217" s="2" t="inlineStr">
        <is>
          <t>Salt &amp; Vinegar</t>
        </is>
      </c>
      <c r="F217" s="2" t="n">
        <v>1029</v>
      </c>
      <c r="G217" s="2" t="n">
        <v>813</v>
      </c>
      <c r="H217" s="2" t="n">
        <v>794.4</v>
      </c>
      <c r="I217" s="2" t="n">
        <v>18.6</v>
      </c>
      <c r="J217" s="2" t="n">
        <v>0.28</v>
      </c>
      <c r="K217" s="2" t="inlineStr">
        <is>
          <t>No Downtime</t>
        </is>
      </c>
      <c r="L217" s="2" t="inlineStr">
        <is>
          <t>None</t>
        </is>
      </c>
      <c r="M217" s="2" t="n">
        <v>1705.9</v>
      </c>
      <c r="N217" s="2" t="n">
        <v>274.5</v>
      </c>
      <c r="O217" s="2" t="n">
        <v>98563.39999999999</v>
      </c>
      <c r="P217" s="2" t="n">
        <v>176.6</v>
      </c>
      <c r="Q217" s="2" t="n">
        <v>1.56</v>
      </c>
      <c r="R217" s="2" t="n">
        <v>0</v>
      </c>
      <c r="S217" s="5">
        <f>G217/F217</f>
        <v/>
      </c>
      <c r="T217" s="5">
        <f>MAX(0,1-J217/8)</f>
        <v/>
      </c>
      <c r="U217" s="5">
        <f>IFERROR(G217/(F217*T217),0)</f>
        <v/>
      </c>
      <c r="V217" s="5">
        <f>IFERROR(H217/G217,0)</f>
        <v/>
      </c>
      <c r="W217" s="5">
        <f>T217*U217*V217</f>
        <v/>
      </c>
      <c r="X217" s="5">
        <f>IFERROR(I217/G217,0)</f>
        <v/>
      </c>
      <c r="Y217" s="6">
        <f>IFERROR(G217/M217,0)</f>
        <v/>
      </c>
      <c r="Z217" s="6">
        <f>IFERROR(O217/G217,0)</f>
        <v/>
      </c>
      <c r="AA217" s="2">
        <f>IF(L217="None","No Maintenance",IF(L217="Preventive","Planned","Breakdown"))</f>
        <v/>
      </c>
    </row>
    <row r="218">
      <c r="A218" s="2" t="n">
        <v>214</v>
      </c>
      <c r="B218" s="4" t="n">
        <v>46094</v>
      </c>
      <c r="C218" s="2" t="inlineStr">
        <is>
          <t>Day</t>
        </is>
      </c>
      <c r="D218" s="2" t="inlineStr">
        <is>
          <t>Line 1</t>
        </is>
      </c>
      <c r="E218" s="2" t="inlineStr">
        <is>
          <t>Classic Chips</t>
        </is>
      </c>
      <c r="F218" s="2" t="n">
        <v>989</v>
      </c>
      <c r="G218" s="2" t="n">
        <v>933.2</v>
      </c>
      <c r="H218" s="2" t="n">
        <v>915.6</v>
      </c>
      <c r="I218" s="2" t="n">
        <v>17.6</v>
      </c>
      <c r="J218" s="2" t="n">
        <v>0.11</v>
      </c>
      <c r="K218" s="2" t="inlineStr">
        <is>
          <t>No Downtime</t>
        </is>
      </c>
      <c r="L218" s="2" t="inlineStr">
        <is>
          <t>None</t>
        </is>
      </c>
      <c r="M218" s="2" t="n">
        <v>1835.4</v>
      </c>
      <c r="N218" s="2" t="n">
        <v>308.8</v>
      </c>
      <c r="O218" s="2" t="n">
        <v>111693.5</v>
      </c>
      <c r="P218" s="2" t="n">
        <v>181.5</v>
      </c>
      <c r="Q218" s="2" t="n">
        <v>1.91</v>
      </c>
      <c r="R218" s="2" t="n">
        <v>0</v>
      </c>
      <c r="S218" s="5">
        <f>G218/F218</f>
        <v/>
      </c>
      <c r="T218" s="5">
        <f>MAX(0,1-J218/8)</f>
        <v/>
      </c>
      <c r="U218" s="5">
        <f>IFERROR(G218/(F218*T218),0)</f>
        <v/>
      </c>
      <c r="V218" s="5">
        <f>IFERROR(H218/G218,0)</f>
        <v/>
      </c>
      <c r="W218" s="5">
        <f>T218*U218*V218</f>
        <v/>
      </c>
      <c r="X218" s="5">
        <f>IFERROR(I218/G218,0)</f>
        <v/>
      </c>
      <c r="Y218" s="6">
        <f>IFERROR(G218/M218,0)</f>
        <v/>
      </c>
      <c r="Z218" s="6">
        <f>IFERROR(O218/G218,0)</f>
        <v/>
      </c>
      <c r="AA218" s="2">
        <f>IF(L218="None","No Maintenance",IF(L218="Preventive","Planned","Breakdown"))</f>
        <v/>
      </c>
    </row>
    <row r="219">
      <c r="A219" s="2" t="n">
        <v>215</v>
      </c>
      <c r="B219" s="4" t="n">
        <v>46094</v>
      </c>
      <c r="C219" s="2" t="inlineStr">
        <is>
          <t>Evening</t>
        </is>
      </c>
      <c r="D219" s="2" t="inlineStr">
        <is>
          <t>Line 1</t>
        </is>
      </c>
      <c r="E219" s="2" t="inlineStr">
        <is>
          <t>Salt &amp; Vinegar</t>
        </is>
      </c>
      <c r="F219" s="2" t="n">
        <v>1022</v>
      </c>
      <c r="G219" s="2" t="n">
        <v>939.6</v>
      </c>
      <c r="H219" s="2" t="n">
        <v>926.8</v>
      </c>
      <c r="I219" s="2" t="n">
        <v>12.8</v>
      </c>
      <c r="J219" s="2" t="n">
        <v>0.07000000000000001</v>
      </c>
      <c r="K219" s="2" t="inlineStr">
        <is>
          <t>No Downtime</t>
        </is>
      </c>
      <c r="L219" s="2" t="inlineStr">
        <is>
          <t>None</t>
        </is>
      </c>
      <c r="M219" s="2" t="n">
        <v>1868.2</v>
      </c>
      <c r="N219" s="2" t="n">
        <v>273.7</v>
      </c>
      <c r="O219" s="2" t="n">
        <v>102593</v>
      </c>
      <c r="P219" s="2" t="n">
        <v>181.9</v>
      </c>
      <c r="Q219" s="2" t="n">
        <v>1.92</v>
      </c>
      <c r="R219" s="2" t="n">
        <v>0</v>
      </c>
      <c r="S219" s="5">
        <f>G219/F219</f>
        <v/>
      </c>
      <c r="T219" s="5">
        <f>MAX(0,1-J219/8)</f>
        <v/>
      </c>
      <c r="U219" s="5">
        <f>IFERROR(G219/(F219*T219),0)</f>
        <v/>
      </c>
      <c r="V219" s="5">
        <f>IFERROR(H219/G219,0)</f>
        <v/>
      </c>
      <c r="W219" s="5">
        <f>T219*U219*V219</f>
        <v/>
      </c>
      <c r="X219" s="5">
        <f>IFERROR(I219/G219,0)</f>
        <v/>
      </c>
      <c r="Y219" s="6">
        <f>IFERROR(G219/M219,0)</f>
        <v/>
      </c>
      <c r="Z219" s="6">
        <f>IFERROR(O219/G219,0)</f>
        <v/>
      </c>
      <c r="AA219" s="2">
        <f>IF(L219="None","No Maintenance",IF(L219="Preventive","Planned","Breakdown"))</f>
        <v/>
      </c>
    </row>
    <row r="220">
      <c r="A220" s="2" t="n">
        <v>216</v>
      </c>
      <c r="B220" s="4" t="n">
        <v>46094</v>
      </c>
      <c r="C220" s="2" t="inlineStr">
        <is>
          <t>Night</t>
        </is>
      </c>
      <c r="D220" s="2" t="inlineStr">
        <is>
          <t>Line 2</t>
        </is>
      </c>
      <c r="E220" s="2" t="inlineStr">
        <is>
          <t>Classic Chips</t>
        </is>
      </c>
      <c r="F220" s="2" t="n">
        <v>934</v>
      </c>
      <c r="G220" s="2" t="n">
        <v>713</v>
      </c>
      <c r="H220" s="2" t="n">
        <v>703.7</v>
      </c>
      <c r="I220" s="2" t="n">
        <v>9.300000000000001</v>
      </c>
      <c r="J220" s="2" t="n">
        <v>0.3</v>
      </c>
      <c r="K220" s="2" t="inlineStr">
        <is>
          <t>No Downtime</t>
        </is>
      </c>
      <c r="L220" s="2" t="inlineStr">
        <is>
          <t>None</t>
        </is>
      </c>
      <c r="M220" s="2" t="n">
        <v>1465</v>
      </c>
      <c r="N220" s="2" t="n">
        <v>232.7</v>
      </c>
      <c r="O220" s="2" t="n">
        <v>80119.60000000001</v>
      </c>
      <c r="P220" s="2" t="n">
        <v>174.7</v>
      </c>
      <c r="Q220" s="2" t="n">
        <v>1.77</v>
      </c>
      <c r="R220" s="2" t="n">
        <v>0</v>
      </c>
      <c r="S220" s="5">
        <f>G220/F220</f>
        <v/>
      </c>
      <c r="T220" s="5">
        <f>MAX(0,1-J220/8)</f>
        <v/>
      </c>
      <c r="U220" s="5">
        <f>IFERROR(G220/(F220*T220),0)</f>
        <v/>
      </c>
      <c r="V220" s="5">
        <f>IFERROR(H220/G220,0)</f>
        <v/>
      </c>
      <c r="W220" s="5">
        <f>T220*U220*V220</f>
        <v/>
      </c>
      <c r="X220" s="5">
        <f>IFERROR(I220/G220,0)</f>
        <v/>
      </c>
      <c r="Y220" s="6">
        <f>IFERROR(G220/M220,0)</f>
        <v/>
      </c>
      <c r="Z220" s="6">
        <f>IFERROR(O220/G220,0)</f>
        <v/>
      </c>
      <c r="AA220" s="2">
        <f>IF(L220="None","No Maintenance",IF(L220="Preventive","Planned","Breakdown"))</f>
        <v/>
      </c>
    </row>
    <row r="221">
      <c r="A221" s="2" t="n">
        <v>217</v>
      </c>
      <c r="B221" s="4" t="n">
        <v>46095</v>
      </c>
      <c r="C221" s="2" t="inlineStr">
        <is>
          <t>Day</t>
        </is>
      </c>
      <c r="D221" s="2" t="inlineStr">
        <is>
          <t>Line 2</t>
        </is>
      </c>
      <c r="E221" s="2" t="inlineStr">
        <is>
          <t>Classic Chips</t>
        </is>
      </c>
      <c r="F221" s="2" t="n">
        <v>981</v>
      </c>
      <c r="G221" s="2" t="n">
        <v>575.7</v>
      </c>
      <c r="H221" s="2" t="n">
        <v>570.6</v>
      </c>
      <c r="I221" s="2" t="n">
        <v>5.1</v>
      </c>
      <c r="J221" s="2" t="n">
        <v>3.52</v>
      </c>
      <c r="K221" s="2" t="inlineStr">
        <is>
          <t>Raw Material Shortage</t>
        </is>
      </c>
      <c r="L221" s="2" t="inlineStr">
        <is>
          <t>Corrective</t>
        </is>
      </c>
      <c r="M221" s="2" t="n">
        <v>1162.9</v>
      </c>
      <c r="N221" s="2" t="n">
        <v>186.9</v>
      </c>
      <c r="O221" s="2" t="n">
        <v>67967.3</v>
      </c>
      <c r="P221" s="2" t="n">
        <v>174.5</v>
      </c>
      <c r="Q221" s="2" t="n">
        <v>1.8</v>
      </c>
      <c r="R221" s="2" t="n">
        <v>641.24</v>
      </c>
      <c r="S221" s="5">
        <f>G221/F221</f>
        <v/>
      </c>
      <c r="T221" s="5">
        <f>MAX(0,1-J221/8)</f>
        <v/>
      </c>
      <c r="U221" s="5">
        <f>IFERROR(G221/(F221*T221),0)</f>
        <v/>
      </c>
      <c r="V221" s="5">
        <f>IFERROR(H221/G221,0)</f>
        <v/>
      </c>
      <c r="W221" s="5">
        <f>T221*U221*V221</f>
        <v/>
      </c>
      <c r="X221" s="5">
        <f>IFERROR(I221/G221,0)</f>
        <v/>
      </c>
      <c r="Y221" s="6">
        <f>IFERROR(G221/M221,0)</f>
        <v/>
      </c>
      <c r="Z221" s="6">
        <f>IFERROR(O221/G221,0)</f>
        <v/>
      </c>
      <c r="AA221" s="2">
        <f>IF(L221="None","No Maintenance",IF(L221="Preventive","Planned","Breakdown"))</f>
        <v/>
      </c>
    </row>
    <row r="222">
      <c r="A222" s="2" t="n">
        <v>218</v>
      </c>
      <c r="B222" s="4" t="n">
        <v>46095</v>
      </c>
      <c r="C222" s="2" t="inlineStr">
        <is>
          <t>Evening</t>
        </is>
      </c>
      <c r="D222" s="2" t="inlineStr">
        <is>
          <t>Line 2</t>
        </is>
      </c>
      <c r="E222" s="2" t="inlineStr">
        <is>
          <t>Salt &amp; Vinegar</t>
        </is>
      </c>
      <c r="F222" s="2" t="n">
        <v>1015</v>
      </c>
      <c r="G222" s="2" t="n">
        <v>872.2</v>
      </c>
      <c r="H222" s="2" t="n">
        <v>852.3</v>
      </c>
      <c r="I222" s="2" t="n">
        <v>19.9</v>
      </c>
      <c r="J222" s="2" t="n">
        <v>0.53</v>
      </c>
      <c r="K222" s="2" t="inlineStr">
        <is>
          <t>Quality Hold</t>
        </is>
      </c>
      <c r="L222" s="2" t="inlineStr">
        <is>
          <t>Corrective</t>
        </is>
      </c>
      <c r="M222" s="2" t="n">
        <v>1771.6</v>
      </c>
      <c r="N222" s="2" t="n">
        <v>314.5</v>
      </c>
      <c r="O222" s="2" t="n">
        <v>110141.3</v>
      </c>
      <c r="P222" s="2" t="n">
        <v>176.6</v>
      </c>
      <c r="Q222" s="2" t="n">
        <v>1.4</v>
      </c>
      <c r="R222" s="2" t="n">
        <v>393.21</v>
      </c>
      <c r="S222" s="5">
        <f>G222/F222</f>
        <v/>
      </c>
      <c r="T222" s="5">
        <f>MAX(0,1-J222/8)</f>
        <v/>
      </c>
      <c r="U222" s="5">
        <f>IFERROR(G222/(F222*T222),0)</f>
        <v/>
      </c>
      <c r="V222" s="5">
        <f>IFERROR(H222/G222,0)</f>
        <v/>
      </c>
      <c r="W222" s="5">
        <f>T222*U222*V222</f>
        <v/>
      </c>
      <c r="X222" s="5">
        <f>IFERROR(I222/G222,0)</f>
        <v/>
      </c>
      <c r="Y222" s="6">
        <f>IFERROR(G222/M222,0)</f>
        <v/>
      </c>
      <c r="Z222" s="6">
        <f>IFERROR(O222/G222,0)</f>
        <v/>
      </c>
      <c r="AA222" s="2">
        <f>IF(L222="None","No Maintenance",IF(L222="Preventive","Planned","Breakdown"))</f>
        <v/>
      </c>
    </row>
    <row r="223">
      <c r="A223" s="2" t="n">
        <v>219</v>
      </c>
      <c r="B223" s="4" t="n">
        <v>46095</v>
      </c>
      <c r="C223" s="2" t="inlineStr">
        <is>
          <t>Night</t>
        </is>
      </c>
      <c r="D223" s="2" t="inlineStr">
        <is>
          <t>Line 1</t>
        </is>
      </c>
      <c r="E223" s="2" t="inlineStr">
        <is>
          <t>Classic Chips</t>
        </is>
      </c>
      <c r="F223" s="2" t="n">
        <v>914</v>
      </c>
      <c r="G223" s="2" t="n">
        <v>485.8</v>
      </c>
      <c r="H223" s="2" t="n">
        <v>478</v>
      </c>
      <c r="I223" s="2" t="n">
        <v>7.8</v>
      </c>
      <c r="J223" s="2" t="n">
        <v>3</v>
      </c>
      <c r="K223" s="2" t="inlineStr">
        <is>
          <t>Packaging Machine</t>
        </is>
      </c>
      <c r="L223" s="2" t="inlineStr">
        <is>
          <t>Corrective</t>
        </is>
      </c>
      <c r="M223" s="2" t="n">
        <v>986.3</v>
      </c>
      <c r="N223" s="2" t="n">
        <v>171.9</v>
      </c>
      <c r="O223" s="2" t="n">
        <v>54474.1</v>
      </c>
      <c r="P223" s="2" t="n">
        <v>175</v>
      </c>
      <c r="Q223" s="2" t="n">
        <v>1.52</v>
      </c>
      <c r="R223" s="2" t="n">
        <v>724.29</v>
      </c>
      <c r="S223" s="5">
        <f>G223/F223</f>
        <v/>
      </c>
      <c r="T223" s="5">
        <f>MAX(0,1-J223/8)</f>
        <v/>
      </c>
      <c r="U223" s="5">
        <f>IFERROR(G223/(F223*T223),0)</f>
        <v/>
      </c>
      <c r="V223" s="5">
        <f>IFERROR(H223/G223,0)</f>
        <v/>
      </c>
      <c r="W223" s="5">
        <f>T223*U223*V223</f>
        <v/>
      </c>
      <c r="X223" s="5">
        <f>IFERROR(I223/G223,0)</f>
        <v/>
      </c>
      <c r="Y223" s="6">
        <f>IFERROR(G223/M223,0)</f>
        <v/>
      </c>
      <c r="Z223" s="6">
        <f>IFERROR(O223/G223,0)</f>
        <v/>
      </c>
      <c r="AA223" s="2">
        <f>IF(L223="None","No Maintenance",IF(L223="Preventive","Planned","Breakdown"))</f>
        <v/>
      </c>
    </row>
    <row r="224">
      <c r="A224" s="2" t="n">
        <v>220</v>
      </c>
      <c r="B224" s="4" t="n">
        <v>46096</v>
      </c>
      <c r="C224" s="2" t="inlineStr">
        <is>
          <t>Day</t>
        </is>
      </c>
      <c r="D224" s="2" t="inlineStr">
        <is>
          <t>Line 2</t>
        </is>
      </c>
      <c r="E224" s="2" t="inlineStr">
        <is>
          <t>Classic Chips</t>
        </is>
      </c>
      <c r="F224" s="2" t="n">
        <v>989</v>
      </c>
      <c r="G224" s="2" t="n">
        <v>927.1</v>
      </c>
      <c r="H224" s="2" t="n">
        <v>909.8</v>
      </c>
      <c r="I224" s="2" t="n">
        <v>17.3</v>
      </c>
      <c r="J224" s="2" t="n">
        <v>0.08</v>
      </c>
      <c r="K224" s="2" t="inlineStr">
        <is>
          <t>No Downtime</t>
        </is>
      </c>
      <c r="L224" s="2" t="inlineStr">
        <is>
          <t>None</t>
        </is>
      </c>
      <c r="M224" s="2" t="n">
        <v>1945.2</v>
      </c>
      <c r="N224" s="2" t="n">
        <v>332.9</v>
      </c>
      <c r="O224" s="2" t="n">
        <v>114882.2</v>
      </c>
      <c r="P224" s="2" t="n">
        <v>174.4</v>
      </c>
      <c r="Q224" s="2" t="n">
        <v>1.99</v>
      </c>
      <c r="R224" s="2" t="n">
        <v>0</v>
      </c>
      <c r="S224" s="5">
        <f>G224/F224</f>
        <v/>
      </c>
      <c r="T224" s="5">
        <f>MAX(0,1-J224/8)</f>
        <v/>
      </c>
      <c r="U224" s="5">
        <f>IFERROR(G224/(F224*T224),0)</f>
        <v/>
      </c>
      <c r="V224" s="5">
        <f>IFERROR(H224/G224,0)</f>
        <v/>
      </c>
      <c r="W224" s="5">
        <f>T224*U224*V224</f>
        <v/>
      </c>
      <c r="X224" s="5">
        <f>IFERROR(I224/G224,0)</f>
        <v/>
      </c>
      <c r="Y224" s="6">
        <f>IFERROR(G224/M224,0)</f>
        <v/>
      </c>
      <c r="Z224" s="6">
        <f>IFERROR(O224/G224,0)</f>
        <v/>
      </c>
      <c r="AA224" s="2">
        <f>IF(L224="None","No Maintenance",IF(L224="Preventive","Planned","Breakdown"))</f>
        <v/>
      </c>
    </row>
    <row r="225">
      <c r="A225" s="2" t="n">
        <v>221</v>
      </c>
      <c r="B225" s="4" t="n">
        <v>46096</v>
      </c>
      <c r="C225" s="2" t="inlineStr">
        <is>
          <t>Evening</t>
        </is>
      </c>
      <c r="D225" s="2" t="inlineStr">
        <is>
          <t>Line 2</t>
        </is>
      </c>
      <c r="E225" s="2" t="inlineStr">
        <is>
          <t>Salt &amp; Vinegar</t>
        </is>
      </c>
      <c r="F225" s="2" t="n">
        <v>989</v>
      </c>
      <c r="G225" s="2" t="n">
        <v>614.8</v>
      </c>
      <c r="H225" s="2" t="n">
        <v>606.6</v>
      </c>
      <c r="I225" s="2" t="n">
        <v>8.199999999999999</v>
      </c>
      <c r="J225" s="2" t="n">
        <v>3.39</v>
      </c>
      <c r="K225" s="2" t="inlineStr">
        <is>
          <t>Raw Material Shortage</t>
        </is>
      </c>
      <c r="L225" s="2" t="inlineStr">
        <is>
          <t>Corrective</t>
        </is>
      </c>
      <c r="M225" s="2" t="n">
        <v>1248.7</v>
      </c>
      <c r="N225" s="2" t="n">
        <v>173.8</v>
      </c>
      <c r="O225" s="2" t="n">
        <v>75955.3</v>
      </c>
      <c r="P225" s="2" t="n">
        <v>175.9</v>
      </c>
      <c r="Q225" s="2" t="n">
        <v>1.8</v>
      </c>
      <c r="R225" s="2" t="n">
        <v>394.09</v>
      </c>
      <c r="S225" s="5">
        <f>G225/F225</f>
        <v/>
      </c>
      <c r="T225" s="5">
        <f>MAX(0,1-J225/8)</f>
        <v/>
      </c>
      <c r="U225" s="5">
        <f>IFERROR(G225/(F225*T225),0)</f>
        <v/>
      </c>
      <c r="V225" s="5">
        <f>IFERROR(H225/G225,0)</f>
        <v/>
      </c>
      <c r="W225" s="5">
        <f>T225*U225*V225</f>
        <v/>
      </c>
      <c r="X225" s="5">
        <f>IFERROR(I225/G225,0)</f>
        <v/>
      </c>
      <c r="Y225" s="6">
        <f>IFERROR(G225/M225,0)</f>
        <v/>
      </c>
      <c r="Z225" s="6">
        <f>IFERROR(O225/G225,0)</f>
        <v/>
      </c>
      <c r="AA225" s="2">
        <f>IF(L225="None","No Maintenance",IF(L225="Preventive","Planned","Breakdown"))</f>
        <v/>
      </c>
    </row>
    <row r="226">
      <c r="A226" s="2" t="n">
        <v>222</v>
      </c>
      <c r="B226" s="4" t="n">
        <v>46096</v>
      </c>
      <c r="C226" s="2" t="inlineStr">
        <is>
          <t>Night</t>
        </is>
      </c>
      <c r="D226" s="2" t="inlineStr">
        <is>
          <t>Line 1</t>
        </is>
      </c>
      <c r="E226" s="2" t="inlineStr">
        <is>
          <t>Paprika Chips</t>
        </is>
      </c>
      <c r="F226" s="2" t="n">
        <v>946</v>
      </c>
      <c r="G226" s="2" t="n">
        <v>633.8</v>
      </c>
      <c r="H226" s="2" t="n">
        <v>623.7</v>
      </c>
      <c r="I226" s="2" t="n">
        <v>10.1</v>
      </c>
      <c r="J226" s="2" t="n">
        <v>1.92</v>
      </c>
      <c r="K226" s="2" t="inlineStr">
        <is>
          <t>Conveyor Jam</t>
        </is>
      </c>
      <c r="L226" s="2" t="inlineStr">
        <is>
          <t>Corrective</t>
        </is>
      </c>
      <c r="M226" s="2" t="n">
        <v>1237.9</v>
      </c>
      <c r="N226" s="2" t="n">
        <v>202.4</v>
      </c>
      <c r="O226" s="2" t="n">
        <v>80621.10000000001</v>
      </c>
      <c r="P226" s="2" t="n">
        <v>182.1</v>
      </c>
      <c r="Q226" s="2" t="n">
        <v>1.8</v>
      </c>
      <c r="R226" s="2" t="n">
        <v>736.1</v>
      </c>
      <c r="S226" s="5">
        <f>G226/F226</f>
        <v/>
      </c>
      <c r="T226" s="5">
        <f>MAX(0,1-J226/8)</f>
        <v/>
      </c>
      <c r="U226" s="5">
        <f>IFERROR(G226/(F226*T226),0)</f>
        <v/>
      </c>
      <c r="V226" s="5">
        <f>IFERROR(H226/G226,0)</f>
        <v/>
      </c>
      <c r="W226" s="5">
        <f>T226*U226*V226</f>
        <v/>
      </c>
      <c r="X226" s="5">
        <f>IFERROR(I226/G226,0)</f>
        <v/>
      </c>
      <c r="Y226" s="6">
        <f>IFERROR(G226/M226,0)</f>
        <v/>
      </c>
      <c r="Z226" s="6">
        <f>IFERROR(O226/G226,0)</f>
        <v/>
      </c>
      <c r="AA226" s="2">
        <f>IF(L226="None","No Maintenance",IF(L226="Preventive","Planned","Breakdown"))</f>
        <v/>
      </c>
    </row>
    <row r="227">
      <c r="A227" s="2" t="n">
        <v>223</v>
      </c>
      <c r="B227" s="4" t="n">
        <v>46097</v>
      </c>
      <c r="C227" s="2" t="inlineStr">
        <is>
          <t>Day</t>
        </is>
      </c>
      <c r="D227" s="2" t="inlineStr">
        <is>
          <t>Line 1</t>
        </is>
      </c>
      <c r="E227" s="2" t="inlineStr">
        <is>
          <t>Paprika Chips</t>
        </is>
      </c>
      <c r="F227" s="2" t="n">
        <v>1013</v>
      </c>
      <c r="G227" s="2" t="n">
        <v>987.3</v>
      </c>
      <c r="H227" s="2" t="n">
        <v>975.9</v>
      </c>
      <c r="I227" s="2" t="n">
        <v>11.4</v>
      </c>
      <c r="J227" s="2" t="n">
        <v>0.17</v>
      </c>
      <c r="K227" s="2" t="inlineStr">
        <is>
          <t>No Downtime</t>
        </is>
      </c>
      <c r="L227" s="2" t="inlineStr">
        <is>
          <t>None</t>
        </is>
      </c>
      <c r="M227" s="2" t="n">
        <v>2098.8</v>
      </c>
      <c r="N227" s="2" t="n">
        <v>288.2</v>
      </c>
      <c r="O227" s="2" t="n">
        <v>123154.6</v>
      </c>
      <c r="P227" s="2" t="n">
        <v>175.8</v>
      </c>
      <c r="Q227" s="2" t="n">
        <v>1.74</v>
      </c>
      <c r="R227" s="2" t="n">
        <v>0</v>
      </c>
      <c r="S227" s="5">
        <f>G227/F227</f>
        <v/>
      </c>
      <c r="T227" s="5">
        <f>MAX(0,1-J227/8)</f>
        <v/>
      </c>
      <c r="U227" s="5">
        <f>IFERROR(G227/(F227*T227),0)</f>
        <v/>
      </c>
      <c r="V227" s="5">
        <f>IFERROR(H227/G227,0)</f>
        <v/>
      </c>
      <c r="W227" s="5">
        <f>T227*U227*V227</f>
        <v/>
      </c>
      <c r="X227" s="5">
        <f>IFERROR(I227/G227,0)</f>
        <v/>
      </c>
      <c r="Y227" s="6">
        <f>IFERROR(G227/M227,0)</f>
        <v/>
      </c>
      <c r="Z227" s="6">
        <f>IFERROR(O227/G227,0)</f>
        <v/>
      </c>
      <c r="AA227" s="2">
        <f>IF(L227="None","No Maintenance",IF(L227="Preventive","Planned","Breakdown"))</f>
        <v/>
      </c>
    </row>
    <row r="228">
      <c r="A228" s="2" t="n">
        <v>224</v>
      </c>
      <c r="B228" s="4" t="n">
        <v>46097</v>
      </c>
      <c r="C228" s="2" t="inlineStr">
        <is>
          <t>Evening</t>
        </is>
      </c>
      <c r="D228" s="2" t="inlineStr">
        <is>
          <t>Line 1</t>
        </is>
      </c>
      <c r="E228" s="2" t="inlineStr">
        <is>
          <t>Classic Chips</t>
        </is>
      </c>
      <c r="F228" s="2" t="n">
        <v>915</v>
      </c>
      <c r="G228" s="2" t="n">
        <v>758.4</v>
      </c>
      <c r="H228" s="2" t="n">
        <v>747.7</v>
      </c>
      <c r="I228" s="2" t="n">
        <v>10.7</v>
      </c>
      <c r="J228" s="2" t="n">
        <v>0.33</v>
      </c>
      <c r="K228" s="2" t="inlineStr">
        <is>
          <t>No Downtime</t>
        </is>
      </c>
      <c r="L228" s="2" t="inlineStr">
        <is>
          <t>None</t>
        </is>
      </c>
      <c r="M228" s="2" t="n">
        <v>1565.6</v>
      </c>
      <c r="N228" s="2" t="n">
        <v>241.2</v>
      </c>
      <c r="O228" s="2" t="n">
        <v>88493.7</v>
      </c>
      <c r="P228" s="2" t="n">
        <v>180.2</v>
      </c>
      <c r="Q228" s="2" t="n">
        <v>1.38</v>
      </c>
      <c r="R228" s="2" t="n">
        <v>0</v>
      </c>
      <c r="S228" s="5">
        <f>G228/F228</f>
        <v/>
      </c>
      <c r="T228" s="5">
        <f>MAX(0,1-J228/8)</f>
        <v/>
      </c>
      <c r="U228" s="5">
        <f>IFERROR(G228/(F228*T228),0)</f>
        <v/>
      </c>
      <c r="V228" s="5">
        <f>IFERROR(H228/G228,0)</f>
        <v/>
      </c>
      <c r="W228" s="5">
        <f>T228*U228*V228</f>
        <v/>
      </c>
      <c r="X228" s="5">
        <f>IFERROR(I228/G228,0)</f>
        <v/>
      </c>
      <c r="Y228" s="6">
        <f>IFERROR(G228/M228,0)</f>
        <v/>
      </c>
      <c r="Z228" s="6">
        <f>IFERROR(O228/G228,0)</f>
        <v/>
      </c>
      <c r="AA228" s="2">
        <f>IF(L228="None","No Maintenance",IF(L228="Preventive","Planned","Breakdown"))</f>
        <v/>
      </c>
    </row>
    <row r="229">
      <c r="A229" s="2" t="n">
        <v>225</v>
      </c>
      <c r="B229" s="4" t="n">
        <v>46097</v>
      </c>
      <c r="C229" s="2" t="inlineStr">
        <is>
          <t>Night</t>
        </is>
      </c>
      <c r="D229" s="2" t="inlineStr">
        <is>
          <t>Line 1</t>
        </is>
      </c>
      <c r="E229" s="2" t="inlineStr">
        <is>
          <t>Classic Chips</t>
        </is>
      </c>
      <c r="F229" s="2" t="n">
        <v>908</v>
      </c>
      <c r="G229" s="2" t="n">
        <v>593.9</v>
      </c>
      <c r="H229" s="2" t="n">
        <v>582.9</v>
      </c>
      <c r="I229" s="2" t="n">
        <v>11.1</v>
      </c>
      <c r="J229" s="2" t="n">
        <v>2.69</v>
      </c>
      <c r="K229" s="2" t="inlineStr">
        <is>
          <t>Planned Maintenance</t>
        </is>
      </c>
      <c r="L229" s="2" t="inlineStr">
        <is>
          <t>Preventive</t>
        </is>
      </c>
      <c r="M229" s="2" t="n">
        <v>1202.3</v>
      </c>
      <c r="N229" s="2" t="n">
        <v>198.9</v>
      </c>
      <c r="O229" s="2" t="n">
        <v>70693.7</v>
      </c>
      <c r="P229" s="2" t="n">
        <v>174.5</v>
      </c>
      <c r="Q229" s="2" t="n">
        <v>1.48</v>
      </c>
      <c r="R229" s="2" t="n">
        <v>229.05</v>
      </c>
      <c r="S229" s="5">
        <f>G229/F229</f>
        <v/>
      </c>
      <c r="T229" s="5">
        <f>MAX(0,1-J229/8)</f>
        <v/>
      </c>
      <c r="U229" s="5">
        <f>IFERROR(G229/(F229*T229),0)</f>
        <v/>
      </c>
      <c r="V229" s="5">
        <f>IFERROR(H229/G229,0)</f>
        <v/>
      </c>
      <c r="W229" s="5">
        <f>T229*U229*V229</f>
        <v/>
      </c>
      <c r="X229" s="5">
        <f>IFERROR(I229/G229,0)</f>
        <v/>
      </c>
      <c r="Y229" s="6">
        <f>IFERROR(G229/M229,0)</f>
        <v/>
      </c>
      <c r="Z229" s="6">
        <f>IFERROR(O229/G229,0)</f>
        <v/>
      </c>
      <c r="AA229" s="2">
        <f>IF(L229="None","No Maintenance",IF(L229="Preventive","Planned","Breakdown"))</f>
        <v/>
      </c>
    </row>
    <row r="230">
      <c r="A230" s="2" t="n">
        <v>226</v>
      </c>
      <c r="B230" s="4" t="n">
        <v>46098</v>
      </c>
      <c r="C230" s="2" t="inlineStr">
        <is>
          <t>Day</t>
        </is>
      </c>
      <c r="D230" s="2" t="inlineStr">
        <is>
          <t>Line 2</t>
        </is>
      </c>
      <c r="E230" s="2" t="inlineStr">
        <is>
          <t>Classic Chips</t>
        </is>
      </c>
      <c r="F230" s="2" t="n">
        <v>1033</v>
      </c>
      <c r="G230" s="2" t="n">
        <v>813.6</v>
      </c>
      <c r="H230" s="2" t="n">
        <v>801.4</v>
      </c>
      <c r="I230" s="2" t="n">
        <v>12.2</v>
      </c>
      <c r="J230" s="2" t="n">
        <v>1.48</v>
      </c>
      <c r="K230" s="2" t="inlineStr">
        <is>
          <t>Quality Hold</t>
        </is>
      </c>
      <c r="L230" s="2" t="inlineStr">
        <is>
          <t>Corrective</t>
        </is>
      </c>
      <c r="M230" s="2" t="n">
        <v>1622.3</v>
      </c>
      <c r="N230" s="2" t="n">
        <v>276.2</v>
      </c>
      <c r="O230" s="2" t="n">
        <v>97711.8</v>
      </c>
      <c r="P230" s="2" t="n">
        <v>183.6</v>
      </c>
      <c r="Q230" s="2" t="n">
        <v>1.74</v>
      </c>
      <c r="R230" s="2" t="n">
        <v>367.9</v>
      </c>
      <c r="S230" s="5">
        <f>G230/F230</f>
        <v/>
      </c>
      <c r="T230" s="5">
        <f>MAX(0,1-J230/8)</f>
        <v/>
      </c>
      <c r="U230" s="5">
        <f>IFERROR(G230/(F230*T230),0)</f>
        <v/>
      </c>
      <c r="V230" s="5">
        <f>IFERROR(H230/G230,0)</f>
        <v/>
      </c>
      <c r="W230" s="5">
        <f>T230*U230*V230</f>
        <v/>
      </c>
      <c r="X230" s="5">
        <f>IFERROR(I230/G230,0)</f>
        <v/>
      </c>
      <c r="Y230" s="6">
        <f>IFERROR(G230/M230,0)</f>
        <v/>
      </c>
      <c r="Z230" s="6">
        <f>IFERROR(O230/G230,0)</f>
        <v/>
      </c>
      <c r="AA230" s="2">
        <f>IF(L230="None","No Maintenance",IF(L230="Preventive","Planned","Breakdown"))</f>
        <v/>
      </c>
    </row>
    <row r="231">
      <c r="A231" s="2" t="n">
        <v>227</v>
      </c>
      <c r="B231" s="4" t="n">
        <v>46098</v>
      </c>
      <c r="C231" s="2" t="inlineStr">
        <is>
          <t>Evening</t>
        </is>
      </c>
      <c r="D231" s="2" t="inlineStr">
        <is>
          <t>Line 1</t>
        </is>
      </c>
      <c r="E231" s="2" t="inlineStr">
        <is>
          <t>Salt &amp; Vinegar</t>
        </is>
      </c>
      <c r="F231" s="2" t="n">
        <v>943</v>
      </c>
      <c r="G231" s="2" t="n">
        <v>776.4</v>
      </c>
      <c r="H231" s="2" t="n">
        <v>764.3</v>
      </c>
      <c r="I231" s="2" t="n">
        <v>12.1</v>
      </c>
      <c r="J231" s="2" t="n">
        <v>0.29</v>
      </c>
      <c r="K231" s="2" t="inlineStr">
        <is>
          <t>No Downtime</t>
        </is>
      </c>
      <c r="L231" s="2" t="inlineStr">
        <is>
          <t>None</t>
        </is>
      </c>
      <c r="M231" s="2" t="n">
        <v>1610.6</v>
      </c>
      <c r="N231" s="2" t="n">
        <v>262.6</v>
      </c>
      <c r="O231" s="2" t="n">
        <v>101354.4</v>
      </c>
      <c r="P231" s="2" t="n">
        <v>179.9</v>
      </c>
      <c r="Q231" s="2" t="n">
        <v>1.5</v>
      </c>
      <c r="R231" s="2" t="n">
        <v>0</v>
      </c>
      <c r="S231" s="5">
        <f>G231/F231</f>
        <v/>
      </c>
      <c r="T231" s="5">
        <f>MAX(0,1-J231/8)</f>
        <v/>
      </c>
      <c r="U231" s="5">
        <f>IFERROR(G231/(F231*T231),0)</f>
        <v/>
      </c>
      <c r="V231" s="5">
        <f>IFERROR(H231/G231,0)</f>
        <v/>
      </c>
      <c r="W231" s="5">
        <f>T231*U231*V231</f>
        <v/>
      </c>
      <c r="X231" s="5">
        <f>IFERROR(I231/G231,0)</f>
        <v/>
      </c>
      <c r="Y231" s="6">
        <f>IFERROR(G231/M231,0)</f>
        <v/>
      </c>
      <c r="Z231" s="6">
        <f>IFERROR(O231/G231,0)</f>
        <v/>
      </c>
      <c r="AA231" s="2">
        <f>IF(L231="None","No Maintenance",IF(L231="Preventive","Planned","Breakdown"))</f>
        <v/>
      </c>
    </row>
    <row r="232">
      <c r="A232" s="2" t="n">
        <v>228</v>
      </c>
      <c r="B232" s="4" t="n">
        <v>46098</v>
      </c>
      <c r="C232" s="2" t="inlineStr">
        <is>
          <t>Night</t>
        </is>
      </c>
      <c r="D232" s="2" t="inlineStr">
        <is>
          <t>Line 2</t>
        </is>
      </c>
      <c r="E232" s="2" t="inlineStr">
        <is>
          <t>Classic Chips</t>
        </is>
      </c>
      <c r="F232" s="2" t="n">
        <v>900</v>
      </c>
      <c r="G232" s="2" t="n">
        <v>790.7</v>
      </c>
      <c r="H232" s="2" t="n">
        <v>778.9</v>
      </c>
      <c r="I232" s="2" t="n">
        <v>11.8</v>
      </c>
      <c r="J232" s="2" t="n">
        <v>0.16</v>
      </c>
      <c r="K232" s="2" t="inlineStr">
        <is>
          <t>No Downtime</t>
        </is>
      </c>
      <c r="L232" s="2" t="inlineStr">
        <is>
          <t>None</t>
        </is>
      </c>
      <c r="M232" s="2" t="n">
        <v>1631.1</v>
      </c>
      <c r="N232" s="2" t="n">
        <v>231.2</v>
      </c>
      <c r="O232" s="2" t="n">
        <v>84350.8</v>
      </c>
      <c r="P232" s="2" t="n">
        <v>181.1</v>
      </c>
      <c r="Q232" s="2" t="n">
        <v>1.41</v>
      </c>
      <c r="R232" s="2" t="n">
        <v>0</v>
      </c>
      <c r="S232" s="5">
        <f>G232/F232</f>
        <v/>
      </c>
      <c r="T232" s="5">
        <f>MAX(0,1-J232/8)</f>
        <v/>
      </c>
      <c r="U232" s="5">
        <f>IFERROR(G232/(F232*T232),0)</f>
        <v/>
      </c>
      <c r="V232" s="5">
        <f>IFERROR(H232/G232,0)</f>
        <v/>
      </c>
      <c r="W232" s="5">
        <f>T232*U232*V232</f>
        <v/>
      </c>
      <c r="X232" s="5">
        <f>IFERROR(I232/G232,0)</f>
        <v/>
      </c>
      <c r="Y232" s="6">
        <f>IFERROR(G232/M232,0)</f>
        <v/>
      </c>
      <c r="Z232" s="6">
        <f>IFERROR(O232/G232,0)</f>
        <v/>
      </c>
      <c r="AA232" s="2">
        <f>IF(L232="None","No Maintenance",IF(L232="Preventive","Planned","Breakdown"))</f>
        <v/>
      </c>
    </row>
    <row r="233">
      <c r="A233" s="2" t="n">
        <v>229</v>
      </c>
      <c r="B233" s="4" t="n">
        <v>46099</v>
      </c>
      <c r="C233" s="2" t="inlineStr">
        <is>
          <t>Day</t>
        </is>
      </c>
      <c r="D233" s="2" t="inlineStr">
        <is>
          <t>Line 2</t>
        </is>
      </c>
      <c r="E233" s="2" t="inlineStr">
        <is>
          <t>Classic Chips</t>
        </is>
      </c>
      <c r="F233" s="2" t="n">
        <v>1047</v>
      </c>
      <c r="G233" s="2" t="n">
        <v>966.3</v>
      </c>
      <c r="H233" s="2" t="n">
        <v>949.1</v>
      </c>
      <c r="I233" s="2" t="n">
        <v>17.2</v>
      </c>
      <c r="J233" s="2" t="n">
        <v>0.06</v>
      </c>
      <c r="K233" s="2" t="inlineStr">
        <is>
          <t>No Downtime</t>
        </is>
      </c>
      <c r="L233" s="2" t="inlineStr">
        <is>
          <t>None</t>
        </is>
      </c>
      <c r="M233" s="2" t="n">
        <v>1943.7</v>
      </c>
      <c r="N233" s="2" t="n">
        <v>293.8</v>
      </c>
      <c r="O233" s="2" t="n">
        <v>116457.2</v>
      </c>
      <c r="P233" s="2" t="n">
        <v>178.9</v>
      </c>
      <c r="Q233" s="2" t="n">
        <v>1.79</v>
      </c>
      <c r="R233" s="2" t="n">
        <v>0</v>
      </c>
      <c r="S233" s="5">
        <f>G233/F233</f>
        <v/>
      </c>
      <c r="T233" s="5">
        <f>MAX(0,1-J233/8)</f>
        <v/>
      </c>
      <c r="U233" s="5">
        <f>IFERROR(G233/(F233*T233),0)</f>
        <v/>
      </c>
      <c r="V233" s="5">
        <f>IFERROR(H233/G233,0)</f>
        <v/>
      </c>
      <c r="W233" s="5">
        <f>T233*U233*V233</f>
        <v/>
      </c>
      <c r="X233" s="5">
        <f>IFERROR(I233/G233,0)</f>
        <v/>
      </c>
      <c r="Y233" s="6">
        <f>IFERROR(G233/M233,0)</f>
        <v/>
      </c>
      <c r="Z233" s="6">
        <f>IFERROR(O233/G233,0)</f>
        <v/>
      </c>
      <c r="AA233" s="2">
        <f>IF(L233="None","No Maintenance",IF(L233="Preventive","Planned","Breakdown"))</f>
        <v/>
      </c>
    </row>
    <row r="234">
      <c r="A234" s="2" t="n">
        <v>230</v>
      </c>
      <c r="B234" s="4" t="n">
        <v>46099</v>
      </c>
      <c r="C234" s="2" t="inlineStr">
        <is>
          <t>Evening</t>
        </is>
      </c>
      <c r="D234" s="2" t="inlineStr">
        <is>
          <t>Line 2</t>
        </is>
      </c>
      <c r="E234" s="2" t="inlineStr">
        <is>
          <t>Paprika Chips</t>
        </is>
      </c>
      <c r="F234" s="2" t="n">
        <v>1019</v>
      </c>
      <c r="G234" s="2" t="n">
        <v>695.1</v>
      </c>
      <c r="H234" s="2" t="n">
        <v>683.5</v>
      </c>
      <c r="I234" s="2" t="n">
        <v>11.6</v>
      </c>
      <c r="J234" s="2" t="n">
        <v>1.41</v>
      </c>
      <c r="K234" s="2" t="inlineStr">
        <is>
          <t>Electrical Fault</t>
        </is>
      </c>
      <c r="L234" s="2" t="inlineStr">
        <is>
          <t>Corrective</t>
        </is>
      </c>
      <c r="M234" s="2" t="n">
        <v>1379.6</v>
      </c>
      <c r="N234" s="2" t="n">
        <v>210</v>
      </c>
      <c r="O234" s="2" t="n">
        <v>81643.7</v>
      </c>
      <c r="P234" s="2" t="n">
        <v>178.8</v>
      </c>
      <c r="Q234" s="2" t="n">
        <v>2.01</v>
      </c>
      <c r="R234" s="2" t="n">
        <v>385.97</v>
      </c>
      <c r="S234" s="5">
        <f>G234/F234</f>
        <v/>
      </c>
      <c r="T234" s="5">
        <f>MAX(0,1-J234/8)</f>
        <v/>
      </c>
      <c r="U234" s="5">
        <f>IFERROR(G234/(F234*T234),0)</f>
        <v/>
      </c>
      <c r="V234" s="5">
        <f>IFERROR(H234/G234,0)</f>
        <v/>
      </c>
      <c r="W234" s="5">
        <f>T234*U234*V234</f>
        <v/>
      </c>
      <c r="X234" s="5">
        <f>IFERROR(I234/G234,0)</f>
        <v/>
      </c>
      <c r="Y234" s="6">
        <f>IFERROR(G234/M234,0)</f>
        <v/>
      </c>
      <c r="Z234" s="6">
        <f>IFERROR(O234/G234,0)</f>
        <v/>
      </c>
      <c r="AA234" s="2">
        <f>IF(L234="None","No Maintenance",IF(L234="Preventive","Planned","Breakdown"))</f>
        <v/>
      </c>
    </row>
    <row r="235">
      <c r="A235" s="2" t="n">
        <v>231</v>
      </c>
      <c r="B235" s="4" t="n">
        <v>46099</v>
      </c>
      <c r="C235" s="2" t="inlineStr">
        <is>
          <t>Night</t>
        </is>
      </c>
      <c r="D235" s="2" t="inlineStr">
        <is>
          <t>Line 2</t>
        </is>
      </c>
      <c r="E235" s="2" t="inlineStr">
        <is>
          <t>Classic Chips</t>
        </is>
      </c>
      <c r="F235" s="2" t="n">
        <v>959</v>
      </c>
      <c r="G235" s="2" t="n">
        <v>720.7</v>
      </c>
      <c r="H235" s="2" t="n">
        <v>705.3</v>
      </c>
      <c r="I235" s="2" t="n">
        <v>15.5</v>
      </c>
      <c r="J235" s="2" t="n">
        <v>0.32</v>
      </c>
      <c r="K235" s="2" t="inlineStr">
        <is>
          <t>No Downtime</t>
        </is>
      </c>
      <c r="L235" s="2" t="inlineStr">
        <is>
          <t>None</t>
        </is>
      </c>
      <c r="M235" s="2" t="n">
        <v>1434</v>
      </c>
      <c r="N235" s="2" t="n">
        <v>241.7</v>
      </c>
      <c r="O235" s="2" t="n">
        <v>82971.8</v>
      </c>
      <c r="P235" s="2" t="n">
        <v>177.4</v>
      </c>
      <c r="Q235" s="2" t="n">
        <v>1.87</v>
      </c>
      <c r="R235" s="2" t="n">
        <v>0</v>
      </c>
      <c r="S235" s="5">
        <f>G235/F235</f>
        <v/>
      </c>
      <c r="T235" s="5">
        <f>MAX(0,1-J235/8)</f>
        <v/>
      </c>
      <c r="U235" s="5">
        <f>IFERROR(G235/(F235*T235),0)</f>
        <v/>
      </c>
      <c r="V235" s="5">
        <f>IFERROR(H235/G235,0)</f>
        <v/>
      </c>
      <c r="W235" s="5">
        <f>T235*U235*V235</f>
        <v/>
      </c>
      <c r="X235" s="5">
        <f>IFERROR(I235/G235,0)</f>
        <v/>
      </c>
      <c r="Y235" s="6">
        <f>IFERROR(G235/M235,0)</f>
        <v/>
      </c>
      <c r="Z235" s="6">
        <f>IFERROR(O235/G235,0)</f>
        <v/>
      </c>
      <c r="AA235" s="2">
        <f>IF(L235="None","No Maintenance",IF(L235="Preventive","Planned","Breakdown"))</f>
        <v/>
      </c>
    </row>
    <row r="236">
      <c r="A236" s="2" t="n">
        <v>232</v>
      </c>
      <c r="B236" s="4" t="n">
        <v>46100</v>
      </c>
      <c r="C236" s="2" t="inlineStr">
        <is>
          <t>Day</t>
        </is>
      </c>
      <c r="D236" s="2" t="inlineStr">
        <is>
          <t>Line 2</t>
        </is>
      </c>
      <c r="E236" s="2" t="inlineStr">
        <is>
          <t>Classic Chips</t>
        </is>
      </c>
      <c r="F236" s="2" t="n">
        <v>1016</v>
      </c>
      <c r="G236" s="2" t="n">
        <v>957.2</v>
      </c>
      <c r="H236" s="2" t="n">
        <v>933.3</v>
      </c>
      <c r="I236" s="2" t="n">
        <v>24</v>
      </c>
      <c r="J236" s="2" t="n">
        <v>0.1</v>
      </c>
      <c r="K236" s="2" t="inlineStr">
        <is>
          <t>No Downtime</t>
        </is>
      </c>
      <c r="L236" s="2" t="inlineStr">
        <is>
          <t>None</t>
        </is>
      </c>
      <c r="M236" s="2" t="n">
        <v>1941.7</v>
      </c>
      <c r="N236" s="2" t="n">
        <v>307.4</v>
      </c>
      <c r="O236" s="2" t="n">
        <v>108525.3</v>
      </c>
      <c r="P236" s="2" t="n">
        <v>181</v>
      </c>
      <c r="Q236" s="2" t="n">
        <v>1.65</v>
      </c>
      <c r="R236" s="2" t="n">
        <v>0</v>
      </c>
      <c r="S236" s="5">
        <f>G236/F236</f>
        <v/>
      </c>
      <c r="T236" s="5">
        <f>MAX(0,1-J236/8)</f>
        <v/>
      </c>
      <c r="U236" s="5">
        <f>IFERROR(G236/(F236*T236),0)</f>
        <v/>
      </c>
      <c r="V236" s="5">
        <f>IFERROR(H236/G236,0)</f>
        <v/>
      </c>
      <c r="W236" s="5">
        <f>T236*U236*V236</f>
        <v/>
      </c>
      <c r="X236" s="5">
        <f>IFERROR(I236/G236,0)</f>
        <v/>
      </c>
      <c r="Y236" s="6">
        <f>IFERROR(G236/M236,0)</f>
        <v/>
      </c>
      <c r="Z236" s="6">
        <f>IFERROR(O236/G236,0)</f>
        <v/>
      </c>
      <c r="AA236" s="2">
        <f>IF(L236="None","No Maintenance",IF(L236="Preventive","Planned","Breakdown"))</f>
        <v/>
      </c>
    </row>
    <row r="237">
      <c r="A237" s="2" t="n">
        <v>233</v>
      </c>
      <c r="B237" s="4" t="n">
        <v>46100</v>
      </c>
      <c r="C237" s="2" t="inlineStr">
        <is>
          <t>Evening</t>
        </is>
      </c>
      <c r="D237" s="2" t="inlineStr">
        <is>
          <t>Line 2</t>
        </is>
      </c>
      <c r="E237" s="2" t="inlineStr">
        <is>
          <t>Salt &amp; Vinegar</t>
        </is>
      </c>
      <c r="F237" s="2" t="n">
        <v>1017</v>
      </c>
      <c r="G237" s="2" t="n">
        <v>726.7</v>
      </c>
      <c r="H237" s="2" t="n">
        <v>714.1</v>
      </c>
      <c r="I237" s="2" t="n">
        <v>12.6</v>
      </c>
      <c r="J237" s="2" t="n">
        <v>1.7</v>
      </c>
      <c r="K237" s="2" t="inlineStr">
        <is>
          <t>Conveyor Jam</t>
        </is>
      </c>
      <c r="L237" s="2" t="inlineStr">
        <is>
          <t>Corrective</t>
        </is>
      </c>
      <c r="M237" s="2" t="n">
        <v>1462.5</v>
      </c>
      <c r="N237" s="2" t="n">
        <v>238.7</v>
      </c>
      <c r="O237" s="2" t="n">
        <v>84738.5</v>
      </c>
      <c r="P237" s="2" t="n">
        <v>180.4</v>
      </c>
      <c r="Q237" s="2" t="n">
        <v>2.01</v>
      </c>
      <c r="R237" s="2" t="n">
        <v>355.45</v>
      </c>
      <c r="S237" s="5">
        <f>G237/F237</f>
        <v/>
      </c>
      <c r="T237" s="5">
        <f>MAX(0,1-J237/8)</f>
        <v/>
      </c>
      <c r="U237" s="5">
        <f>IFERROR(G237/(F237*T237),0)</f>
        <v/>
      </c>
      <c r="V237" s="5">
        <f>IFERROR(H237/G237,0)</f>
        <v/>
      </c>
      <c r="W237" s="5">
        <f>T237*U237*V237</f>
        <v/>
      </c>
      <c r="X237" s="5">
        <f>IFERROR(I237/G237,0)</f>
        <v/>
      </c>
      <c r="Y237" s="6">
        <f>IFERROR(G237/M237,0)</f>
        <v/>
      </c>
      <c r="Z237" s="6">
        <f>IFERROR(O237/G237,0)</f>
        <v/>
      </c>
      <c r="AA237" s="2">
        <f>IF(L237="None","No Maintenance",IF(L237="Preventive","Planned","Breakdown"))</f>
        <v/>
      </c>
    </row>
    <row r="238">
      <c r="A238" s="2" t="n">
        <v>234</v>
      </c>
      <c r="B238" s="4" t="n">
        <v>46100</v>
      </c>
      <c r="C238" s="2" t="inlineStr">
        <is>
          <t>Night</t>
        </is>
      </c>
      <c r="D238" s="2" t="inlineStr">
        <is>
          <t>Line 1</t>
        </is>
      </c>
      <c r="E238" s="2" t="inlineStr">
        <is>
          <t>Salt &amp; Vinegar</t>
        </is>
      </c>
      <c r="F238" s="2" t="n">
        <v>979</v>
      </c>
      <c r="G238" s="2" t="n">
        <v>683.5</v>
      </c>
      <c r="H238" s="2" t="n">
        <v>668.9</v>
      </c>
      <c r="I238" s="2" t="n">
        <v>14.6</v>
      </c>
      <c r="J238" s="2" t="n">
        <v>1.66</v>
      </c>
      <c r="K238" s="2" t="inlineStr">
        <is>
          <t>Packaging Machine</t>
        </is>
      </c>
      <c r="L238" s="2" t="inlineStr">
        <is>
          <t>Corrective</t>
        </is>
      </c>
      <c r="M238" s="2" t="n">
        <v>1421.6</v>
      </c>
      <c r="N238" s="2" t="n">
        <v>212.7</v>
      </c>
      <c r="O238" s="2" t="n">
        <v>82054.8</v>
      </c>
      <c r="P238" s="2" t="n">
        <v>175.7</v>
      </c>
      <c r="Q238" s="2" t="n">
        <v>1.83</v>
      </c>
      <c r="R238" s="2" t="n">
        <v>760.33</v>
      </c>
      <c r="S238" s="5">
        <f>G238/F238</f>
        <v/>
      </c>
      <c r="T238" s="5">
        <f>MAX(0,1-J238/8)</f>
        <v/>
      </c>
      <c r="U238" s="5">
        <f>IFERROR(G238/(F238*T238),0)</f>
        <v/>
      </c>
      <c r="V238" s="5">
        <f>IFERROR(H238/G238,0)</f>
        <v/>
      </c>
      <c r="W238" s="5">
        <f>T238*U238*V238</f>
        <v/>
      </c>
      <c r="X238" s="5">
        <f>IFERROR(I238/G238,0)</f>
        <v/>
      </c>
      <c r="Y238" s="6">
        <f>IFERROR(G238/M238,0)</f>
        <v/>
      </c>
      <c r="Z238" s="6">
        <f>IFERROR(O238/G238,0)</f>
        <v/>
      </c>
      <c r="AA238" s="2">
        <f>IF(L238="None","No Maintenance",IF(L238="Preventive","Planned","Breakdown"))</f>
        <v/>
      </c>
    </row>
    <row r="239">
      <c r="A239" s="2" t="n">
        <v>235</v>
      </c>
      <c r="B239" s="4" t="n">
        <v>46101</v>
      </c>
      <c r="C239" s="2" t="inlineStr">
        <is>
          <t>Day</t>
        </is>
      </c>
      <c r="D239" s="2" t="inlineStr">
        <is>
          <t>Line 1</t>
        </is>
      </c>
      <c r="E239" s="2" t="inlineStr">
        <is>
          <t>Paprika Chips</t>
        </is>
      </c>
      <c r="F239" s="2" t="n">
        <v>1010</v>
      </c>
      <c r="G239" s="2" t="n">
        <v>618.6</v>
      </c>
      <c r="H239" s="2" t="n">
        <v>610.8</v>
      </c>
      <c r="I239" s="2" t="n">
        <v>7.8</v>
      </c>
      <c r="J239" s="2" t="n">
        <v>2.82</v>
      </c>
      <c r="K239" s="2" t="inlineStr">
        <is>
          <t>Planned Maintenance</t>
        </is>
      </c>
      <c r="L239" s="2" t="inlineStr">
        <is>
          <t>Preventive</t>
        </is>
      </c>
      <c r="M239" s="2" t="n">
        <v>1301</v>
      </c>
      <c r="N239" s="2" t="n">
        <v>194.7</v>
      </c>
      <c r="O239" s="2" t="n">
        <v>71538</v>
      </c>
      <c r="P239" s="2" t="n">
        <v>178.5</v>
      </c>
      <c r="Q239" s="2" t="n">
        <v>1.71</v>
      </c>
      <c r="R239" s="2" t="n">
        <v>104.42</v>
      </c>
      <c r="S239" s="5">
        <f>G239/F239</f>
        <v/>
      </c>
      <c r="T239" s="5">
        <f>MAX(0,1-J239/8)</f>
        <v/>
      </c>
      <c r="U239" s="5">
        <f>IFERROR(G239/(F239*T239),0)</f>
        <v/>
      </c>
      <c r="V239" s="5">
        <f>IFERROR(H239/G239,0)</f>
        <v/>
      </c>
      <c r="W239" s="5">
        <f>T239*U239*V239</f>
        <v/>
      </c>
      <c r="X239" s="5">
        <f>IFERROR(I239/G239,0)</f>
        <v/>
      </c>
      <c r="Y239" s="6">
        <f>IFERROR(G239/M239,0)</f>
        <v/>
      </c>
      <c r="Z239" s="6">
        <f>IFERROR(O239/G239,0)</f>
        <v/>
      </c>
      <c r="AA239" s="2">
        <f>IF(L239="None","No Maintenance",IF(L239="Preventive","Planned","Breakdown"))</f>
        <v/>
      </c>
    </row>
    <row r="240">
      <c r="A240" s="2" t="n">
        <v>236</v>
      </c>
      <c r="B240" s="4" t="n">
        <v>46101</v>
      </c>
      <c r="C240" s="2" t="inlineStr">
        <is>
          <t>Evening</t>
        </is>
      </c>
      <c r="D240" s="2" t="inlineStr">
        <is>
          <t>Line 1</t>
        </is>
      </c>
      <c r="E240" s="2" t="inlineStr">
        <is>
          <t>Classic Chips</t>
        </is>
      </c>
      <c r="F240" s="2" t="n">
        <v>984</v>
      </c>
      <c r="G240" s="2" t="n">
        <v>571.6</v>
      </c>
      <c r="H240" s="2" t="n">
        <v>555.6</v>
      </c>
      <c r="I240" s="2" t="n">
        <v>16</v>
      </c>
      <c r="J240" s="2" t="n">
        <v>2.72</v>
      </c>
      <c r="K240" s="2" t="inlineStr">
        <is>
          <t>Electrical Fault</t>
        </is>
      </c>
      <c r="L240" s="2" t="inlineStr">
        <is>
          <t>Emergency</t>
        </is>
      </c>
      <c r="M240" s="2" t="n">
        <v>1176.6</v>
      </c>
      <c r="N240" s="2" t="n">
        <v>187.7</v>
      </c>
      <c r="O240" s="2" t="n">
        <v>71570.39999999999</v>
      </c>
      <c r="P240" s="2" t="n">
        <v>183.5</v>
      </c>
      <c r="Q240" s="2" t="n">
        <v>1.76</v>
      </c>
      <c r="R240" s="2" t="n">
        <v>1124.08</v>
      </c>
      <c r="S240" s="5">
        <f>G240/F240</f>
        <v/>
      </c>
      <c r="T240" s="5">
        <f>MAX(0,1-J240/8)</f>
        <v/>
      </c>
      <c r="U240" s="5">
        <f>IFERROR(G240/(F240*T240),0)</f>
        <v/>
      </c>
      <c r="V240" s="5">
        <f>IFERROR(H240/G240,0)</f>
        <v/>
      </c>
      <c r="W240" s="5">
        <f>T240*U240*V240</f>
        <v/>
      </c>
      <c r="X240" s="5">
        <f>IFERROR(I240/G240,0)</f>
        <v/>
      </c>
      <c r="Y240" s="6">
        <f>IFERROR(G240/M240,0)</f>
        <v/>
      </c>
      <c r="Z240" s="6">
        <f>IFERROR(O240/G240,0)</f>
        <v/>
      </c>
      <c r="AA240" s="2">
        <f>IF(L240="None","No Maintenance",IF(L240="Preventive","Planned","Breakdown"))</f>
        <v/>
      </c>
    </row>
    <row r="241">
      <c r="A241" s="2" t="n">
        <v>237</v>
      </c>
      <c r="B241" s="4" t="n">
        <v>46101</v>
      </c>
      <c r="C241" s="2" t="inlineStr">
        <is>
          <t>Night</t>
        </is>
      </c>
      <c r="D241" s="2" t="inlineStr">
        <is>
          <t>Line 1</t>
        </is>
      </c>
      <c r="E241" s="2" t="inlineStr">
        <is>
          <t>Salt &amp; Vinegar</t>
        </is>
      </c>
      <c r="F241" s="2" t="n">
        <v>1043</v>
      </c>
      <c r="G241" s="2" t="n">
        <v>882.3</v>
      </c>
      <c r="H241" s="2" t="n">
        <v>880.5</v>
      </c>
      <c r="I241" s="2" t="n">
        <v>1.8</v>
      </c>
      <c r="J241" s="2" t="n">
        <v>0.02</v>
      </c>
      <c r="K241" s="2" t="inlineStr">
        <is>
          <t>No Downtime</t>
        </is>
      </c>
      <c r="L241" s="2" t="inlineStr">
        <is>
          <t>None</t>
        </is>
      </c>
      <c r="M241" s="2" t="n">
        <v>1824</v>
      </c>
      <c r="N241" s="2" t="n">
        <v>269.2</v>
      </c>
      <c r="O241" s="2" t="n">
        <v>105422.9</v>
      </c>
      <c r="P241" s="2" t="n">
        <v>181.8</v>
      </c>
      <c r="Q241" s="2" t="n">
        <v>1.78</v>
      </c>
      <c r="R241" s="2" t="n">
        <v>0</v>
      </c>
      <c r="S241" s="5">
        <f>G241/F241</f>
        <v/>
      </c>
      <c r="T241" s="5">
        <f>MAX(0,1-J241/8)</f>
        <v/>
      </c>
      <c r="U241" s="5">
        <f>IFERROR(G241/(F241*T241),0)</f>
        <v/>
      </c>
      <c r="V241" s="5">
        <f>IFERROR(H241/G241,0)</f>
        <v/>
      </c>
      <c r="W241" s="5">
        <f>T241*U241*V241</f>
        <v/>
      </c>
      <c r="X241" s="5">
        <f>IFERROR(I241/G241,0)</f>
        <v/>
      </c>
      <c r="Y241" s="6">
        <f>IFERROR(G241/M241,0)</f>
        <v/>
      </c>
      <c r="Z241" s="6">
        <f>IFERROR(O241/G241,0)</f>
        <v/>
      </c>
      <c r="AA241" s="2">
        <f>IF(L241="None","No Maintenance",IF(L241="Preventive","Planned","Breakdown"))</f>
        <v/>
      </c>
    </row>
    <row r="242">
      <c r="A242" s="2" t="n">
        <v>238</v>
      </c>
      <c r="B242" s="4" t="n">
        <v>46102</v>
      </c>
      <c r="C242" s="2" t="inlineStr">
        <is>
          <t>Day</t>
        </is>
      </c>
      <c r="D242" s="2" t="inlineStr">
        <is>
          <t>Line 1</t>
        </is>
      </c>
      <c r="E242" s="2" t="inlineStr">
        <is>
          <t>Paprika Chips</t>
        </is>
      </c>
      <c r="F242" s="2" t="n">
        <v>1045</v>
      </c>
      <c r="G242" s="2" t="n">
        <v>1009.5</v>
      </c>
      <c r="H242" s="2" t="n">
        <v>988</v>
      </c>
      <c r="I242" s="2" t="n">
        <v>21.5</v>
      </c>
      <c r="J242" s="2" t="n">
        <v>0.33</v>
      </c>
      <c r="K242" s="2" t="inlineStr">
        <is>
          <t>No Downtime</t>
        </is>
      </c>
      <c r="L242" s="2" t="inlineStr">
        <is>
          <t>None</t>
        </is>
      </c>
      <c r="M242" s="2" t="n">
        <v>2069.1</v>
      </c>
      <c r="N242" s="2" t="n">
        <v>322.8</v>
      </c>
      <c r="O242" s="2" t="n">
        <v>121916.8</v>
      </c>
      <c r="P242" s="2" t="n">
        <v>172.6</v>
      </c>
      <c r="Q242" s="2" t="n">
        <v>1.76</v>
      </c>
      <c r="R242" s="2" t="n">
        <v>0</v>
      </c>
      <c r="S242" s="5">
        <f>G242/F242</f>
        <v/>
      </c>
      <c r="T242" s="5">
        <f>MAX(0,1-J242/8)</f>
        <v/>
      </c>
      <c r="U242" s="5">
        <f>IFERROR(G242/(F242*T242),0)</f>
        <v/>
      </c>
      <c r="V242" s="5">
        <f>IFERROR(H242/G242,0)</f>
        <v/>
      </c>
      <c r="W242" s="5">
        <f>T242*U242*V242</f>
        <v/>
      </c>
      <c r="X242" s="5">
        <f>IFERROR(I242/G242,0)</f>
        <v/>
      </c>
      <c r="Y242" s="6">
        <f>IFERROR(G242/M242,0)</f>
        <v/>
      </c>
      <c r="Z242" s="6">
        <f>IFERROR(O242/G242,0)</f>
        <v/>
      </c>
      <c r="AA242" s="2">
        <f>IF(L242="None","No Maintenance",IF(L242="Preventive","Planned","Breakdown"))</f>
        <v/>
      </c>
    </row>
    <row r="243">
      <c r="A243" s="2" t="n">
        <v>239</v>
      </c>
      <c r="B243" s="4" t="n">
        <v>46102</v>
      </c>
      <c r="C243" s="2" t="inlineStr">
        <is>
          <t>Evening</t>
        </is>
      </c>
      <c r="D243" s="2" t="inlineStr">
        <is>
          <t>Line 2</t>
        </is>
      </c>
      <c r="E243" s="2" t="inlineStr">
        <is>
          <t>Salt &amp; Vinegar</t>
        </is>
      </c>
      <c r="F243" s="2" t="n">
        <v>904</v>
      </c>
      <c r="G243" s="2" t="n">
        <v>595.6</v>
      </c>
      <c r="H243" s="2" t="n">
        <v>588.1</v>
      </c>
      <c r="I243" s="2" t="n">
        <v>7.5</v>
      </c>
      <c r="J243" s="2" t="n">
        <v>3.58</v>
      </c>
      <c r="K243" s="2" t="inlineStr">
        <is>
          <t>Conveyor Jam</t>
        </is>
      </c>
      <c r="L243" s="2" t="inlineStr">
        <is>
          <t>Emergency</t>
        </is>
      </c>
      <c r="M243" s="2" t="n">
        <v>1261.5</v>
      </c>
      <c r="N243" s="2" t="n">
        <v>190.2</v>
      </c>
      <c r="O243" s="2" t="n">
        <v>66168.8</v>
      </c>
      <c r="P243" s="2" t="n">
        <v>178.3</v>
      </c>
      <c r="Q243" s="2" t="n">
        <v>1.71</v>
      </c>
      <c r="R243" s="2" t="n">
        <v>948.3200000000001</v>
      </c>
      <c r="S243" s="5">
        <f>G243/F243</f>
        <v/>
      </c>
      <c r="T243" s="5">
        <f>MAX(0,1-J243/8)</f>
        <v/>
      </c>
      <c r="U243" s="5">
        <f>IFERROR(G243/(F243*T243),0)</f>
        <v/>
      </c>
      <c r="V243" s="5">
        <f>IFERROR(H243/G243,0)</f>
        <v/>
      </c>
      <c r="W243" s="5">
        <f>T243*U243*V243</f>
        <v/>
      </c>
      <c r="X243" s="5">
        <f>IFERROR(I243/G243,0)</f>
        <v/>
      </c>
      <c r="Y243" s="6">
        <f>IFERROR(G243/M243,0)</f>
        <v/>
      </c>
      <c r="Z243" s="6">
        <f>IFERROR(O243/G243,0)</f>
        <v/>
      </c>
      <c r="AA243" s="2">
        <f>IF(L243="None","No Maintenance",IF(L243="Preventive","Planned","Breakdown"))</f>
        <v/>
      </c>
    </row>
    <row r="244">
      <c r="A244" s="2" t="n">
        <v>240</v>
      </c>
      <c r="B244" s="4" t="n">
        <v>46102</v>
      </c>
      <c r="C244" s="2" t="inlineStr">
        <is>
          <t>Night</t>
        </is>
      </c>
      <c r="D244" s="2" t="inlineStr">
        <is>
          <t>Line 2</t>
        </is>
      </c>
      <c r="E244" s="2" t="inlineStr">
        <is>
          <t>Classic Chips</t>
        </is>
      </c>
      <c r="F244" s="2" t="n">
        <v>928</v>
      </c>
      <c r="G244" s="2" t="n">
        <v>518.7</v>
      </c>
      <c r="H244" s="2" t="n">
        <v>509</v>
      </c>
      <c r="I244" s="2" t="n">
        <v>9.699999999999999</v>
      </c>
      <c r="J244" s="2" t="n">
        <v>2.98</v>
      </c>
      <c r="K244" s="2" t="inlineStr">
        <is>
          <t>Fryer Temperature</t>
        </is>
      </c>
      <c r="L244" s="2" t="inlineStr">
        <is>
          <t>Emergency</t>
        </is>
      </c>
      <c r="M244" s="2" t="n">
        <v>1071.9</v>
      </c>
      <c r="N244" s="2" t="n">
        <v>152.7</v>
      </c>
      <c r="O244" s="2" t="n">
        <v>64798.1</v>
      </c>
      <c r="P244" s="2" t="n">
        <v>181.5</v>
      </c>
      <c r="Q244" s="2" t="n">
        <v>1.5</v>
      </c>
      <c r="R244" s="2" t="n">
        <v>1070.28</v>
      </c>
      <c r="S244" s="5">
        <f>G244/F244</f>
        <v/>
      </c>
      <c r="T244" s="5">
        <f>MAX(0,1-J244/8)</f>
        <v/>
      </c>
      <c r="U244" s="5">
        <f>IFERROR(G244/(F244*T244),0)</f>
        <v/>
      </c>
      <c r="V244" s="5">
        <f>IFERROR(H244/G244,0)</f>
        <v/>
      </c>
      <c r="W244" s="5">
        <f>T244*U244*V244</f>
        <v/>
      </c>
      <c r="X244" s="5">
        <f>IFERROR(I244/G244,0)</f>
        <v/>
      </c>
      <c r="Y244" s="6">
        <f>IFERROR(G244/M244,0)</f>
        <v/>
      </c>
      <c r="Z244" s="6">
        <f>IFERROR(O244/G244,0)</f>
        <v/>
      </c>
      <c r="AA244" s="2">
        <f>IF(L244="None","No Maintenance",IF(L244="Preventive","Planned","Breakdown"))</f>
        <v/>
      </c>
    </row>
    <row r="245">
      <c r="A245" s="2" t="n">
        <v>241</v>
      </c>
      <c r="B245" s="4" t="n">
        <v>46103</v>
      </c>
      <c r="C245" s="2" t="inlineStr">
        <is>
          <t>Day</t>
        </is>
      </c>
      <c r="D245" s="2" t="inlineStr">
        <is>
          <t>Line 2</t>
        </is>
      </c>
      <c r="E245" s="2" t="inlineStr">
        <is>
          <t>Paprika Chips</t>
        </is>
      </c>
      <c r="F245" s="2" t="n">
        <v>1028</v>
      </c>
      <c r="G245" s="2" t="n">
        <v>656.9</v>
      </c>
      <c r="H245" s="2" t="n">
        <v>644.8</v>
      </c>
      <c r="I245" s="2" t="n">
        <v>12.1</v>
      </c>
      <c r="J245" s="2" t="n">
        <v>2.28</v>
      </c>
      <c r="K245" s="2" t="inlineStr">
        <is>
          <t>Packaging Machine</t>
        </is>
      </c>
      <c r="L245" s="2" t="inlineStr">
        <is>
          <t>Corrective</t>
        </is>
      </c>
      <c r="M245" s="2" t="n">
        <v>1329.6</v>
      </c>
      <c r="N245" s="2" t="n">
        <v>214.6</v>
      </c>
      <c r="O245" s="2" t="n">
        <v>83111.5</v>
      </c>
      <c r="P245" s="2" t="n">
        <v>181</v>
      </c>
      <c r="Q245" s="2" t="n">
        <v>1.78</v>
      </c>
      <c r="R245" s="2" t="n">
        <v>633.29</v>
      </c>
      <c r="S245" s="5">
        <f>G245/F245</f>
        <v/>
      </c>
      <c r="T245" s="5">
        <f>MAX(0,1-J245/8)</f>
        <v/>
      </c>
      <c r="U245" s="5">
        <f>IFERROR(G245/(F245*T245),0)</f>
        <v/>
      </c>
      <c r="V245" s="5">
        <f>IFERROR(H245/G245,0)</f>
        <v/>
      </c>
      <c r="W245" s="5">
        <f>T245*U245*V245</f>
        <v/>
      </c>
      <c r="X245" s="5">
        <f>IFERROR(I245/G245,0)</f>
        <v/>
      </c>
      <c r="Y245" s="6">
        <f>IFERROR(G245/M245,0)</f>
        <v/>
      </c>
      <c r="Z245" s="6">
        <f>IFERROR(O245/G245,0)</f>
        <v/>
      </c>
      <c r="AA245" s="2">
        <f>IF(L245="None","No Maintenance",IF(L245="Preventive","Planned","Breakdown"))</f>
        <v/>
      </c>
    </row>
    <row r="246">
      <c r="A246" s="2" t="n">
        <v>242</v>
      </c>
      <c r="B246" s="4" t="n">
        <v>46103</v>
      </c>
      <c r="C246" s="2" t="inlineStr">
        <is>
          <t>Evening</t>
        </is>
      </c>
      <c r="D246" s="2" t="inlineStr">
        <is>
          <t>Line 2</t>
        </is>
      </c>
      <c r="E246" s="2" t="inlineStr">
        <is>
          <t>Salt &amp; Vinegar</t>
        </is>
      </c>
      <c r="F246" s="2" t="n">
        <v>1047</v>
      </c>
      <c r="G246" s="2" t="n">
        <v>724.9</v>
      </c>
      <c r="H246" s="2" t="n">
        <v>717.3</v>
      </c>
      <c r="I246" s="2" t="n">
        <v>7.6</v>
      </c>
      <c r="J246" s="2" t="n">
        <v>1.45</v>
      </c>
      <c r="K246" s="2" t="inlineStr">
        <is>
          <t>Quality Hold</t>
        </is>
      </c>
      <c r="L246" s="2" t="inlineStr">
        <is>
          <t>Corrective</t>
        </is>
      </c>
      <c r="M246" s="2" t="n">
        <v>1489.9</v>
      </c>
      <c r="N246" s="2" t="n">
        <v>240.9</v>
      </c>
      <c r="O246" s="2" t="n">
        <v>85418.3</v>
      </c>
      <c r="P246" s="2" t="n">
        <v>183.7</v>
      </c>
      <c r="Q246" s="2" t="n">
        <v>1.35</v>
      </c>
      <c r="R246" s="2" t="n">
        <v>520.76</v>
      </c>
      <c r="S246" s="5">
        <f>G246/F246</f>
        <v/>
      </c>
      <c r="T246" s="5">
        <f>MAX(0,1-J246/8)</f>
        <v/>
      </c>
      <c r="U246" s="5">
        <f>IFERROR(G246/(F246*T246),0)</f>
        <v/>
      </c>
      <c r="V246" s="5">
        <f>IFERROR(H246/G246,0)</f>
        <v/>
      </c>
      <c r="W246" s="5">
        <f>T246*U246*V246</f>
        <v/>
      </c>
      <c r="X246" s="5">
        <f>IFERROR(I246/G246,0)</f>
        <v/>
      </c>
      <c r="Y246" s="6">
        <f>IFERROR(G246/M246,0)</f>
        <v/>
      </c>
      <c r="Z246" s="6">
        <f>IFERROR(O246/G246,0)</f>
        <v/>
      </c>
      <c r="AA246" s="2">
        <f>IF(L246="None","No Maintenance",IF(L246="Preventive","Planned","Breakdown"))</f>
        <v/>
      </c>
    </row>
    <row r="247">
      <c r="A247" s="2" t="n">
        <v>243</v>
      </c>
      <c r="B247" s="4" t="n">
        <v>46103</v>
      </c>
      <c r="C247" s="2" t="inlineStr">
        <is>
          <t>Night</t>
        </is>
      </c>
      <c r="D247" s="2" t="inlineStr">
        <is>
          <t>Line 2</t>
        </is>
      </c>
      <c r="E247" s="2" t="inlineStr">
        <is>
          <t>Classic Chips</t>
        </is>
      </c>
      <c r="F247" s="2" t="n">
        <v>970</v>
      </c>
      <c r="G247" s="2" t="n">
        <v>555.5</v>
      </c>
      <c r="H247" s="2" t="n">
        <v>540.9</v>
      </c>
      <c r="I247" s="2" t="n">
        <v>14.6</v>
      </c>
      <c r="J247" s="2" t="n">
        <v>3.19</v>
      </c>
      <c r="K247" s="2" t="inlineStr">
        <is>
          <t>Conveyor Jam</t>
        </is>
      </c>
      <c r="L247" s="2" t="inlineStr">
        <is>
          <t>Corrective</t>
        </is>
      </c>
      <c r="M247" s="2" t="n">
        <v>1156.1</v>
      </c>
      <c r="N247" s="2" t="n">
        <v>169.6</v>
      </c>
      <c r="O247" s="2" t="n">
        <v>67840.2</v>
      </c>
      <c r="P247" s="2" t="n">
        <v>177.1</v>
      </c>
      <c r="Q247" s="2" t="n">
        <v>1.35</v>
      </c>
      <c r="R247" s="2" t="n">
        <v>565.67</v>
      </c>
      <c r="S247" s="5">
        <f>G247/F247</f>
        <v/>
      </c>
      <c r="T247" s="5">
        <f>MAX(0,1-J247/8)</f>
        <v/>
      </c>
      <c r="U247" s="5">
        <f>IFERROR(G247/(F247*T247),0)</f>
        <v/>
      </c>
      <c r="V247" s="5">
        <f>IFERROR(H247/G247,0)</f>
        <v/>
      </c>
      <c r="W247" s="5">
        <f>T247*U247*V247</f>
        <v/>
      </c>
      <c r="X247" s="5">
        <f>IFERROR(I247/G247,0)</f>
        <v/>
      </c>
      <c r="Y247" s="6">
        <f>IFERROR(G247/M247,0)</f>
        <v/>
      </c>
      <c r="Z247" s="6">
        <f>IFERROR(O247/G247,0)</f>
        <v/>
      </c>
      <c r="AA247" s="2">
        <f>IF(L247="None","No Maintenance",IF(L247="Preventive","Planned","Breakdown"))</f>
        <v/>
      </c>
    </row>
    <row r="248">
      <c r="A248" s="2" t="n">
        <v>244</v>
      </c>
      <c r="B248" s="4" t="n">
        <v>46104</v>
      </c>
      <c r="C248" s="2" t="inlineStr">
        <is>
          <t>Day</t>
        </is>
      </c>
      <c r="D248" s="2" t="inlineStr">
        <is>
          <t>Line 2</t>
        </is>
      </c>
      <c r="E248" s="2" t="inlineStr">
        <is>
          <t>Salt &amp; Vinegar</t>
        </is>
      </c>
      <c r="F248" s="2" t="n">
        <v>916</v>
      </c>
      <c r="G248" s="2" t="n">
        <v>810.6</v>
      </c>
      <c r="H248" s="2" t="n">
        <v>803.3</v>
      </c>
      <c r="I248" s="2" t="n">
        <v>7.3</v>
      </c>
      <c r="J248" s="2" t="n">
        <v>0.91</v>
      </c>
      <c r="K248" s="2" t="inlineStr">
        <is>
          <t>Conveyor Jam</t>
        </is>
      </c>
      <c r="L248" s="2" t="inlineStr">
        <is>
          <t>Emergency</t>
        </is>
      </c>
      <c r="M248" s="2" t="n">
        <v>1609.6</v>
      </c>
      <c r="N248" s="2" t="n">
        <v>260</v>
      </c>
      <c r="O248" s="2" t="n">
        <v>99571.3</v>
      </c>
      <c r="P248" s="2" t="n">
        <v>176.4</v>
      </c>
      <c r="Q248" s="2" t="n">
        <v>1.69</v>
      </c>
      <c r="R248" s="2" t="n">
        <v>871.17</v>
      </c>
      <c r="S248" s="5">
        <f>G248/F248</f>
        <v/>
      </c>
      <c r="T248" s="5">
        <f>MAX(0,1-J248/8)</f>
        <v/>
      </c>
      <c r="U248" s="5">
        <f>IFERROR(G248/(F248*T248),0)</f>
        <v/>
      </c>
      <c r="V248" s="5">
        <f>IFERROR(H248/G248,0)</f>
        <v/>
      </c>
      <c r="W248" s="5">
        <f>T248*U248*V248</f>
        <v/>
      </c>
      <c r="X248" s="5">
        <f>IFERROR(I248/G248,0)</f>
        <v/>
      </c>
      <c r="Y248" s="6">
        <f>IFERROR(G248/M248,0)</f>
        <v/>
      </c>
      <c r="Z248" s="6">
        <f>IFERROR(O248/G248,0)</f>
        <v/>
      </c>
      <c r="AA248" s="2">
        <f>IF(L248="None","No Maintenance",IF(L248="Preventive","Planned","Breakdown"))</f>
        <v/>
      </c>
    </row>
    <row r="249">
      <c r="A249" s="2" t="n">
        <v>245</v>
      </c>
      <c r="B249" s="4" t="n">
        <v>46104</v>
      </c>
      <c r="C249" s="2" t="inlineStr">
        <is>
          <t>Evening</t>
        </is>
      </c>
      <c r="D249" s="2" t="inlineStr">
        <is>
          <t>Line 1</t>
        </is>
      </c>
      <c r="E249" s="2" t="inlineStr">
        <is>
          <t>Salt &amp; Vinegar</t>
        </is>
      </c>
      <c r="F249" s="2" t="n">
        <v>1048</v>
      </c>
      <c r="G249" s="2" t="n">
        <v>866.8</v>
      </c>
      <c r="H249" s="2" t="n">
        <v>860.8</v>
      </c>
      <c r="I249" s="2" t="n">
        <v>6</v>
      </c>
      <c r="J249" s="2" t="n">
        <v>0.13</v>
      </c>
      <c r="K249" s="2" t="inlineStr">
        <is>
          <t>No Downtime</t>
        </is>
      </c>
      <c r="L249" s="2" t="inlineStr">
        <is>
          <t>None</t>
        </is>
      </c>
      <c r="M249" s="2" t="n">
        <v>1720.7</v>
      </c>
      <c r="N249" s="2" t="n">
        <v>256.7</v>
      </c>
      <c r="O249" s="2" t="n">
        <v>105736.2</v>
      </c>
      <c r="P249" s="2" t="n">
        <v>171.9</v>
      </c>
      <c r="Q249" s="2" t="n">
        <v>1.99</v>
      </c>
      <c r="R249" s="2" t="n">
        <v>0</v>
      </c>
      <c r="S249" s="5">
        <f>G249/F249</f>
        <v/>
      </c>
      <c r="T249" s="5">
        <f>MAX(0,1-J249/8)</f>
        <v/>
      </c>
      <c r="U249" s="5">
        <f>IFERROR(G249/(F249*T249),0)</f>
        <v/>
      </c>
      <c r="V249" s="5">
        <f>IFERROR(H249/G249,0)</f>
        <v/>
      </c>
      <c r="W249" s="5">
        <f>T249*U249*V249</f>
        <v/>
      </c>
      <c r="X249" s="5">
        <f>IFERROR(I249/G249,0)</f>
        <v/>
      </c>
      <c r="Y249" s="6">
        <f>IFERROR(G249/M249,0)</f>
        <v/>
      </c>
      <c r="Z249" s="6">
        <f>IFERROR(O249/G249,0)</f>
        <v/>
      </c>
      <c r="AA249" s="2">
        <f>IF(L249="None","No Maintenance",IF(L249="Preventive","Planned","Breakdown"))</f>
        <v/>
      </c>
    </row>
    <row r="250">
      <c r="A250" s="2" t="n">
        <v>246</v>
      </c>
      <c r="B250" s="4" t="n">
        <v>46104</v>
      </c>
      <c r="C250" s="2" t="inlineStr">
        <is>
          <t>Night</t>
        </is>
      </c>
      <c r="D250" s="2" t="inlineStr">
        <is>
          <t>Line 1</t>
        </is>
      </c>
      <c r="E250" s="2" t="inlineStr">
        <is>
          <t>Salt &amp; Vinegar</t>
        </is>
      </c>
      <c r="F250" s="2" t="n">
        <v>924</v>
      </c>
      <c r="G250" s="2" t="n">
        <v>694.5</v>
      </c>
      <c r="H250" s="2" t="n">
        <v>682.6</v>
      </c>
      <c r="I250" s="2" t="n">
        <v>11.9</v>
      </c>
      <c r="J250" s="2" t="n">
        <v>1.55</v>
      </c>
      <c r="K250" s="2" t="inlineStr">
        <is>
          <t>Raw Material Shortage</t>
        </is>
      </c>
      <c r="L250" s="2" t="inlineStr">
        <is>
          <t>Corrective</t>
        </is>
      </c>
      <c r="M250" s="2" t="n">
        <v>1447.2</v>
      </c>
      <c r="N250" s="2" t="n">
        <v>223.8</v>
      </c>
      <c r="O250" s="2" t="n">
        <v>87645.89999999999</v>
      </c>
      <c r="P250" s="2" t="n">
        <v>173.1</v>
      </c>
      <c r="Q250" s="2" t="n">
        <v>1.64</v>
      </c>
      <c r="R250" s="2" t="n">
        <v>420.74</v>
      </c>
      <c r="S250" s="5">
        <f>G250/F250</f>
        <v/>
      </c>
      <c r="T250" s="5">
        <f>MAX(0,1-J250/8)</f>
        <v/>
      </c>
      <c r="U250" s="5">
        <f>IFERROR(G250/(F250*T250),0)</f>
        <v/>
      </c>
      <c r="V250" s="5">
        <f>IFERROR(H250/G250,0)</f>
        <v/>
      </c>
      <c r="W250" s="5">
        <f>T250*U250*V250</f>
        <v/>
      </c>
      <c r="X250" s="5">
        <f>IFERROR(I250/G250,0)</f>
        <v/>
      </c>
      <c r="Y250" s="6">
        <f>IFERROR(G250/M250,0)</f>
        <v/>
      </c>
      <c r="Z250" s="6">
        <f>IFERROR(O250/G250,0)</f>
        <v/>
      </c>
      <c r="AA250" s="2">
        <f>IF(L250="None","No Maintenance",IF(L250="Preventive","Planned","Breakdown"))</f>
        <v/>
      </c>
    </row>
    <row r="251">
      <c r="A251" s="2" t="n">
        <v>247</v>
      </c>
      <c r="B251" s="4" t="n">
        <v>46105</v>
      </c>
      <c r="C251" s="2" t="inlineStr">
        <is>
          <t>Day</t>
        </is>
      </c>
      <c r="D251" s="2" t="inlineStr">
        <is>
          <t>Line 2</t>
        </is>
      </c>
      <c r="E251" s="2" t="inlineStr">
        <is>
          <t>Salt &amp; Vinegar</t>
        </is>
      </c>
      <c r="F251" s="2" t="n">
        <v>902</v>
      </c>
      <c r="G251" s="2" t="n">
        <v>761.5</v>
      </c>
      <c r="H251" s="2" t="n">
        <v>752.9</v>
      </c>
      <c r="I251" s="2" t="n">
        <v>8.6</v>
      </c>
      <c r="J251" s="2" t="n">
        <v>0.16</v>
      </c>
      <c r="K251" s="2" t="inlineStr">
        <is>
          <t>No Downtime</t>
        </is>
      </c>
      <c r="L251" s="2" t="inlineStr">
        <is>
          <t>None</t>
        </is>
      </c>
      <c r="M251" s="2" t="n">
        <v>1566.8</v>
      </c>
      <c r="N251" s="2" t="n">
        <v>248.9</v>
      </c>
      <c r="O251" s="2" t="n">
        <v>81808.89999999999</v>
      </c>
      <c r="P251" s="2" t="n">
        <v>181.8</v>
      </c>
      <c r="Q251" s="2" t="n">
        <v>1.86</v>
      </c>
      <c r="R251" s="2" t="n">
        <v>0</v>
      </c>
      <c r="S251" s="5">
        <f>G251/F251</f>
        <v/>
      </c>
      <c r="T251" s="5">
        <f>MAX(0,1-J251/8)</f>
        <v/>
      </c>
      <c r="U251" s="5">
        <f>IFERROR(G251/(F251*T251),0)</f>
        <v/>
      </c>
      <c r="V251" s="5">
        <f>IFERROR(H251/G251,0)</f>
        <v/>
      </c>
      <c r="W251" s="5">
        <f>T251*U251*V251</f>
        <v/>
      </c>
      <c r="X251" s="5">
        <f>IFERROR(I251/G251,0)</f>
        <v/>
      </c>
      <c r="Y251" s="6">
        <f>IFERROR(G251/M251,0)</f>
        <v/>
      </c>
      <c r="Z251" s="6">
        <f>IFERROR(O251/G251,0)</f>
        <v/>
      </c>
      <c r="AA251" s="2">
        <f>IF(L251="None","No Maintenance",IF(L251="Preventive","Planned","Breakdown"))</f>
        <v/>
      </c>
    </row>
    <row r="252">
      <c r="A252" s="2" t="n">
        <v>248</v>
      </c>
      <c r="B252" s="4" t="n">
        <v>46105</v>
      </c>
      <c r="C252" s="2" t="inlineStr">
        <is>
          <t>Evening</t>
        </is>
      </c>
      <c r="D252" s="2" t="inlineStr">
        <is>
          <t>Line 2</t>
        </is>
      </c>
      <c r="E252" s="2" t="inlineStr">
        <is>
          <t>Classic Chips</t>
        </is>
      </c>
      <c r="F252" s="2" t="n">
        <v>1003</v>
      </c>
      <c r="G252" s="2" t="n">
        <v>787.4</v>
      </c>
      <c r="H252" s="2" t="n">
        <v>772.8</v>
      </c>
      <c r="I252" s="2" t="n">
        <v>14.6</v>
      </c>
      <c r="J252" s="2" t="n">
        <v>0.22</v>
      </c>
      <c r="K252" s="2" t="inlineStr">
        <is>
          <t>No Downtime</t>
        </is>
      </c>
      <c r="L252" s="2" t="inlineStr">
        <is>
          <t>None</t>
        </is>
      </c>
      <c r="M252" s="2" t="n">
        <v>1601.7</v>
      </c>
      <c r="N252" s="2" t="n">
        <v>252.3</v>
      </c>
      <c r="O252" s="2" t="n">
        <v>94968.8</v>
      </c>
      <c r="P252" s="2" t="n">
        <v>175</v>
      </c>
      <c r="Q252" s="2" t="n">
        <v>1.86</v>
      </c>
      <c r="R252" s="2" t="n">
        <v>0</v>
      </c>
      <c r="S252" s="5">
        <f>G252/F252</f>
        <v/>
      </c>
      <c r="T252" s="5">
        <f>MAX(0,1-J252/8)</f>
        <v/>
      </c>
      <c r="U252" s="5">
        <f>IFERROR(G252/(F252*T252),0)</f>
        <v/>
      </c>
      <c r="V252" s="5">
        <f>IFERROR(H252/G252,0)</f>
        <v/>
      </c>
      <c r="W252" s="5">
        <f>T252*U252*V252</f>
        <v/>
      </c>
      <c r="X252" s="5">
        <f>IFERROR(I252/G252,0)</f>
        <v/>
      </c>
      <c r="Y252" s="6">
        <f>IFERROR(G252/M252,0)</f>
        <v/>
      </c>
      <c r="Z252" s="6">
        <f>IFERROR(O252/G252,0)</f>
        <v/>
      </c>
      <c r="AA252" s="2">
        <f>IF(L252="None","No Maintenance",IF(L252="Preventive","Planned","Breakdown"))</f>
        <v/>
      </c>
    </row>
    <row r="253">
      <c r="A253" s="2" t="n">
        <v>249</v>
      </c>
      <c r="B253" s="4" t="n">
        <v>46105</v>
      </c>
      <c r="C253" s="2" t="inlineStr">
        <is>
          <t>Night</t>
        </is>
      </c>
      <c r="D253" s="2" t="inlineStr">
        <is>
          <t>Line 1</t>
        </is>
      </c>
      <c r="E253" s="2" t="inlineStr">
        <is>
          <t>Paprika Chips</t>
        </is>
      </c>
      <c r="F253" s="2" t="n">
        <v>908</v>
      </c>
      <c r="G253" s="2" t="n">
        <v>566.1</v>
      </c>
      <c r="H253" s="2" t="n">
        <v>556.8</v>
      </c>
      <c r="I253" s="2" t="n">
        <v>9.300000000000001</v>
      </c>
      <c r="J253" s="2" t="n">
        <v>3.36</v>
      </c>
      <c r="K253" s="2" t="inlineStr">
        <is>
          <t>Planned Maintenance</t>
        </is>
      </c>
      <c r="L253" s="2" t="inlineStr">
        <is>
          <t>Preventive</t>
        </is>
      </c>
      <c r="M253" s="2" t="n">
        <v>1183.6</v>
      </c>
      <c r="N253" s="2" t="n">
        <v>188.3</v>
      </c>
      <c r="O253" s="2" t="n">
        <v>67217.8</v>
      </c>
      <c r="P253" s="2" t="n">
        <v>180.6</v>
      </c>
      <c r="Q253" s="2" t="n">
        <v>1.76</v>
      </c>
      <c r="R253" s="2" t="n">
        <v>234.55</v>
      </c>
      <c r="S253" s="5">
        <f>G253/F253</f>
        <v/>
      </c>
      <c r="T253" s="5">
        <f>MAX(0,1-J253/8)</f>
        <v/>
      </c>
      <c r="U253" s="5">
        <f>IFERROR(G253/(F253*T253),0)</f>
        <v/>
      </c>
      <c r="V253" s="5">
        <f>IFERROR(H253/G253,0)</f>
        <v/>
      </c>
      <c r="W253" s="5">
        <f>T253*U253*V253</f>
        <v/>
      </c>
      <c r="X253" s="5">
        <f>IFERROR(I253/G253,0)</f>
        <v/>
      </c>
      <c r="Y253" s="6">
        <f>IFERROR(G253/M253,0)</f>
        <v/>
      </c>
      <c r="Z253" s="6">
        <f>IFERROR(O253/G253,0)</f>
        <v/>
      </c>
      <c r="AA253" s="2">
        <f>IF(L253="None","No Maintenance",IF(L253="Preventive","Planned","Breakdown"))</f>
        <v/>
      </c>
    </row>
    <row r="254">
      <c r="A254" s="2" t="n">
        <v>250</v>
      </c>
      <c r="B254" s="4" t="n">
        <v>46106</v>
      </c>
      <c r="C254" s="2" t="inlineStr">
        <is>
          <t>Day</t>
        </is>
      </c>
      <c r="D254" s="2" t="inlineStr">
        <is>
          <t>Line 1</t>
        </is>
      </c>
      <c r="E254" s="2" t="inlineStr">
        <is>
          <t>Salt &amp; Vinegar</t>
        </is>
      </c>
      <c r="F254" s="2" t="n">
        <v>953</v>
      </c>
      <c r="G254" s="2" t="n">
        <v>883.8</v>
      </c>
      <c r="H254" s="2" t="n">
        <v>871.7</v>
      </c>
      <c r="I254" s="2" t="n">
        <v>12.1</v>
      </c>
      <c r="J254" s="2" t="n">
        <v>0.16</v>
      </c>
      <c r="K254" s="2" t="inlineStr">
        <is>
          <t>No Downtime</t>
        </is>
      </c>
      <c r="L254" s="2" t="inlineStr">
        <is>
          <t>None</t>
        </is>
      </c>
      <c r="M254" s="2" t="n">
        <v>1812.4</v>
      </c>
      <c r="N254" s="2" t="n">
        <v>277.8</v>
      </c>
      <c r="O254" s="2" t="n">
        <v>97659.89999999999</v>
      </c>
      <c r="P254" s="2" t="n">
        <v>175.1</v>
      </c>
      <c r="Q254" s="2" t="n">
        <v>1.69</v>
      </c>
      <c r="R254" s="2" t="n">
        <v>0</v>
      </c>
      <c r="S254" s="5">
        <f>G254/F254</f>
        <v/>
      </c>
      <c r="T254" s="5">
        <f>MAX(0,1-J254/8)</f>
        <v/>
      </c>
      <c r="U254" s="5">
        <f>IFERROR(G254/(F254*T254),0)</f>
        <v/>
      </c>
      <c r="V254" s="5">
        <f>IFERROR(H254/G254,0)</f>
        <v/>
      </c>
      <c r="W254" s="5">
        <f>T254*U254*V254</f>
        <v/>
      </c>
      <c r="X254" s="5">
        <f>IFERROR(I254/G254,0)</f>
        <v/>
      </c>
      <c r="Y254" s="6">
        <f>IFERROR(G254/M254,0)</f>
        <v/>
      </c>
      <c r="Z254" s="6">
        <f>IFERROR(O254/G254,0)</f>
        <v/>
      </c>
      <c r="AA254" s="2">
        <f>IF(L254="None","No Maintenance",IF(L254="Preventive","Planned","Breakdown"))</f>
        <v/>
      </c>
    </row>
    <row r="255">
      <c r="A255" s="2" t="n">
        <v>251</v>
      </c>
      <c r="B255" s="4" t="n">
        <v>46106</v>
      </c>
      <c r="C255" s="2" t="inlineStr">
        <is>
          <t>Evening</t>
        </is>
      </c>
      <c r="D255" s="2" t="inlineStr">
        <is>
          <t>Line 2</t>
        </is>
      </c>
      <c r="E255" s="2" t="inlineStr">
        <is>
          <t>Salt &amp; Vinegar</t>
        </is>
      </c>
      <c r="F255" s="2" t="n">
        <v>967</v>
      </c>
      <c r="G255" s="2" t="n">
        <v>612.6</v>
      </c>
      <c r="H255" s="2" t="n">
        <v>605.8</v>
      </c>
      <c r="I255" s="2" t="n">
        <v>6.8</v>
      </c>
      <c r="J255" s="2" t="n">
        <v>3.33</v>
      </c>
      <c r="K255" s="2" t="inlineStr">
        <is>
          <t>Fryer Temperature</t>
        </is>
      </c>
      <c r="L255" s="2" t="inlineStr">
        <is>
          <t>Emergency</t>
        </is>
      </c>
      <c r="M255" s="2" t="n">
        <v>1289.6</v>
      </c>
      <c r="N255" s="2" t="n">
        <v>202</v>
      </c>
      <c r="O255" s="2" t="n">
        <v>69625.2</v>
      </c>
      <c r="P255" s="2" t="n">
        <v>183.4</v>
      </c>
      <c r="Q255" s="2" t="n">
        <v>1.55</v>
      </c>
      <c r="R255" s="2" t="n">
        <v>960.9</v>
      </c>
      <c r="S255" s="5">
        <f>G255/F255</f>
        <v/>
      </c>
      <c r="T255" s="5">
        <f>MAX(0,1-J255/8)</f>
        <v/>
      </c>
      <c r="U255" s="5">
        <f>IFERROR(G255/(F255*T255),0)</f>
        <v/>
      </c>
      <c r="V255" s="5">
        <f>IFERROR(H255/G255,0)</f>
        <v/>
      </c>
      <c r="W255" s="5">
        <f>T255*U255*V255</f>
        <v/>
      </c>
      <c r="X255" s="5">
        <f>IFERROR(I255/G255,0)</f>
        <v/>
      </c>
      <c r="Y255" s="6">
        <f>IFERROR(G255/M255,0)</f>
        <v/>
      </c>
      <c r="Z255" s="6">
        <f>IFERROR(O255/G255,0)</f>
        <v/>
      </c>
      <c r="AA255" s="2">
        <f>IF(L255="None","No Maintenance",IF(L255="Preventive","Planned","Breakdown"))</f>
        <v/>
      </c>
    </row>
    <row r="256">
      <c r="A256" s="2" t="n">
        <v>252</v>
      </c>
      <c r="B256" s="4" t="n">
        <v>46106</v>
      </c>
      <c r="C256" s="2" t="inlineStr">
        <is>
          <t>Night</t>
        </is>
      </c>
      <c r="D256" s="2" t="inlineStr">
        <is>
          <t>Line 1</t>
        </is>
      </c>
      <c r="E256" s="2" t="inlineStr">
        <is>
          <t>Classic Chips</t>
        </is>
      </c>
      <c r="F256" s="2" t="n">
        <v>1031</v>
      </c>
      <c r="G256" s="2" t="n">
        <v>812.7</v>
      </c>
      <c r="H256" s="2" t="n">
        <v>798.3</v>
      </c>
      <c r="I256" s="2" t="n">
        <v>14.4</v>
      </c>
      <c r="J256" s="2" t="n">
        <v>0.14</v>
      </c>
      <c r="K256" s="2" t="inlineStr">
        <is>
          <t>No Downtime</t>
        </is>
      </c>
      <c r="L256" s="2" t="inlineStr">
        <is>
          <t>None</t>
        </is>
      </c>
      <c r="M256" s="2" t="n">
        <v>1624.2</v>
      </c>
      <c r="N256" s="2" t="n">
        <v>284.7</v>
      </c>
      <c r="O256" s="2" t="n">
        <v>97506.2</v>
      </c>
      <c r="P256" s="2" t="n">
        <v>175.4</v>
      </c>
      <c r="Q256" s="2" t="n">
        <v>1.76</v>
      </c>
      <c r="R256" s="2" t="n">
        <v>0</v>
      </c>
      <c r="S256" s="5">
        <f>G256/F256</f>
        <v/>
      </c>
      <c r="T256" s="5">
        <f>MAX(0,1-J256/8)</f>
        <v/>
      </c>
      <c r="U256" s="5">
        <f>IFERROR(G256/(F256*T256),0)</f>
        <v/>
      </c>
      <c r="V256" s="5">
        <f>IFERROR(H256/G256,0)</f>
        <v/>
      </c>
      <c r="W256" s="5">
        <f>T256*U256*V256</f>
        <v/>
      </c>
      <c r="X256" s="5">
        <f>IFERROR(I256/G256,0)</f>
        <v/>
      </c>
      <c r="Y256" s="6">
        <f>IFERROR(G256/M256,0)</f>
        <v/>
      </c>
      <c r="Z256" s="6">
        <f>IFERROR(O256/G256,0)</f>
        <v/>
      </c>
      <c r="AA256" s="2">
        <f>IF(L256="None","No Maintenance",IF(L256="Preventive","Planned","Breakdown"))</f>
        <v/>
      </c>
    </row>
    <row r="257">
      <c r="A257" s="2" t="n">
        <v>253</v>
      </c>
      <c r="B257" s="4" t="n">
        <v>46107</v>
      </c>
      <c r="C257" s="2" t="inlineStr">
        <is>
          <t>Day</t>
        </is>
      </c>
      <c r="D257" s="2" t="inlineStr">
        <is>
          <t>Line 2</t>
        </is>
      </c>
      <c r="E257" s="2" t="inlineStr">
        <is>
          <t>Paprika Chips</t>
        </is>
      </c>
      <c r="F257" s="2" t="n">
        <v>933</v>
      </c>
      <c r="G257" s="2" t="n">
        <v>837.2</v>
      </c>
      <c r="H257" s="2" t="n">
        <v>821.4</v>
      </c>
      <c r="I257" s="2" t="n">
        <v>15.8</v>
      </c>
      <c r="J257" s="2" t="n">
        <v>0.09</v>
      </c>
      <c r="K257" s="2" t="inlineStr">
        <is>
          <t>No Downtime</t>
        </is>
      </c>
      <c r="L257" s="2" t="inlineStr">
        <is>
          <t>None</t>
        </is>
      </c>
      <c r="M257" s="2" t="n">
        <v>1665.8</v>
      </c>
      <c r="N257" s="2" t="n">
        <v>255.2</v>
      </c>
      <c r="O257" s="2" t="n">
        <v>97765.39999999999</v>
      </c>
      <c r="P257" s="2" t="n">
        <v>178.9</v>
      </c>
      <c r="Q257" s="2" t="n">
        <v>1.65</v>
      </c>
      <c r="R257" s="2" t="n">
        <v>0</v>
      </c>
      <c r="S257" s="5">
        <f>G257/F257</f>
        <v/>
      </c>
      <c r="T257" s="5">
        <f>MAX(0,1-J257/8)</f>
        <v/>
      </c>
      <c r="U257" s="5">
        <f>IFERROR(G257/(F257*T257),0)</f>
        <v/>
      </c>
      <c r="V257" s="5">
        <f>IFERROR(H257/G257,0)</f>
        <v/>
      </c>
      <c r="W257" s="5">
        <f>T257*U257*V257</f>
        <v/>
      </c>
      <c r="X257" s="5">
        <f>IFERROR(I257/G257,0)</f>
        <v/>
      </c>
      <c r="Y257" s="6">
        <f>IFERROR(G257/M257,0)</f>
        <v/>
      </c>
      <c r="Z257" s="6">
        <f>IFERROR(O257/G257,0)</f>
        <v/>
      </c>
      <c r="AA257" s="2">
        <f>IF(L257="None","No Maintenance",IF(L257="Preventive","Planned","Breakdown"))</f>
        <v/>
      </c>
    </row>
    <row r="258">
      <c r="A258" s="2" t="n">
        <v>254</v>
      </c>
      <c r="B258" s="4" t="n">
        <v>46107</v>
      </c>
      <c r="C258" s="2" t="inlineStr">
        <is>
          <t>Evening</t>
        </is>
      </c>
      <c r="D258" s="2" t="inlineStr">
        <is>
          <t>Line 1</t>
        </is>
      </c>
      <c r="E258" s="2" t="inlineStr">
        <is>
          <t>Classic Chips</t>
        </is>
      </c>
      <c r="F258" s="2" t="n">
        <v>984</v>
      </c>
      <c r="G258" s="2" t="n">
        <v>902.5</v>
      </c>
      <c r="H258" s="2" t="n">
        <v>884.1</v>
      </c>
      <c r="I258" s="2" t="n">
        <v>18.4</v>
      </c>
      <c r="J258" s="2" t="n">
        <v>0.29</v>
      </c>
      <c r="K258" s="2" t="inlineStr">
        <is>
          <t>No Downtime</t>
        </is>
      </c>
      <c r="L258" s="2" t="inlineStr">
        <is>
          <t>None</t>
        </is>
      </c>
      <c r="M258" s="2" t="n">
        <v>1845.9</v>
      </c>
      <c r="N258" s="2" t="n">
        <v>290.4</v>
      </c>
      <c r="O258" s="2" t="n">
        <v>93088.8</v>
      </c>
      <c r="P258" s="2" t="n">
        <v>175.6</v>
      </c>
      <c r="Q258" s="2" t="n">
        <v>1.72</v>
      </c>
      <c r="R258" s="2" t="n">
        <v>0</v>
      </c>
      <c r="S258" s="5">
        <f>G258/F258</f>
        <v/>
      </c>
      <c r="T258" s="5">
        <f>MAX(0,1-J258/8)</f>
        <v/>
      </c>
      <c r="U258" s="5">
        <f>IFERROR(G258/(F258*T258),0)</f>
        <v/>
      </c>
      <c r="V258" s="5">
        <f>IFERROR(H258/G258,0)</f>
        <v/>
      </c>
      <c r="W258" s="5">
        <f>T258*U258*V258</f>
        <v/>
      </c>
      <c r="X258" s="5">
        <f>IFERROR(I258/G258,0)</f>
        <v/>
      </c>
      <c r="Y258" s="6">
        <f>IFERROR(G258/M258,0)</f>
        <v/>
      </c>
      <c r="Z258" s="6">
        <f>IFERROR(O258/G258,0)</f>
        <v/>
      </c>
      <c r="AA258" s="2">
        <f>IF(L258="None","No Maintenance",IF(L258="Preventive","Planned","Breakdown"))</f>
        <v/>
      </c>
    </row>
    <row r="259">
      <c r="A259" s="2" t="n">
        <v>255</v>
      </c>
      <c r="B259" s="4" t="n">
        <v>46107</v>
      </c>
      <c r="C259" s="2" t="inlineStr">
        <is>
          <t>Night</t>
        </is>
      </c>
      <c r="D259" s="2" t="inlineStr">
        <is>
          <t>Line 2</t>
        </is>
      </c>
      <c r="E259" s="2" t="inlineStr">
        <is>
          <t>Classic Chips</t>
        </is>
      </c>
      <c r="F259" s="2" t="n">
        <v>946</v>
      </c>
      <c r="G259" s="2" t="n">
        <v>518.1</v>
      </c>
      <c r="H259" s="2" t="n">
        <v>512.6</v>
      </c>
      <c r="I259" s="2" t="n">
        <v>5.5</v>
      </c>
      <c r="J259" s="2" t="n">
        <v>3.22</v>
      </c>
      <c r="K259" s="2" t="inlineStr">
        <is>
          <t>Conveyor Jam</t>
        </is>
      </c>
      <c r="L259" s="2" t="inlineStr">
        <is>
          <t>Corrective</t>
        </is>
      </c>
      <c r="M259" s="2" t="n">
        <v>1070.4</v>
      </c>
      <c r="N259" s="2" t="n">
        <v>148.9</v>
      </c>
      <c r="O259" s="2" t="n">
        <v>59471</v>
      </c>
      <c r="P259" s="2" t="n">
        <v>175.5</v>
      </c>
      <c r="Q259" s="2" t="n">
        <v>1.34</v>
      </c>
      <c r="R259" s="2" t="n">
        <v>497.46</v>
      </c>
      <c r="S259" s="5">
        <f>G259/F259</f>
        <v/>
      </c>
      <c r="T259" s="5">
        <f>MAX(0,1-J259/8)</f>
        <v/>
      </c>
      <c r="U259" s="5">
        <f>IFERROR(G259/(F259*T259),0)</f>
        <v/>
      </c>
      <c r="V259" s="5">
        <f>IFERROR(H259/G259,0)</f>
        <v/>
      </c>
      <c r="W259" s="5">
        <f>T259*U259*V259</f>
        <v/>
      </c>
      <c r="X259" s="5">
        <f>IFERROR(I259/G259,0)</f>
        <v/>
      </c>
      <c r="Y259" s="6">
        <f>IFERROR(G259/M259,0)</f>
        <v/>
      </c>
      <c r="Z259" s="6">
        <f>IFERROR(O259/G259,0)</f>
        <v/>
      </c>
      <c r="AA259" s="2">
        <f>IF(L259="None","No Maintenance",IF(L259="Preventive","Planned","Breakdown"))</f>
        <v/>
      </c>
    </row>
    <row r="260">
      <c r="A260" s="2" t="n">
        <v>256</v>
      </c>
      <c r="B260" s="4" t="n">
        <v>46108</v>
      </c>
      <c r="C260" s="2" t="inlineStr">
        <is>
          <t>Day</t>
        </is>
      </c>
      <c r="D260" s="2" t="inlineStr">
        <is>
          <t>Line 2</t>
        </is>
      </c>
      <c r="E260" s="2" t="inlineStr">
        <is>
          <t>Classic Chips</t>
        </is>
      </c>
      <c r="F260" s="2" t="n">
        <v>990</v>
      </c>
      <c r="G260" s="2" t="n">
        <v>633.2</v>
      </c>
      <c r="H260" s="2" t="n">
        <v>620.3</v>
      </c>
      <c r="I260" s="2" t="n">
        <v>12.9</v>
      </c>
      <c r="J260" s="2" t="n">
        <v>1.99</v>
      </c>
      <c r="K260" s="2" t="inlineStr">
        <is>
          <t>Conveyor Jam</t>
        </is>
      </c>
      <c r="L260" s="2" t="inlineStr">
        <is>
          <t>Corrective</t>
        </is>
      </c>
      <c r="M260" s="2" t="n">
        <v>1334.3</v>
      </c>
      <c r="N260" s="2" t="n">
        <v>201.2</v>
      </c>
      <c r="O260" s="2" t="n">
        <v>77207.2</v>
      </c>
      <c r="P260" s="2" t="n">
        <v>171.7</v>
      </c>
      <c r="Q260" s="2" t="n">
        <v>1.79</v>
      </c>
      <c r="R260" s="2" t="n">
        <v>863.14</v>
      </c>
      <c r="S260" s="5">
        <f>G260/F260</f>
        <v/>
      </c>
      <c r="T260" s="5">
        <f>MAX(0,1-J260/8)</f>
        <v/>
      </c>
      <c r="U260" s="5">
        <f>IFERROR(G260/(F260*T260),0)</f>
        <v/>
      </c>
      <c r="V260" s="5">
        <f>IFERROR(H260/G260,0)</f>
        <v/>
      </c>
      <c r="W260" s="5">
        <f>T260*U260*V260</f>
        <v/>
      </c>
      <c r="X260" s="5">
        <f>IFERROR(I260/G260,0)</f>
        <v/>
      </c>
      <c r="Y260" s="6">
        <f>IFERROR(G260/M260,0)</f>
        <v/>
      </c>
      <c r="Z260" s="6">
        <f>IFERROR(O260/G260,0)</f>
        <v/>
      </c>
      <c r="AA260" s="2">
        <f>IF(L260="None","No Maintenance",IF(L260="Preventive","Planned","Breakdown"))</f>
        <v/>
      </c>
    </row>
    <row r="261">
      <c r="A261" s="2" t="n">
        <v>257</v>
      </c>
      <c r="B261" s="4" t="n">
        <v>46108</v>
      </c>
      <c r="C261" s="2" t="inlineStr">
        <is>
          <t>Evening</t>
        </is>
      </c>
      <c r="D261" s="2" t="inlineStr">
        <is>
          <t>Line 2</t>
        </is>
      </c>
      <c r="E261" s="2" t="inlineStr">
        <is>
          <t>Salt &amp; Vinegar</t>
        </is>
      </c>
      <c r="F261" s="2" t="n">
        <v>955</v>
      </c>
      <c r="G261" s="2" t="n">
        <v>626</v>
      </c>
      <c r="H261" s="2" t="n">
        <v>617.4</v>
      </c>
      <c r="I261" s="2" t="n">
        <v>8.6</v>
      </c>
      <c r="J261" s="2" t="n">
        <v>4.14</v>
      </c>
      <c r="K261" s="2" t="inlineStr">
        <is>
          <t>Planned Maintenance</t>
        </is>
      </c>
      <c r="L261" s="2" t="inlineStr">
        <is>
          <t>Preventive</t>
        </is>
      </c>
      <c r="M261" s="2" t="n">
        <v>1271.7</v>
      </c>
      <c r="N261" s="2" t="n">
        <v>190.7</v>
      </c>
      <c r="O261" s="2" t="n">
        <v>73025.2</v>
      </c>
      <c r="P261" s="2" t="n">
        <v>177</v>
      </c>
      <c r="Q261" s="2" t="n">
        <v>1.77</v>
      </c>
      <c r="R261" s="2" t="n">
        <v>159.37</v>
      </c>
      <c r="S261" s="5">
        <f>G261/F261</f>
        <v/>
      </c>
      <c r="T261" s="5">
        <f>MAX(0,1-J261/8)</f>
        <v/>
      </c>
      <c r="U261" s="5">
        <f>IFERROR(G261/(F261*T261),0)</f>
        <v/>
      </c>
      <c r="V261" s="5">
        <f>IFERROR(H261/G261,0)</f>
        <v/>
      </c>
      <c r="W261" s="5">
        <f>T261*U261*V261</f>
        <v/>
      </c>
      <c r="X261" s="5">
        <f>IFERROR(I261/G261,0)</f>
        <v/>
      </c>
      <c r="Y261" s="6">
        <f>IFERROR(G261/M261,0)</f>
        <v/>
      </c>
      <c r="Z261" s="6">
        <f>IFERROR(O261/G261,0)</f>
        <v/>
      </c>
      <c r="AA261" s="2">
        <f>IF(L261="None","No Maintenance",IF(L261="Preventive","Planned","Breakdown"))</f>
        <v/>
      </c>
    </row>
    <row r="262">
      <c r="A262" s="2" t="n">
        <v>258</v>
      </c>
      <c r="B262" s="4" t="n">
        <v>46108</v>
      </c>
      <c r="C262" s="2" t="inlineStr">
        <is>
          <t>Night</t>
        </is>
      </c>
      <c r="D262" s="2" t="inlineStr">
        <is>
          <t>Line 1</t>
        </is>
      </c>
      <c r="E262" s="2" t="inlineStr">
        <is>
          <t>Paprika Chips</t>
        </is>
      </c>
      <c r="F262" s="2" t="n">
        <v>967</v>
      </c>
      <c r="G262" s="2" t="n">
        <v>791.3</v>
      </c>
      <c r="H262" s="2" t="n">
        <v>776.5</v>
      </c>
      <c r="I262" s="2" t="n">
        <v>14.8</v>
      </c>
      <c r="J262" s="2" t="n">
        <v>0.82</v>
      </c>
      <c r="K262" s="2" t="inlineStr">
        <is>
          <t>Quality Hold</t>
        </is>
      </c>
      <c r="L262" s="2" t="inlineStr">
        <is>
          <t>Corrective</t>
        </is>
      </c>
      <c r="M262" s="2" t="n">
        <v>1606.3</v>
      </c>
      <c r="N262" s="2" t="n">
        <v>274.3</v>
      </c>
      <c r="O262" s="2" t="n">
        <v>88112.2</v>
      </c>
      <c r="P262" s="2" t="n">
        <v>180.3</v>
      </c>
      <c r="Q262" s="2" t="n">
        <v>1.68</v>
      </c>
      <c r="R262" s="2" t="n">
        <v>625.5700000000001</v>
      </c>
      <c r="S262" s="5">
        <f>G262/F262</f>
        <v/>
      </c>
      <c r="T262" s="5">
        <f>MAX(0,1-J262/8)</f>
        <v/>
      </c>
      <c r="U262" s="5">
        <f>IFERROR(G262/(F262*T262),0)</f>
        <v/>
      </c>
      <c r="V262" s="5">
        <f>IFERROR(H262/G262,0)</f>
        <v/>
      </c>
      <c r="W262" s="5">
        <f>T262*U262*V262</f>
        <v/>
      </c>
      <c r="X262" s="5">
        <f>IFERROR(I262/G262,0)</f>
        <v/>
      </c>
      <c r="Y262" s="6">
        <f>IFERROR(G262/M262,0)</f>
        <v/>
      </c>
      <c r="Z262" s="6">
        <f>IFERROR(O262/G262,0)</f>
        <v/>
      </c>
      <c r="AA262" s="2">
        <f>IF(L262="None","No Maintenance",IF(L262="Preventive","Planned","Breakdown"))</f>
        <v/>
      </c>
    </row>
    <row r="263">
      <c r="A263" s="2" t="n">
        <v>259</v>
      </c>
      <c r="B263" s="4" t="n">
        <v>46109</v>
      </c>
      <c r="C263" s="2" t="inlineStr">
        <is>
          <t>Day</t>
        </is>
      </c>
      <c r="D263" s="2" t="inlineStr">
        <is>
          <t>Line 2</t>
        </is>
      </c>
      <c r="E263" s="2" t="inlineStr">
        <is>
          <t>Paprika Chips</t>
        </is>
      </c>
      <c r="F263" s="2" t="n">
        <v>901</v>
      </c>
      <c r="G263" s="2" t="n">
        <v>545.9</v>
      </c>
      <c r="H263" s="2" t="n">
        <v>537.2</v>
      </c>
      <c r="I263" s="2" t="n">
        <v>8.800000000000001</v>
      </c>
      <c r="J263" s="2" t="n">
        <v>3.09</v>
      </c>
      <c r="K263" s="2" t="inlineStr">
        <is>
          <t>Conveyor Jam</t>
        </is>
      </c>
      <c r="L263" s="2" t="inlineStr">
        <is>
          <t>Corrective</t>
        </is>
      </c>
      <c r="M263" s="2" t="n">
        <v>1132.9</v>
      </c>
      <c r="N263" s="2" t="n">
        <v>170.8</v>
      </c>
      <c r="O263" s="2" t="n">
        <v>58188.8</v>
      </c>
      <c r="P263" s="2" t="n">
        <v>175.8</v>
      </c>
      <c r="Q263" s="2" t="n">
        <v>1.68</v>
      </c>
      <c r="R263" s="2" t="n">
        <v>693.8099999999999</v>
      </c>
      <c r="S263" s="5">
        <f>G263/F263</f>
        <v/>
      </c>
      <c r="T263" s="5">
        <f>MAX(0,1-J263/8)</f>
        <v/>
      </c>
      <c r="U263" s="5">
        <f>IFERROR(G263/(F263*T263),0)</f>
        <v/>
      </c>
      <c r="V263" s="5">
        <f>IFERROR(H263/G263,0)</f>
        <v/>
      </c>
      <c r="W263" s="5">
        <f>T263*U263*V263</f>
        <v/>
      </c>
      <c r="X263" s="5">
        <f>IFERROR(I263/G263,0)</f>
        <v/>
      </c>
      <c r="Y263" s="6">
        <f>IFERROR(G263/M263,0)</f>
        <v/>
      </c>
      <c r="Z263" s="6">
        <f>IFERROR(O263/G263,0)</f>
        <v/>
      </c>
      <c r="AA263" s="2">
        <f>IF(L263="None","No Maintenance",IF(L263="Preventive","Planned","Breakdown"))</f>
        <v/>
      </c>
    </row>
    <row r="264">
      <c r="A264" s="2" t="n">
        <v>260</v>
      </c>
      <c r="B264" s="4" t="n">
        <v>46109</v>
      </c>
      <c r="C264" s="2" t="inlineStr">
        <is>
          <t>Evening</t>
        </is>
      </c>
      <c r="D264" s="2" t="inlineStr">
        <is>
          <t>Line 2</t>
        </is>
      </c>
      <c r="E264" s="2" t="inlineStr">
        <is>
          <t>Classic Chips</t>
        </is>
      </c>
      <c r="F264" s="2" t="n">
        <v>1031</v>
      </c>
      <c r="G264" s="2" t="n">
        <v>626.3</v>
      </c>
      <c r="H264" s="2" t="n">
        <v>616.5</v>
      </c>
      <c r="I264" s="2" t="n">
        <v>9.800000000000001</v>
      </c>
      <c r="J264" s="2" t="n">
        <v>3.33</v>
      </c>
      <c r="K264" s="2" t="inlineStr">
        <is>
          <t>Electrical Fault</t>
        </is>
      </c>
      <c r="L264" s="2" t="inlineStr">
        <is>
          <t>Corrective</t>
        </is>
      </c>
      <c r="M264" s="2" t="n">
        <v>1251.4</v>
      </c>
      <c r="N264" s="2" t="n">
        <v>212.6</v>
      </c>
      <c r="O264" s="2" t="n">
        <v>75764.7</v>
      </c>
      <c r="P264" s="2" t="n">
        <v>179.4</v>
      </c>
      <c r="Q264" s="2" t="n">
        <v>1.92</v>
      </c>
      <c r="R264" s="2" t="n">
        <v>886.76</v>
      </c>
      <c r="S264" s="5">
        <f>G264/F264</f>
        <v/>
      </c>
      <c r="T264" s="5">
        <f>MAX(0,1-J264/8)</f>
        <v/>
      </c>
      <c r="U264" s="5">
        <f>IFERROR(G264/(F264*T264),0)</f>
        <v/>
      </c>
      <c r="V264" s="5">
        <f>IFERROR(H264/G264,0)</f>
        <v/>
      </c>
      <c r="W264" s="5">
        <f>T264*U264*V264</f>
        <v/>
      </c>
      <c r="X264" s="5">
        <f>IFERROR(I264/G264,0)</f>
        <v/>
      </c>
      <c r="Y264" s="6">
        <f>IFERROR(G264/M264,0)</f>
        <v/>
      </c>
      <c r="Z264" s="6">
        <f>IFERROR(O264/G264,0)</f>
        <v/>
      </c>
      <c r="AA264" s="2">
        <f>IF(L264="None","No Maintenance",IF(L264="Preventive","Planned","Breakdown"))</f>
        <v/>
      </c>
    </row>
    <row r="265">
      <c r="A265" s="2" t="n">
        <v>261</v>
      </c>
      <c r="B265" s="4" t="n">
        <v>46109</v>
      </c>
      <c r="C265" s="2" t="inlineStr">
        <is>
          <t>Night</t>
        </is>
      </c>
      <c r="D265" s="2" t="inlineStr">
        <is>
          <t>Line 2</t>
        </is>
      </c>
      <c r="E265" s="2" t="inlineStr">
        <is>
          <t>Salt &amp; Vinegar</t>
        </is>
      </c>
      <c r="F265" s="2" t="n">
        <v>1009</v>
      </c>
      <c r="G265" s="2" t="n">
        <v>857.8</v>
      </c>
      <c r="H265" s="2" t="n">
        <v>843.7</v>
      </c>
      <c r="I265" s="2" t="n">
        <v>14.1</v>
      </c>
      <c r="J265" s="2" t="n">
        <v>0.32</v>
      </c>
      <c r="K265" s="2" t="inlineStr">
        <is>
          <t>No Downtime</t>
        </is>
      </c>
      <c r="L265" s="2" t="inlineStr">
        <is>
          <t>None</t>
        </is>
      </c>
      <c r="M265" s="2" t="n">
        <v>1792.8</v>
      </c>
      <c r="N265" s="2" t="n">
        <v>297.2</v>
      </c>
      <c r="O265" s="2" t="n">
        <v>88386.2</v>
      </c>
      <c r="P265" s="2" t="n">
        <v>178.5</v>
      </c>
      <c r="Q265" s="2" t="n">
        <v>1.87</v>
      </c>
      <c r="R265" s="2" t="n">
        <v>0</v>
      </c>
      <c r="S265" s="5">
        <f>G265/F265</f>
        <v/>
      </c>
      <c r="T265" s="5">
        <f>MAX(0,1-J265/8)</f>
        <v/>
      </c>
      <c r="U265" s="5">
        <f>IFERROR(G265/(F265*T265),0)</f>
        <v/>
      </c>
      <c r="V265" s="5">
        <f>IFERROR(H265/G265,0)</f>
        <v/>
      </c>
      <c r="W265" s="5">
        <f>T265*U265*V265</f>
        <v/>
      </c>
      <c r="X265" s="5">
        <f>IFERROR(I265/G265,0)</f>
        <v/>
      </c>
      <c r="Y265" s="6">
        <f>IFERROR(G265/M265,0)</f>
        <v/>
      </c>
      <c r="Z265" s="6">
        <f>IFERROR(O265/G265,0)</f>
        <v/>
      </c>
      <c r="AA265" s="2">
        <f>IF(L265="None","No Maintenance",IF(L265="Preventive","Planned","Breakdown"))</f>
        <v/>
      </c>
    </row>
    <row r="266">
      <c r="A266" s="2" t="n">
        <v>262</v>
      </c>
      <c r="B266" s="4" t="n">
        <v>46110</v>
      </c>
      <c r="C266" s="2" t="inlineStr">
        <is>
          <t>Day</t>
        </is>
      </c>
      <c r="D266" s="2" t="inlineStr">
        <is>
          <t>Line 2</t>
        </is>
      </c>
      <c r="E266" s="2" t="inlineStr">
        <is>
          <t>Classic Chips</t>
        </is>
      </c>
      <c r="F266" s="2" t="n">
        <v>1048</v>
      </c>
      <c r="G266" s="2" t="n">
        <v>939</v>
      </c>
      <c r="H266" s="2" t="n">
        <v>928.4</v>
      </c>
      <c r="I266" s="2" t="n">
        <v>10.6</v>
      </c>
      <c r="J266" s="2" t="n">
        <v>0.58</v>
      </c>
      <c r="K266" s="2" t="inlineStr">
        <is>
          <t>Packaging Machine</t>
        </is>
      </c>
      <c r="L266" s="2" t="inlineStr">
        <is>
          <t>Corrective</t>
        </is>
      </c>
      <c r="M266" s="2" t="n">
        <v>1887.9</v>
      </c>
      <c r="N266" s="2" t="n">
        <v>308.3</v>
      </c>
      <c r="O266" s="2" t="n">
        <v>106296.1</v>
      </c>
      <c r="P266" s="2" t="n">
        <v>177.5</v>
      </c>
      <c r="Q266" s="2" t="n">
        <v>1.75</v>
      </c>
      <c r="R266" s="2" t="n">
        <v>716.62</v>
      </c>
      <c r="S266" s="5">
        <f>G266/F266</f>
        <v/>
      </c>
      <c r="T266" s="5">
        <f>MAX(0,1-J266/8)</f>
        <v/>
      </c>
      <c r="U266" s="5">
        <f>IFERROR(G266/(F266*T266),0)</f>
        <v/>
      </c>
      <c r="V266" s="5">
        <f>IFERROR(H266/G266,0)</f>
        <v/>
      </c>
      <c r="W266" s="5">
        <f>T266*U266*V266</f>
        <v/>
      </c>
      <c r="X266" s="5">
        <f>IFERROR(I266/G266,0)</f>
        <v/>
      </c>
      <c r="Y266" s="6">
        <f>IFERROR(G266/M266,0)</f>
        <v/>
      </c>
      <c r="Z266" s="6">
        <f>IFERROR(O266/G266,0)</f>
        <v/>
      </c>
      <c r="AA266" s="2">
        <f>IF(L266="None","No Maintenance",IF(L266="Preventive","Planned","Breakdown"))</f>
        <v/>
      </c>
    </row>
    <row r="267">
      <c r="A267" s="2" t="n">
        <v>263</v>
      </c>
      <c r="B267" s="4" t="n">
        <v>46110</v>
      </c>
      <c r="C267" s="2" t="inlineStr">
        <is>
          <t>Evening</t>
        </is>
      </c>
      <c r="D267" s="2" t="inlineStr">
        <is>
          <t>Line 2</t>
        </is>
      </c>
      <c r="E267" s="2" t="inlineStr">
        <is>
          <t>Paprika Chips</t>
        </is>
      </c>
      <c r="F267" s="2" t="n">
        <v>1009</v>
      </c>
      <c r="G267" s="2" t="n">
        <v>905.2</v>
      </c>
      <c r="H267" s="2" t="n">
        <v>886.3</v>
      </c>
      <c r="I267" s="2" t="n">
        <v>18.9</v>
      </c>
      <c r="J267" s="2" t="n">
        <v>0.39</v>
      </c>
      <c r="K267" s="2" t="inlineStr">
        <is>
          <t>No Downtime</t>
        </is>
      </c>
      <c r="L267" s="2" t="inlineStr">
        <is>
          <t>None</t>
        </is>
      </c>
      <c r="M267" s="2" t="n">
        <v>1849.2</v>
      </c>
      <c r="N267" s="2" t="n">
        <v>287.3</v>
      </c>
      <c r="O267" s="2" t="n">
        <v>113208</v>
      </c>
      <c r="P267" s="2" t="n">
        <v>171.8</v>
      </c>
      <c r="Q267" s="2" t="n">
        <v>2.04</v>
      </c>
      <c r="R267" s="2" t="n">
        <v>0</v>
      </c>
      <c r="S267" s="5">
        <f>G267/F267</f>
        <v/>
      </c>
      <c r="T267" s="5">
        <f>MAX(0,1-J267/8)</f>
        <v/>
      </c>
      <c r="U267" s="5">
        <f>IFERROR(G267/(F267*T267),0)</f>
        <v/>
      </c>
      <c r="V267" s="5">
        <f>IFERROR(H267/G267,0)</f>
        <v/>
      </c>
      <c r="W267" s="5">
        <f>T267*U267*V267</f>
        <v/>
      </c>
      <c r="X267" s="5">
        <f>IFERROR(I267/G267,0)</f>
        <v/>
      </c>
      <c r="Y267" s="6">
        <f>IFERROR(G267/M267,0)</f>
        <v/>
      </c>
      <c r="Z267" s="6">
        <f>IFERROR(O267/G267,0)</f>
        <v/>
      </c>
      <c r="AA267" s="2">
        <f>IF(L267="None","No Maintenance",IF(L267="Preventive","Planned","Breakdown"))</f>
        <v/>
      </c>
    </row>
    <row r="268">
      <c r="A268" s="2" t="n">
        <v>264</v>
      </c>
      <c r="B268" s="4" t="n">
        <v>46110</v>
      </c>
      <c r="C268" s="2" t="inlineStr">
        <is>
          <t>Night</t>
        </is>
      </c>
      <c r="D268" s="2" t="inlineStr">
        <is>
          <t>Line 1</t>
        </is>
      </c>
      <c r="E268" s="2" t="inlineStr">
        <is>
          <t>Paprika Chips</t>
        </is>
      </c>
      <c r="F268" s="2" t="n">
        <v>1003</v>
      </c>
      <c r="G268" s="2" t="n">
        <v>612.1</v>
      </c>
      <c r="H268" s="2" t="n">
        <v>603.7</v>
      </c>
      <c r="I268" s="2" t="n">
        <v>8.4</v>
      </c>
      <c r="J268" s="2" t="n">
        <v>2.89</v>
      </c>
      <c r="K268" s="2" t="inlineStr">
        <is>
          <t>Quality Hold</t>
        </is>
      </c>
      <c r="L268" s="2" t="inlineStr">
        <is>
          <t>Emergency</t>
        </is>
      </c>
      <c r="M268" s="2" t="n">
        <v>1314.4</v>
      </c>
      <c r="N268" s="2" t="n">
        <v>185.9</v>
      </c>
      <c r="O268" s="2" t="n">
        <v>77288</v>
      </c>
      <c r="P268" s="2" t="n">
        <v>174.2</v>
      </c>
      <c r="Q268" s="2" t="n">
        <v>1.66</v>
      </c>
      <c r="R268" s="2" t="n">
        <v>857.48</v>
      </c>
      <c r="S268" s="5">
        <f>G268/F268</f>
        <v/>
      </c>
      <c r="T268" s="5">
        <f>MAX(0,1-J268/8)</f>
        <v/>
      </c>
      <c r="U268" s="5">
        <f>IFERROR(G268/(F268*T268),0)</f>
        <v/>
      </c>
      <c r="V268" s="5">
        <f>IFERROR(H268/G268,0)</f>
        <v/>
      </c>
      <c r="W268" s="5">
        <f>T268*U268*V268</f>
        <v/>
      </c>
      <c r="X268" s="5">
        <f>IFERROR(I268/G268,0)</f>
        <v/>
      </c>
      <c r="Y268" s="6">
        <f>IFERROR(G268/M268,0)</f>
        <v/>
      </c>
      <c r="Z268" s="6">
        <f>IFERROR(O268/G268,0)</f>
        <v/>
      </c>
      <c r="AA268" s="2">
        <f>IF(L268="None","No Maintenance",IF(L268="Preventive","Planned","Breakdown"))</f>
        <v/>
      </c>
    </row>
    <row r="269">
      <c r="A269" s="2" t="n">
        <v>265</v>
      </c>
      <c r="B269" s="4" t="n">
        <v>46111</v>
      </c>
      <c r="C269" s="2" t="inlineStr">
        <is>
          <t>Day</t>
        </is>
      </c>
      <c r="D269" s="2" t="inlineStr">
        <is>
          <t>Line 1</t>
        </is>
      </c>
      <c r="E269" s="2" t="inlineStr">
        <is>
          <t>Salt &amp; Vinegar</t>
        </is>
      </c>
      <c r="F269" s="2" t="n">
        <v>965</v>
      </c>
      <c r="G269" s="2" t="n">
        <v>832.9</v>
      </c>
      <c r="H269" s="2" t="n">
        <v>822.5</v>
      </c>
      <c r="I269" s="2" t="n">
        <v>10.4</v>
      </c>
      <c r="J269" s="2" t="n">
        <v>0.31</v>
      </c>
      <c r="K269" s="2" t="inlineStr">
        <is>
          <t>No Downtime</t>
        </is>
      </c>
      <c r="L269" s="2" t="inlineStr">
        <is>
          <t>None</t>
        </is>
      </c>
      <c r="M269" s="2" t="n">
        <v>1716.4</v>
      </c>
      <c r="N269" s="2" t="n">
        <v>272</v>
      </c>
      <c r="O269" s="2" t="n">
        <v>101836.8</v>
      </c>
      <c r="P269" s="2" t="n">
        <v>176</v>
      </c>
      <c r="Q269" s="2" t="n">
        <v>1.96</v>
      </c>
      <c r="R269" s="2" t="n">
        <v>0</v>
      </c>
      <c r="S269" s="5">
        <f>G269/F269</f>
        <v/>
      </c>
      <c r="T269" s="5">
        <f>MAX(0,1-J269/8)</f>
        <v/>
      </c>
      <c r="U269" s="5">
        <f>IFERROR(G269/(F269*T269),0)</f>
        <v/>
      </c>
      <c r="V269" s="5">
        <f>IFERROR(H269/G269,0)</f>
        <v/>
      </c>
      <c r="W269" s="5">
        <f>T269*U269*V269</f>
        <v/>
      </c>
      <c r="X269" s="5">
        <f>IFERROR(I269/G269,0)</f>
        <v/>
      </c>
      <c r="Y269" s="6">
        <f>IFERROR(G269/M269,0)</f>
        <v/>
      </c>
      <c r="Z269" s="6">
        <f>IFERROR(O269/G269,0)</f>
        <v/>
      </c>
      <c r="AA269" s="2">
        <f>IF(L269="None","No Maintenance",IF(L269="Preventive","Planned","Breakdown"))</f>
        <v/>
      </c>
    </row>
    <row r="270">
      <c r="A270" s="2" t="n">
        <v>266</v>
      </c>
      <c r="B270" s="4" t="n">
        <v>46111</v>
      </c>
      <c r="C270" s="2" t="inlineStr">
        <is>
          <t>Evening</t>
        </is>
      </c>
      <c r="D270" s="2" t="inlineStr">
        <is>
          <t>Line 2</t>
        </is>
      </c>
      <c r="E270" s="2" t="inlineStr">
        <is>
          <t>Classic Chips</t>
        </is>
      </c>
      <c r="F270" s="2" t="n">
        <v>981</v>
      </c>
      <c r="G270" s="2" t="n">
        <v>569.6</v>
      </c>
      <c r="H270" s="2" t="n">
        <v>561.2</v>
      </c>
      <c r="I270" s="2" t="n">
        <v>8.4</v>
      </c>
      <c r="J270" s="2" t="n">
        <v>4.2</v>
      </c>
      <c r="K270" s="2" t="inlineStr">
        <is>
          <t>Planned Maintenance</t>
        </is>
      </c>
      <c r="L270" s="2" t="inlineStr">
        <is>
          <t>Preventive</t>
        </is>
      </c>
      <c r="M270" s="2" t="n">
        <v>1143.7</v>
      </c>
      <c r="N270" s="2" t="n">
        <v>167</v>
      </c>
      <c r="O270" s="2" t="n">
        <v>74954.3</v>
      </c>
      <c r="P270" s="2" t="n">
        <v>189</v>
      </c>
      <c r="Q270" s="2" t="n">
        <v>2.16</v>
      </c>
      <c r="R270" s="2" t="n">
        <v>174.2</v>
      </c>
      <c r="S270" s="5">
        <f>G270/F270</f>
        <v/>
      </c>
      <c r="T270" s="5">
        <f>MAX(0,1-J270/8)</f>
        <v/>
      </c>
      <c r="U270" s="5">
        <f>IFERROR(G270/(F270*T270),0)</f>
        <v/>
      </c>
      <c r="V270" s="5">
        <f>IFERROR(H270/G270,0)</f>
        <v/>
      </c>
      <c r="W270" s="5">
        <f>T270*U270*V270</f>
        <v/>
      </c>
      <c r="X270" s="5">
        <f>IFERROR(I270/G270,0)</f>
        <v/>
      </c>
      <c r="Y270" s="6">
        <f>IFERROR(G270/M270,0)</f>
        <v/>
      </c>
      <c r="Z270" s="6">
        <f>IFERROR(O270/G270,0)</f>
        <v/>
      </c>
      <c r="AA270" s="2">
        <f>IF(L270="None","No Maintenance",IF(L270="Preventive","Planned","Breakdown"))</f>
        <v/>
      </c>
    </row>
    <row r="271">
      <c r="A271" s="2" t="n">
        <v>267</v>
      </c>
      <c r="B271" s="4" t="n">
        <v>46111</v>
      </c>
      <c r="C271" s="2" t="inlineStr">
        <is>
          <t>Night</t>
        </is>
      </c>
      <c r="D271" s="2" t="inlineStr">
        <is>
          <t>Line 2</t>
        </is>
      </c>
      <c r="E271" s="2" t="inlineStr">
        <is>
          <t>Salt &amp; Vinegar</t>
        </is>
      </c>
      <c r="F271" s="2" t="n">
        <v>925</v>
      </c>
      <c r="G271" s="2" t="n">
        <v>597.3</v>
      </c>
      <c r="H271" s="2" t="n">
        <v>578.6</v>
      </c>
      <c r="I271" s="2" t="n">
        <v>18.7</v>
      </c>
      <c r="J271" s="2" t="n">
        <v>1.55</v>
      </c>
      <c r="K271" s="2" t="inlineStr">
        <is>
          <t>Packaging Machine</t>
        </is>
      </c>
      <c r="L271" s="2" t="inlineStr">
        <is>
          <t>Emergency</t>
        </is>
      </c>
      <c r="M271" s="2" t="n">
        <v>1230.5</v>
      </c>
      <c r="N271" s="2" t="n">
        <v>195.4</v>
      </c>
      <c r="O271" s="2" t="n">
        <v>69895.10000000001</v>
      </c>
      <c r="P271" s="2" t="n">
        <v>186.4</v>
      </c>
      <c r="Q271" s="2" t="n">
        <v>1.49</v>
      </c>
      <c r="R271" s="2" t="n">
        <v>1538.1</v>
      </c>
      <c r="S271" s="5">
        <f>G271/F271</f>
        <v/>
      </c>
      <c r="T271" s="5">
        <f>MAX(0,1-J271/8)</f>
        <v/>
      </c>
      <c r="U271" s="5">
        <f>IFERROR(G271/(F271*T271),0)</f>
        <v/>
      </c>
      <c r="V271" s="5">
        <f>IFERROR(H271/G271,0)</f>
        <v/>
      </c>
      <c r="W271" s="5">
        <f>T271*U271*V271</f>
        <v/>
      </c>
      <c r="X271" s="5">
        <f>IFERROR(I271/G271,0)</f>
        <v/>
      </c>
      <c r="Y271" s="6">
        <f>IFERROR(G271/M271,0)</f>
        <v/>
      </c>
      <c r="Z271" s="6">
        <f>IFERROR(O271/G271,0)</f>
        <v/>
      </c>
      <c r="AA271" s="2">
        <f>IF(L271="None","No Maintenance",IF(L271="Preventive","Planned","Breakdown"))</f>
        <v/>
      </c>
    </row>
    <row r="272">
      <c r="A272" s="2" t="n">
        <v>268</v>
      </c>
      <c r="B272" s="4" t="n">
        <v>46112</v>
      </c>
      <c r="C272" s="2" t="inlineStr">
        <is>
          <t>Day</t>
        </is>
      </c>
      <c r="D272" s="2" t="inlineStr">
        <is>
          <t>Line 1</t>
        </is>
      </c>
      <c r="E272" s="2" t="inlineStr">
        <is>
          <t>Paprika Chips</t>
        </is>
      </c>
      <c r="F272" s="2" t="n">
        <v>939</v>
      </c>
      <c r="G272" s="2" t="n">
        <v>924.4</v>
      </c>
      <c r="H272" s="2" t="n">
        <v>911.1</v>
      </c>
      <c r="I272" s="2" t="n">
        <v>13.4</v>
      </c>
      <c r="J272" s="2" t="n">
        <v>0.18</v>
      </c>
      <c r="K272" s="2" t="inlineStr">
        <is>
          <t>No Downtime</t>
        </is>
      </c>
      <c r="L272" s="2" t="inlineStr">
        <is>
          <t>None</t>
        </is>
      </c>
      <c r="M272" s="2" t="n">
        <v>1911.1</v>
      </c>
      <c r="N272" s="2" t="n">
        <v>283.2</v>
      </c>
      <c r="O272" s="2" t="n">
        <v>113249.5</v>
      </c>
      <c r="P272" s="2" t="n">
        <v>174.3</v>
      </c>
      <c r="Q272" s="2" t="n">
        <v>1.75</v>
      </c>
      <c r="R272" s="2" t="n">
        <v>0</v>
      </c>
      <c r="S272" s="5">
        <f>G272/F272</f>
        <v/>
      </c>
      <c r="T272" s="5">
        <f>MAX(0,1-J272/8)</f>
        <v/>
      </c>
      <c r="U272" s="5">
        <f>IFERROR(G272/(F272*T272),0)</f>
        <v/>
      </c>
      <c r="V272" s="5">
        <f>IFERROR(H272/G272,0)</f>
        <v/>
      </c>
      <c r="W272" s="5">
        <f>T272*U272*V272</f>
        <v/>
      </c>
      <c r="X272" s="5">
        <f>IFERROR(I272/G272,0)</f>
        <v/>
      </c>
      <c r="Y272" s="6">
        <f>IFERROR(G272/M272,0)</f>
        <v/>
      </c>
      <c r="Z272" s="6">
        <f>IFERROR(O272/G272,0)</f>
        <v/>
      </c>
      <c r="AA272" s="2">
        <f>IF(L272="None","No Maintenance",IF(L272="Preventive","Planned","Breakdown"))</f>
        <v/>
      </c>
    </row>
    <row r="273">
      <c r="A273" s="2" t="n">
        <v>269</v>
      </c>
      <c r="B273" s="4" t="n">
        <v>46112</v>
      </c>
      <c r="C273" s="2" t="inlineStr">
        <is>
          <t>Evening</t>
        </is>
      </c>
      <c r="D273" s="2" t="inlineStr">
        <is>
          <t>Line 1</t>
        </is>
      </c>
      <c r="E273" s="2" t="inlineStr">
        <is>
          <t>Paprika Chips</t>
        </is>
      </c>
      <c r="F273" s="2" t="n">
        <v>1000</v>
      </c>
      <c r="G273" s="2" t="n">
        <v>850.2</v>
      </c>
      <c r="H273" s="2" t="n">
        <v>833.8</v>
      </c>
      <c r="I273" s="2" t="n">
        <v>16.4</v>
      </c>
      <c r="J273" s="2" t="n">
        <v>1.13</v>
      </c>
      <c r="K273" s="2" t="inlineStr">
        <is>
          <t>Packaging Machine</t>
        </is>
      </c>
      <c r="L273" s="2" t="inlineStr">
        <is>
          <t>Corrective</t>
        </is>
      </c>
      <c r="M273" s="2" t="n">
        <v>1763.4</v>
      </c>
      <c r="N273" s="2" t="n">
        <v>258.1</v>
      </c>
      <c r="O273" s="2" t="n">
        <v>107843.7</v>
      </c>
      <c r="P273" s="2" t="n">
        <v>183.1</v>
      </c>
      <c r="Q273" s="2" t="n">
        <v>1.75</v>
      </c>
      <c r="R273" s="2" t="n">
        <v>305.48</v>
      </c>
      <c r="S273" s="5">
        <f>G273/F273</f>
        <v/>
      </c>
      <c r="T273" s="5">
        <f>MAX(0,1-J273/8)</f>
        <v/>
      </c>
      <c r="U273" s="5">
        <f>IFERROR(G273/(F273*T273),0)</f>
        <v/>
      </c>
      <c r="V273" s="5">
        <f>IFERROR(H273/G273,0)</f>
        <v/>
      </c>
      <c r="W273" s="5">
        <f>T273*U273*V273</f>
        <v/>
      </c>
      <c r="X273" s="5">
        <f>IFERROR(I273/G273,0)</f>
        <v/>
      </c>
      <c r="Y273" s="6">
        <f>IFERROR(G273/M273,0)</f>
        <v/>
      </c>
      <c r="Z273" s="6">
        <f>IFERROR(O273/G273,0)</f>
        <v/>
      </c>
      <c r="AA273" s="2">
        <f>IF(L273="None","No Maintenance",IF(L273="Preventive","Planned","Breakdown"))</f>
        <v/>
      </c>
    </row>
    <row r="274">
      <c r="A274" s="2" t="n">
        <v>270</v>
      </c>
      <c r="B274" s="4" t="n">
        <v>46112</v>
      </c>
      <c r="C274" s="2" t="inlineStr">
        <is>
          <t>Night</t>
        </is>
      </c>
      <c r="D274" s="2" t="inlineStr">
        <is>
          <t>Line 1</t>
        </is>
      </c>
      <c r="E274" s="2" t="inlineStr">
        <is>
          <t>Classic Chips</t>
        </is>
      </c>
      <c r="F274" s="2" t="n">
        <v>906</v>
      </c>
      <c r="G274" s="2" t="n">
        <v>577.2</v>
      </c>
      <c r="H274" s="2" t="n">
        <v>568.9</v>
      </c>
      <c r="I274" s="2" t="n">
        <v>8.300000000000001</v>
      </c>
      <c r="J274" s="2" t="n">
        <v>2.14</v>
      </c>
      <c r="K274" s="2" t="inlineStr">
        <is>
          <t>Packaging Machine</t>
        </is>
      </c>
      <c r="L274" s="2" t="inlineStr">
        <is>
          <t>Corrective</t>
        </is>
      </c>
      <c r="M274" s="2" t="n">
        <v>1233.1</v>
      </c>
      <c r="N274" s="2" t="n">
        <v>179.5</v>
      </c>
      <c r="O274" s="2" t="n">
        <v>68977.60000000001</v>
      </c>
      <c r="P274" s="2" t="n">
        <v>180.8</v>
      </c>
      <c r="Q274" s="2" t="n">
        <v>1.82</v>
      </c>
      <c r="R274" s="2" t="n">
        <v>884.62</v>
      </c>
      <c r="S274" s="5">
        <f>G274/F274</f>
        <v/>
      </c>
      <c r="T274" s="5">
        <f>MAX(0,1-J274/8)</f>
        <v/>
      </c>
      <c r="U274" s="5">
        <f>IFERROR(G274/(F274*T274),0)</f>
        <v/>
      </c>
      <c r="V274" s="5">
        <f>IFERROR(H274/G274,0)</f>
        <v/>
      </c>
      <c r="W274" s="5">
        <f>T274*U274*V274</f>
        <v/>
      </c>
      <c r="X274" s="5">
        <f>IFERROR(I274/G274,0)</f>
        <v/>
      </c>
      <c r="Y274" s="6">
        <f>IFERROR(G274/M274,0)</f>
        <v/>
      </c>
      <c r="Z274" s="6">
        <f>IFERROR(O274/G274,0)</f>
        <v/>
      </c>
      <c r="AA274" s="2">
        <f>IF(L274="None","No Maintenance",IF(L274="Preventive","Planned","Breakdown"))</f>
        <v/>
      </c>
    </row>
    <row r="275">
      <c r="A275" s="2" t="n">
        <v>271</v>
      </c>
      <c r="B275" s="4" t="n">
        <v>46113</v>
      </c>
      <c r="C275" s="2" t="inlineStr">
        <is>
          <t>Day</t>
        </is>
      </c>
      <c r="D275" s="2" t="inlineStr">
        <is>
          <t>Line 2</t>
        </is>
      </c>
      <c r="E275" s="2" t="inlineStr">
        <is>
          <t>Classic Chips</t>
        </is>
      </c>
      <c r="F275" s="2" t="n">
        <v>1019</v>
      </c>
      <c r="G275" s="2" t="n">
        <v>591.1</v>
      </c>
      <c r="H275" s="2" t="n">
        <v>583.7</v>
      </c>
      <c r="I275" s="2" t="n">
        <v>7.4</v>
      </c>
      <c r="J275" s="2" t="n">
        <v>4.37</v>
      </c>
      <c r="K275" s="2" t="inlineStr">
        <is>
          <t>Planned Maintenance</t>
        </is>
      </c>
      <c r="L275" s="2" t="inlineStr">
        <is>
          <t>Preventive</t>
        </is>
      </c>
      <c r="M275" s="2" t="n">
        <v>1188.4</v>
      </c>
      <c r="N275" s="2" t="n">
        <v>183.4</v>
      </c>
      <c r="O275" s="2" t="n">
        <v>75588.10000000001</v>
      </c>
      <c r="P275" s="2" t="n">
        <v>178.7</v>
      </c>
      <c r="Q275" s="2" t="n">
        <v>1.58</v>
      </c>
      <c r="R275" s="2" t="n">
        <v>161.25</v>
      </c>
      <c r="S275" s="5">
        <f>G275/F275</f>
        <v/>
      </c>
      <c r="T275" s="5">
        <f>MAX(0,1-J275/8)</f>
        <v/>
      </c>
      <c r="U275" s="5">
        <f>IFERROR(G275/(F275*T275),0)</f>
        <v/>
      </c>
      <c r="V275" s="5">
        <f>IFERROR(H275/G275,0)</f>
        <v/>
      </c>
      <c r="W275" s="5">
        <f>T275*U275*V275</f>
        <v/>
      </c>
      <c r="X275" s="5">
        <f>IFERROR(I275/G275,0)</f>
        <v/>
      </c>
      <c r="Y275" s="6">
        <f>IFERROR(G275/M275,0)</f>
        <v/>
      </c>
      <c r="Z275" s="6">
        <f>IFERROR(O275/G275,0)</f>
        <v/>
      </c>
      <c r="AA275" s="2">
        <f>IF(L275="None","No Maintenance",IF(L275="Preventive","Planned","Breakdown"))</f>
        <v/>
      </c>
    </row>
    <row r="276">
      <c r="A276" s="2" t="n">
        <v>272</v>
      </c>
      <c r="B276" s="4" t="n">
        <v>46113</v>
      </c>
      <c r="C276" s="2" t="inlineStr">
        <is>
          <t>Evening</t>
        </is>
      </c>
      <c r="D276" s="2" t="inlineStr">
        <is>
          <t>Line 1</t>
        </is>
      </c>
      <c r="E276" s="2" t="inlineStr">
        <is>
          <t>Salt &amp; Vinegar</t>
        </is>
      </c>
      <c r="F276" s="2" t="n">
        <v>971</v>
      </c>
      <c r="G276" s="2" t="n">
        <v>650.8</v>
      </c>
      <c r="H276" s="2" t="n">
        <v>644.3</v>
      </c>
      <c r="I276" s="2" t="n">
        <v>6.5</v>
      </c>
      <c r="J276" s="2" t="n">
        <v>3.46</v>
      </c>
      <c r="K276" s="2" t="inlineStr">
        <is>
          <t>Packaging Machine</t>
        </is>
      </c>
      <c r="L276" s="2" t="inlineStr">
        <is>
          <t>Corrective</t>
        </is>
      </c>
      <c r="M276" s="2" t="n">
        <v>1368.3</v>
      </c>
      <c r="N276" s="2" t="n">
        <v>217.3</v>
      </c>
      <c r="O276" s="2" t="n">
        <v>72127.3</v>
      </c>
      <c r="P276" s="2" t="n">
        <v>186.3</v>
      </c>
      <c r="Q276" s="2" t="n">
        <v>1.85</v>
      </c>
      <c r="R276" s="2" t="n">
        <v>707.59</v>
      </c>
      <c r="S276" s="5">
        <f>G276/F276</f>
        <v/>
      </c>
      <c r="T276" s="5">
        <f>MAX(0,1-J276/8)</f>
        <v/>
      </c>
      <c r="U276" s="5">
        <f>IFERROR(G276/(F276*T276),0)</f>
        <v/>
      </c>
      <c r="V276" s="5">
        <f>IFERROR(H276/G276,0)</f>
        <v/>
      </c>
      <c r="W276" s="5">
        <f>T276*U276*V276</f>
        <v/>
      </c>
      <c r="X276" s="5">
        <f>IFERROR(I276/G276,0)</f>
        <v/>
      </c>
      <c r="Y276" s="6">
        <f>IFERROR(G276/M276,0)</f>
        <v/>
      </c>
      <c r="Z276" s="6">
        <f>IFERROR(O276/G276,0)</f>
        <v/>
      </c>
      <c r="AA276" s="2">
        <f>IF(L276="None","No Maintenance",IF(L276="Preventive","Planned","Breakdown"))</f>
        <v/>
      </c>
    </row>
    <row r="277">
      <c r="A277" s="2" t="n">
        <v>273</v>
      </c>
      <c r="B277" s="4" t="n">
        <v>46113</v>
      </c>
      <c r="C277" s="2" t="inlineStr">
        <is>
          <t>Night</t>
        </is>
      </c>
      <c r="D277" s="2" t="inlineStr">
        <is>
          <t>Line 1</t>
        </is>
      </c>
      <c r="E277" s="2" t="inlineStr">
        <is>
          <t>Classic Chips</t>
        </is>
      </c>
      <c r="F277" s="2" t="n">
        <v>1036</v>
      </c>
      <c r="G277" s="2" t="n">
        <v>855.6</v>
      </c>
      <c r="H277" s="2" t="n">
        <v>850.1</v>
      </c>
      <c r="I277" s="2" t="n">
        <v>5.5</v>
      </c>
      <c r="J277" s="2" t="n">
        <v>0.1</v>
      </c>
      <c r="K277" s="2" t="inlineStr">
        <is>
          <t>No Downtime</t>
        </is>
      </c>
      <c r="L277" s="2" t="inlineStr">
        <is>
          <t>None</t>
        </is>
      </c>
      <c r="M277" s="2" t="n">
        <v>1763.3</v>
      </c>
      <c r="N277" s="2" t="n">
        <v>265</v>
      </c>
      <c r="O277" s="2" t="n">
        <v>109764.9</v>
      </c>
      <c r="P277" s="2" t="n">
        <v>175.9</v>
      </c>
      <c r="Q277" s="2" t="n">
        <v>1.41</v>
      </c>
      <c r="R277" s="2" t="n">
        <v>0</v>
      </c>
      <c r="S277" s="5">
        <f>G277/F277</f>
        <v/>
      </c>
      <c r="T277" s="5">
        <f>MAX(0,1-J277/8)</f>
        <v/>
      </c>
      <c r="U277" s="5">
        <f>IFERROR(G277/(F277*T277),0)</f>
        <v/>
      </c>
      <c r="V277" s="5">
        <f>IFERROR(H277/G277,0)</f>
        <v/>
      </c>
      <c r="W277" s="5">
        <f>T277*U277*V277</f>
        <v/>
      </c>
      <c r="X277" s="5">
        <f>IFERROR(I277/G277,0)</f>
        <v/>
      </c>
      <c r="Y277" s="6">
        <f>IFERROR(G277/M277,0)</f>
        <v/>
      </c>
      <c r="Z277" s="6">
        <f>IFERROR(O277/G277,0)</f>
        <v/>
      </c>
      <c r="AA277" s="2">
        <f>IF(L277="None","No Maintenance",IF(L277="Preventive","Planned","Breakdown"))</f>
        <v/>
      </c>
    </row>
    <row r="278">
      <c r="A278" s="2" t="n">
        <v>274</v>
      </c>
      <c r="B278" s="4" t="n">
        <v>46114</v>
      </c>
      <c r="C278" s="2" t="inlineStr">
        <is>
          <t>Day</t>
        </is>
      </c>
      <c r="D278" s="2" t="inlineStr">
        <is>
          <t>Line 2</t>
        </is>
      </c>
      <c r="E278" s="2" t="inlineStr">
        <is>
          <t>Classic Chips</t>
        </is>
      </c>
      <c r="F278" s="2" t="n">
        <v>946</v>
      </c>
      <c r="G278" s="2" t="n">
        <v>683.1</v>
      </c>
      <c r="H278" s="2" t="n">
        <v>669.4</v>
      </c>
      <c r="I278" s="2" t="n">
        <v>13.7</v>
      </c>
      <c r="J278" s="2" t="n">
        <v>1.41</v>
      </c>
      <c r="K278" s="2" t="inlineStr">
        <is>
          <t>Conveyor Jam</t>
        </is>
      </c>
      <c r="L278" s="2" t="inlineStr">
        <is>
          <t>Corrective</t>
        </is>
      </c>
      <c r="M278" s="2" t="n">
        <v>1377.1</v>
      </c>
      <c r="N278" s="2" t="n">
        <v>204.6</v>
      </c>
      <c r="O278" s="2" t="n">
        <v>77845</v>
      </c>
      <c r="P278" s="2" t="n">
        <v>180.8</v>
      </c>
      <c r="Q278" s="2" t="n">
        <v>1.9</v>
      </c>
      <c r="R278" s="2" t="n">
        <v>413.92</v>
      </c>
      <c r="S278" s="5">
        <f>G278/F278</f>
        <v/>
      </c>
      <c r="T278" s="5">
        <f>MAX(0,1-J278/8)</f>
        <v/>
      </c>
      <c r="U278" s="5">
        <f>IFERROR(G278/(F278*T278),0)</f>
        <v/>
      </c>
      <c r="V278" s="5">
        <f>IFERROR(H278/G278,0)</f>
        <v/>
      </c>
      <c r="W278" s="5">
        <f>T278*U278*V278</f>
        <v/>
      </c>
      <c r="X278" s="5">
        <f>IFERROR(I278/G278,0)</f>
        <v/>
      </c>
      <c r="Y278" s="6">
        <f>IFERROR(G278/M278,0)</f>
        <v/>
      </c>
      <c r="Z278" s="6">
        <f>IFERROR(O278/G278,0)</f>
        <v/>
      </c>
      <c r="AA278" s="2">
        <f>IF(L278="None","No Maintenance",IF(L278="Preventive","Planned","Breakdown"))</f>
        <v/>
      </c>
    </row>
    <row r="279">
      <c r="A279" s="2" t="n">
        <v>275</v>
      </c>
      <c r="B279" s="4" t="n">
        <v>46114</v>
      </c>
      <c r="C279" s="2" t="inlineStr">
        <is>
          <t>Evening</t>
        </is>
      </c>
      <c r="D279" s="2" t="inlineStr">
        <is>
          <t>Line 1</t>
        </is>
      </c>
      <c r="E279" s="2" t="inlineStr">
        <is>
          <t>Salt &amp; Vinegar</t>
        </is>
      </c>
      <c r="F279" s="2" t="n">
        <v>1030</v>
      </c>
      <c r="G279" s="2" t="n">
        <v>838.8</v>
      </c>
      <c r="H279" s="2" t="n">
        <v>824.6</v>
      </c>
      <c r="I279" s="2" t="n">
        <v>14.2</v>
      </c>
      <c r="J279" s="2" t="n">
        <v>0.6899999999999999</v>
      </c>
      <c r="K279" s="2" t="inlineStr">
        <is>
          <t>Quality Hold</t>
        </is>
      </c>
      <c r="L279" s="2" t="inlineStr">
        <is>
          <t>Corrective</t>
        </is>
      </c>
      <c r="M279" s="2" t="n">
        <v>1753.5</v>
      </c>
      <c r="N279" s="2" t="n">
        <v>282.2</v>
      </c>
      <c r="O279" s="2" t="n">
        <v>100184.5</v>
      </c>
      <c r="P279" s="2" t="n">
        <v>185.1</v>
      </c>
      <c r="Q279" s="2" t="n">
        <v>1.91</v>
      </c>
      <c r="R279" s="2" t="n">
        <v>678.16</v>
      </c>
      <c r="S279" s="5">
        <f>G279/F279</f>
        <v/>
      </c>
      <c r="T279" s="5">
        <f>MAX(0,1-J279/8)</f>
        <v/>
      </c>
      <c r="U279" s="5">
        <f>IFERROR(G279/(F279*T279),0)</f>
        <v/>
      </c>
      <c r="V279" s="5">
        <f>IFERROR(H279/G279,0)</f>
        <v/>
      </c>
      <c r="W279" s="5">
        <f>T279*U279*V279</f>
        <v/>
      </c>
      <c r="X279" s="5">
        <f>IFERROR(I279/G279,0)</f>
        <v/>
      </c>
      <c r="Y279" s="6">
        <f>IFERROR(G279/M279,0)</f>
        <v/>
      </c>
      <c r="Z279" s="6">
        <f>IFERROR(O279/G279,0)</f>
        <v/>
      </c>
      <c r="AA279" s="2">
        <f>IF(L279="None","No Maintenance",IF(L279="Preventive","Planned","Breakdown"))</f>
        <v/>
      </c>
    </row>
    <row r="280">
      <c r="A280" s="2" t="n">
        <v>276</v>
      </c>
      <c r="B280" s="4" t="n">
        <v>46114</v>
      </c>
      <c r="C280" s="2" t="inlineStr">
        <is>
          <t>Night</t>
        </is>
      </c>
      <c r="D280" s="2" t="inlineStr">
        <is>
          <t>Line 1</t>
        </is>
      </c>
      <c r="E280" s="2" t="inlineStr">
        <is>
          <t>Classic Chips</t>
        </is>
      </c>
      <c r="F280" s="2" t="n">
        <v>1032</v>
      </c>
      <c r="G280" s="2" t="n">
        <v>592.2</v>
      </c>
      <c r="H280" s="2" t="n">
        <v>586.8</v>
      </c>
      <c r="I280" s="2" t="n">
        <v>5.4</v>
      </c>
      <c r="J280" s="2" t="n">
        <v>4.59</v>
      </c>
      <c r="K280" s="2" t="inlineStr">
        <is>
          <t>Planned Maintenance</t>
        </is>
      </c>
      <c r="L280" s="2" t="inlineStr">
        <is>
          <t>Preventive</t>
        </is>
      </c>
      <c r="M280" s="2" t="n">
        <v>1212.7</v>
      </c>
      <c r="N280" s="2" t="n">
        <v>184.4</v>
      </c>
      <c r="O280" s="2" t="n">
        <v>65762.89999999999</v>
      </c>
      <c r="P280" s="2" t="n">
        <v>177.6</v>
      </c>
      <c r="Q280" s="2" t="n">
        <v>1.56</v>
      </c>
      <c r="R280" s="2" t="n">
        <v>220.39</v>
      </c>
      <c r="S280" s="5">
        <f>G280/F280</f>
        <v/>
      </c>
      <c r="T280" s="5">
        <f>MAX(0,1-J280/8)</f>
        <v/>
      </c>
      <c r="U280" s="5">
        <f>IFERROR(G280/(F280*T280),0)</f>
        <v/>
      </c>
      <c r="V280" s="5">
        <f>IFERROR(H280/G280,0)</f>
        <v/>
      </c>
      <c r="W280" s="5">
        <f>T280*U280*V280</f>
        <v/>
      </c>
      <c r="X280" s="5">
        <f>IFERROR(I280/G280,0)</f>
        <v/>
      </c>
      <c r="Y280" s="6">
        <f>IFERROR(G280/M280,0)</f>
        <v/>
      </c>
      <c r="Z280" s="6">
        <f>IFERROR(O280/G280,0)</f>
        <v/>
      </c>
      <c r="AA280" s="2">
        <f>IF(L280="None","No Maintenance",IF(L280="Preventive","Planned","Breakdown"))</f>
        <v/>
      </c>
    </row>
    <row r="281">
      <c r="A281" s="2" t="n">
        <v>277</v>
      </c>
      <c r="B281" s="4" t="n">
        <v>46115</v>
      </c>
      <c r="C281" s="2" t="inlineStr">
        <is>
          <t>Day</t>
        </is>
      </c>
      <c r="D281" s="2" t="inlineStr">
        <is>
          <t>Line 1</t>
        </is>
      </c>
      <c r="E281" s="2" t="inlineStr">
        <is>
          <t>Salt &amp; Vinegar</t>
        </is>
      </c>
      <c r="F281" s="2" t="n">
        <v>1046</v>
      </c>
      <c r="G281" s="2" t="n">
        <v>902.3</v>
      </c>
      <c r="H281" s="2" t="n">
        <v>893</v>
      </c>
      <c r="I281" s="2" t="n">
        <v>9.300000000000001</v>
      </c>
      <c r="J281" s="2" t="n">
        <v>0.52</v>
      </c>
      <c r="K281" s="2" t="inlineStr">
        <is>
          <t>Raw Material Shortage</t>
        </is>
      </c>
      <c r="L281" s="2" t="inlineStr">
        <is>
          <t>Corrective</t>
        </is>
      </c>
      <c r="M281" s="2" t="n">
        <v>1878.1</v>
      </c>
      <c r="N281" s="2" t="n">
        <v>317.5</v>
      </c>
      <c r="O281" s="2" t="n">
        <v>116211.6</v>
      </c>
      <c r="P281" s="2" t="n">
        <v>176.1</v>
      </c>
      <c r="Q281" s="2" t="n">
        <v>1.46</v>
      </c>
      <c r="R281" s="2" t="n">
        <v>401.14</v>
      </c>
      <c r="S281" s="5">
        <f>G281/F281</f>
        <v/>
      </c>
      <c r="T281" s="5">
        <f>MAX(0,1-J281/8)</f>
        <v/>
      </c>
      <c r="U281" s="5">
        <f>IFERROR(G281/(F281*T281),0)</f>
        <v/>
      </c>
      <c r="V281" s="5">
        <f>IFERROR(H281/G281,0)</f>
        <v/>
      </c>
      <c r="W281" s="5">
        <f>T281*U281*V281</f>
        <v/>
      </c>
      <c r="X281" s="5">
        <f>IFERROR(I281/G281,0)</f>
        <v/>
      </c>
      <c r="Y281" s="6">
        <f>IFERROR(G281/M281,0)</f>
        <v/>
      </c>
      <c r="Z281" s="6">
        <f>IFERROR(O281/G281,0)</f>
        <v/>
      </c>
      <c r="AA281" s="2">
        <f>IF(L281="None","No Maintenance",IF(L281="Preventive","Planned","Breakdown"))</f>
        <v/>
      </c>
    </row>
    <row r="282">
      <c r="A282" s="2" t="n">
        <v>278</v>
      </c>
      <c r="B282" s="4" t="n">
        <v>46115</v>
      </c>
      <c r="C282" s="2" t="inlineStr">
        <is>
          <t>Evening</t>
        </is>
      </c>
      <c r="D282" s="2" t="inlineStr">
        <is>
          <t>Line 2</t>
        </is>
      </c>
      <c r="E282" s="2" t="inlineStr">
        <is>
          <t>Classic Chips</t>
        </is>
      </c>
      <c r="F282" s="2" t="n">
        <v>1048</v>
      </c>
      <c r="G282" s="2" t="n">
        <v>677.7</v>
      </c>
      <c r="H282" s="2" t="n">
        <v>673.1</v>
      </c>
      <c r="I282" s="2" t="n">
        <v>4.7</v>
      </c>
      <c r="J282" s="2" t="n">
        <v>3.63</v>
      </c>
      <c r="K282" s="2" t="inlineStr">
        <is>
          <t>Fryer Temperature</t>
        </is>
      </c>
      <c r="L282" s="2" t="inlineStr">
        <is>
          <t>Corrective</t>
        </is>
      </c>
      <c r="M282" s="2" t="n">
        <v>1364.9</v>
      </c>
      <c r="N282" s="2" t="n">
        <v>228.8</v>
      </c>
      <c r="O282" s="2" t="n">
        <v>76758.7</v>
      </c>
      <c r="P282" s="2" t="n">
        <v>179.1</v>
      </c>
      <c r="Q282" s="2" t="n">
        <v>1.35</v>
      </c>
      <c r="R282" s="2" t="n">
        <v>717.91</v>
      </c>
      <c r="S282" s="5">
        <f>G282/F282</f>
        <v/>
      </c>
      <c r="T282" s="5">
        <f>MAX(0,1-J282/8)</f>
        <v/>
      </c>
      <c r="U282" s="5">
        <f>IFERROR(G282/(F282*T282),0)</f>
        <v/>
      </c>
      <c r="V282" s="5">
        <f>IFERROR(H282/G282,0)</f>
        <v/>
      </c>
      <c r="W282" s="5">
        <f>T282*U282*V282</f>
        <v/>
      </c>
      <c r="X282" s="5">
        <f>IFERROR(I282/G282,0)</f>
        <v/>
      </c>
      <c r="Y282" s="6">
        <f>IFERROR(G282/M282,0)</f>
        <v/>
      </c>
      <c r="Z282" s="6">
        <f>IFERROR(O282/G282,0)</f>
        <v/>
      </c>
      <c r="AA282" s="2">
        <f>IF(L282="None","No Maintenance",IF(L282="Preventive","Planned","Breakdown"))</f>
        <v/>
      </c>
    </row>
    <row r="283">
      <c r="A283" s="2" t="n">
        <v>279</v>
      </c>
      <c r="B283" s="4" t="n">
        <v>46115</v>
      </c>
      <c r="C283" s="2" t="inlineStr">
        <is>
          <t>Night</t>
        </is>
      </c>
      <c r="D283" s="2" t="inlineStr">
        <is>
          <t>Line 1</t>
        </is>
      </c>
      <c r="E283" s="2" t="inlineStr">
        <is>
          <t>Classic Chips</t>
        </is>
      </c>
      <c r="F283" s="2" t="n">
        <v>950</v>
      </c>
      <c r="G283" s="2" t="n">
        <v>873.5</v>
      </c>
      <c r="H283" s="2" t="n">
        <v>855.1</v>
      </c>
      <c r="I283" s="2" t="n">
        <v>18.4</v>
      </c>
      <c r="J283" s="2" t="n">
        <v>0.05</v>
      </c>
      <c r="K283" s="2" t="inlineStr">
        <is>
          <t>No Downtime</t>
        </is>
      </c>
      <c r="L283" s="2" t="inlineStr">
        <is>
          <t>None</t>
        </is>
      </c>
      <c r="M283" s="2" t="n">
        <v>1780.2</v>
      </c>
      <c r="N283" s="2" t="n">
        <v>275.4</v>
      </c>
      <c r="O283" s="2" t="n">
        <v>101983.9</v>
      </c>
      <c r="P283" s="2" t="n">
        <v>172.2</v>
      </c>
      <c r="Q283" s="2" t="n">
        <v>1.8</v>
      </c>
      <c r="R283" s="2" t="n">
        <v>0</v>
      </c>
      <c r="S283" s="5">
        <f>G283/F283</f>
        <v/>
      </c>
      <c r="T283" s="5">
        <f>MAX(0,1-J283/8)</f>
        <v/>
      </c>
      <c r="U283" s="5">
        <f>IFERROR(G283/(F283*T283),0)</f>
        <v/>
      </c>
      <c r="V283" s="5">
        <f>IFERROR(H283/G283,0)</f>
        <v/>
      </c>
      <c r="W283" s="5">
        <f>T283*U283*V283</f>
        <v/>
      </c>
      <c r="X283" s="5">
        <f>IFERROR(I283/G283,0)</f>
        <v/>
      </c>
      <c r="Y283" s="6">
        <f>IFERROR(G283/M283,0)</f>
        <v/>
      </c>
      <c r="Z283" s="6">
        <f>IFERROR(O283/G283,0)</f>
        <v/>
      </c>
      <c r="AA283" s="2">
        <f>IF(L283="None","No Maintenance",IF(L283="Preventive","Planned","Breakdown"))</f>
        <v/>
      </c>
    </row>
    <row r="284">
      <c r="A284" s="2" t="n">
        <v>280</v>
      </c>
      <c r="B284" s="4" t="n">
        <v>46116</v>
      </c>
      <c r="C284" s="2" t="inlineStr">
        <is>
          <t>Day</t>
        </is>
      </c>
      <c r="D284" s="2" t="inlineStr">
        <is>
          <t>Line 2</t>
        </is>
      </c>
      <c r="E284" s="2" t="inlineStr">
        <is>
          <t>Classic Chips</t>
        </is>
      </c>
      <c r="F284" s="2" t="n">
        <v>1011</v>
      </c>
      <c r="G284" s="2" t="n">
        <v>747.1</v>
      </c>
      <c r="H284" s="2" t="n">
        <v>742.2</v>
      </c>
      <c r="I284" s="2" t="n">
        <v>4.9</v>
      </c>
      <c r="J284" s="2" t="n">
        <v>1.17</v>
      </c>
      <c r="K284" s="2" t="inlineStr">
        <is>
          <t>Raw Material Shortage</t>
        </is>
      </c>
      <c r="L284" s="2" t="inlineStr">
        <is>
          <t>Corrective</t>
        </is>
      </c>
      <c r="M284" s="2" t="n">
        <v>1511.6</v>
      </c>
      <c r="N284" s="2" t="n">
        <v>227.2</v>
      </c>
      <c r="O284" s="2" t="n">
        <v>86293.10000000001</v>
      </c>
      <c r="P284" s="2" t="n">
        <v>173.3</v>
      </c>
      <c r="Q284" s="2" t="n">
        <v>1.93</v>
      </c>
      <c r="R284" s="2" t="n">
        <v>755.89</v>
      </c>
      <c r="S284" s="5">
        <f>G284/F284</f>
        <v/>
      </c>
      <c r="T284" s="5">
        <f>MAX(0,1-J284/8)</f>
        <v/>
      </c>
      <c r="U284" s="5">
        <f>IFERROR(G284/(F284*T284),0)</f>
        <v/>
      </c>
      <c r="V284" s="5">
        <f>IFERROR(H284/G284,0)</f>
        <v/>
      </c>
      <c r="W284" s="5">
        <f>T284*U284*V284</f>
        <v/>
      </c>
      <c r="X284" s="5">
        <f>IFERROR(I284/G284,0)</f>
        <v/>
      </c>
      <c r="Y284" s="6">
        <f>IFERROR(G284/M284,0)</f>
        <v/>
      </c>
      <c r="Z284" s="6">
        <f>IFERROR(O284/G284,0)</f>
        <v/>
      </c>
      <c r="AA284" s="2">
        <f>IF(L284="None","No Maintenance",IF(L284="Preventive","Planned","Breakdown"))</f>
        <v/>
      </c>
    </row>
    <row r="285">
      <c r="A285" s="2" t="n">
        <v>281</v>
      </c>
      <c r="B285" s="4" t="n">
        <v>46116</v>
      </c>
      <c r="C285" s="2" t="inlineStr">
        <is>
          <t>Evening</t>
        </is>
      </c>
      <c r="D285" s="2" t="inlineStr">
        <is>
          <t>Line 2</t>
        </is>
      </c>
      <c r="E285" s="2" t="inlineStr">
        <is>
          <t>Paprika Chips</t>
        </is>
      </c>
      <c r="F285" s="2" t="n">
        <v>979</v>
      </c>
      <c r="G285" s="2" t="n">
        <v>596</v>
      </c>
      <c r="H285" s="2" t="n">
        <v>589.7</v>
      </c>
      <c r="I285" s="2" t="n">
        <v>6.3</v>
      </c>
      <c r="J285" s="2" t="n">
        <v>2.99</v>
      </c>
      <c r="K285" s="2" t="inlineStr">
        <is>
          <t>Planned Maintenance</t>
        </is>
      </c>
      <c r="L285" s="2" t="inlineStr">
        <is>
          <t>Preventive</t>
        </is>
      </c>
      <c r="M285" s="2" t="n">
        <v>1275</v>
      </c>
      <c r="N285" s="2" t="n">
        <v>206.8</v>
      </c>
      <c r="O285" s="2" t="n">
        <v>68956.10000000001</v>
      </c>
      <c r="P285" s="2" t="n">
        <v>180.7</v>
      </c>
      <c r="Q285" s="2" t="n">
        <v>1.5</v>
      </c>
      <c r="R285" s="2" t="n">
        <v>210.2</v>
      </c>
      <c r="S285" s="5">
        <f>G285/F285</f>
        <v/>
      </c>
      <c r="T285" s="5">
        <f>MAX(0,1-J285/8)</f>
        <v/>
      </c>
      <c r="U285" s="5">
        <f>IFERROR(G285/(F285*T285),0)</f>
        <v/>
      </c>
      <c r="V285" s="5">
        <f>IFERROR(H285/G285,0)</f>
        <v/>
      </c>
      <c r="W285" s="5">
        <f>T285*U285*V285</f>
        <v/>
      </c>
      <c r="X285" s="5">
        <f>IFERROR(I285/G285,0)</f>
        <v/>
      </c>
      <c r="Y285" s="6">
        <f>IFERROR(G285/M285,0)</f>
        <v/>
      </c>
      <c r="Z285" s="6">
        <f>IFERROR(O285/G285,0)</f>
        <v/>
      </c>
      <c r="AA285" s="2">
        <f>IF(L285="None","No Maintenance",IF(L285="Preventive","Planned","Breakdown"))</f>
        <v/>
      </c>
    </row>
    <row r="286">
      <c r="A286" s="2" t="n">
        <v>282</v>
      </c>
      <c r="B286" s="4" t="n">
        <v>46116</v>
      </c>
      <c r="C286" s="2" t="inlineStr">
        <is>
          <t>Night</t>
        </is>
      </c>
      <c r="D286" s="2" t="inlineStr">
        <is>
          <t>Line 1</t>
        </is>
      </c>
      <c r="E286" s="2" t="inlineStr">
        <is>
          <t>Classic Chips</t>
        </is>
      </c>
      <c r="F286" s="2" t="n">
        <v>987</v>
      </c>
      <c r="G286" s="2" t="n">
        <v>693.7</v>
      </c>
      <c r="H286" s="2" t="n">
        <v>677.2</v>
      </c>
      <c r="I286" s="2" t="n">
        <v>16.6</v>
      </c>
      <c r="J286" s="2" t="n">
        <v>1.6</v>
      </c>
      <c r="K286" s="2" t="inlineStr">
        <is>
          <t>Conveyor Jam</t>
        </is>
      </c>
      <c r="L286" s="2" t="inlineStr">
        <is>
          <t>Corrective</t>
        </is>
      </c>
      <c r="M286" s="2" t="n">
        <v>1392.7</v>
      </c>
      <c r="N286" s="2" t="n">
        <v>233.2</v>
      </c>
      <c r="O286" s="2" t="n">
        <v>77057</v>
      </c>
      <c r="P286" s="2" t="n">
        <v>179</v>
      </c>
      <c r="Q286" s="2" t="n">
        <v>1.68</v>
      </c>
      <c r="R286" s="2" t="n">
        <v>327.14</v>
      </c>
      <c r="S286" s="5">
        <f>G286/F286</f>
        <v/>
      </c>
      <c r="T286" s="5">
        <f>MAX(0,1-J286/8)</f>
        <v/>
      </c>
      <c r="U286" s="5">
        <f>IFERROR(G286/(F286*T286),0)</f>
        <v/>
      </c>
      <c r="V286" s="5">
        <f>IFERROR(H286/G286,0)</f>
        <v/>
      </c>
      <c r="W286" s="5">
        <f>T286*U286*V286</f>
        <v/>
      </c>
      <c r="X286" s="5">
        <f>IFERROR(I286/G286,0)</f>
        <v/>
      </c>
      <c r="Y286" s="6">
        <f>IFERROR(G286/M286,0)</f>
        <v/>
      </c>
      <c r="Z286" s="6">
        <f>IFERROR(O286/G286,0)</f>
        <v/>
      </c>
      <c r="AA286" s="2">
        <f>IF(L286="None","No Maintenance",IF(L286="Preventive","Planned","Breakdown"))</f>
        <v/>
      </c>
    </row>
    <row r="287">
      <c r="A287" s="2" t="n">
        <v>283</v>
      </c>
      <c r="B287" s="4" t="n">
        <v>46117</v>
      </c>
      <c r="C287" s="2" t="inlineStr">
        <is>
          <t>Day</t>
        </is>
      </c>
      <c r="D287" s="2" t="inlineStr">
        <is>
          <t>Line 2</t>
        </is>
      </c>
      <c r="E287" s="2" t="inlineStr">
        <is>
          <t>Paprika Chips</t>
        </is>
      </c>
      <c r="F287" s="2" t="n">
        <v>928</v>
      </c>
      <c r="G287" s="2" t="n">
        <v>715.6</v>
      </c>
      <c r="H287" s="2" t="n">
        <v>708.1</v>
      </c>
      <c r="I287" s="2" t="n">
        <v>7.5</v>
      </c>
      <c r="J287" s="2" t="n">
        <v>1.63</v>
      </c>
      <c r="K287" s="2" t="inlineStr">
        <is>
          <t>Electrical Fault</t>
        </is>
      </c>
      <c r="L287" s="2" t="inlineStr">
        <is>
          <t>Corrective</t>
        </is>
      </c>
      <c r="M287" s="2" t="n">
        <v>1472.8</v>
      </c>
      <c r="N287" s="2" t="n">
        <v>236.8</v>
      </c>
      <c r="O287" s="2" t="n">
        <v>87656.8</v>
      </c>
      <c r="P287" s="2" t="n">
        <v>175.9</v>
      </c>
      <c r="Q287" s="2" t="n">
        <v>1.63</v>
      </c>
      <c r="R287" s="2" t="n">
        <v>510.75</v>
      </c>
      <c r="S287" s="5">
        <f>G287/F287</f>
        <v/>
      </c>
      <c r="T287" s="5">
        <f>MAX(0,1-J287/8)</f>
        <v/>
      </c>
      <c r="U287" s="5">
        <f>IFERROR(G287/(F287*T287),0)</f>
        <v/>
      </c>
      <c r="V287" s="5">
        <f>IFERROR(H287/G287,0)</f>
        <v/>
      </c>
      <c r="W287" s="5">
        <f>T287*U287*V287</f>
        <v/>
      </c>
      <c r="X287" s="5">
        <f>IFERROR(I287/G287,0)</f>
        <v/>
      </c>
      <c r="Y287" s="6">
        <f>IFERROR(G287/M287,0)</f>
        <v/>
      </c>
      <c r="Z287" s="6">
        <f>IFERROR(O287/G287,0)</f>
        <v/>
      </c>
      <c r="AA287" s="2">
        <f>IF(L287="None","No Maintenance",IF(L287="Preventive","Planned","Breakdown"))</f>
        <v/>
      </c>
    </row>
    <row r="288">
      <c r="A288" s="2" t="n">
        <v>284</v>
      </c>
      <c r="B288" s="4" t="n">
        <v>46117</v>
      </c>
      <c r="C288" s="2" t="inlineStr">
        <is>
          <t>Evening</t>
        </is>
      </c>
      <c r="D288" s="2" t="inlineStr">
        <is>
          <t>Line 1</t>
        </is>
      </c>
      <c r="E288" s="2" t="inlineStr">
        <is>
          <t>Salt &amp; Vinegar</t>
        </is>
      </c>
      <c r="F288" s="2" t="n">
        <v>953</v>
      </c>
      <c r="G288" s="2" t="n">
        <v>654.3</v>
      </c>
      <c r="H288" s="2" t="n">
        <v>644.6</v>
      </c>
      <c r="I288" s="2" t="n">
        <v>9.699999999999999</v>
      </c>
      <c r="J288" s="2" t="n">
        <v>1.95</v>
      </c>
      <c r="K288" s="2" t="inlineStr">
        <is>
          <t>Raw Material Shortage</t>
        </is>
      </c>
      <c r="L288" s="2" t="inlineStr">
        <is>
          <t>Emergency</t>
        </is>
      </c>
      <c r="M288" s="2" t="n">
        <v>1337.8</v>
      </c>
      <c r="N288" s="2" t="n">
        <v>194.8</v>
      </c>
      <c r="O288" s="2" t="n">
        <v>79626.10000000001</v>
      </c>
      <c r="P288" s="2" t="n">
        <v>175.8</v>
      </c>
      <c r="Q288" s="2" t="n">
        <v>1.77</v>
      </c>
      <c r="R288" s="2" t="n">
        <v>956.6</v>
      </c>
      <c r="S288" s="5">
        <f>G288/F288</f>
        <v/>
      </c>
      <c r="T288" s="5">
        <f>MAX(0,1-J288/8)</f>
        <v/>
      </c>
      <c r="U288" s="5">
        <f>IFERROR(G288/(F288*T288),0)</f>
        <v/>
      </c>
      <c r="V288" s="5">
        <f>IFERROR(H288/G288,0)</f>
        <v/>
      </c>
      <c r="W288" s="5">
        <f>T288*U288*V288</f>
        <v/>
      </c>
      <c r="X288" s="5">
        <f>IFERROR(I288/G288,0)</f>
        <v/>
      </c>
      <c r="Y288" s="6">
        <f>IFERROR(G288/M288,0)</f>
        <v/>
      </c>
      <c r="Z288" s="6">
        <f>IFERROR(O288/G288,0)</f>
        <v/>
      </c>
      <c r="AA288" s="2">
        <f>IF(L288="None","No Maintenance",IF(L288="Preventive","Planned","Breakdown"))</f>
        <v/>
      </c>
    </row>
    <row r="289">
      <c r="A289" s="2" t="n">
        <v>285</v>
      </c>
      <c r="B289" s="4" t="n">
        <v>46117</v>
      </c>
      <c r="C289" s="2" t="inlineStr">
        <is>
          <t>Night</t>
        </is>
      </c>
      <c r="D289" s="2" t="inlineStr">
        <is>
          <t>Line 2</t>
        </is>
      </c>
      <c r="E289" s="2" t="inlineStr">
        <is>
          <t>Salt &amp; Vinegar</t>
        </is>
      </c>
      <c r="F289" s="2" t="n">
        <v>1011</v>
      </c>
      <c r="G289" s="2" t="n">
        <v>857.6</v>
      </c>
      <c r="H289" s="2" t="n">
        <v>844.8</v>
      </c>
      <c r="I289" s="2" t="n">
        <v>12.8</v>
      </c>
      <c r="J289" s="2" t="n">
        <v>0.36</v>
      </c>
      <c r="K289" s="2" t="inlineStr">
        <is>
          <t>No Downtime</t>
        </is>
      </c>
      <c r="L289" s="2" t="inlineStr">
        <is>
          <t>None</t>
        </is>
      </c>
      <c r="M289" s="2" t="n">
        <v>1709.6</v>
      </c>
      <c r="N289" s="2" t="n">
        <v>288.4</v>
      </c>
      <c r="O289" s="2" t="n">
        <v>98428.3</v>
      </c>
      <c r="P289" s="2" t="n">
        <v>172</v>
      </c>
      <c r="Q289" s="2" t="n">
        <v>1.3</v>
      </c>
      <c r="R289" s="2" t="n">
        <v>0</v>
      </c>
      <c r="S289" s="5">
        <f>G289/F289</f>
        <v/>
      </c>
      <c r="T289" s="5">
        <f>MAX(0,1-J289/8)</f>
        <v/>
      </c>
      <c r="U289" s="5">
        <f>IFERROR(G289/(F289*T289),0)</f>
        <v/>
      </c>
      <c r="V289" s="5">
        <f>IFERROR(H289/G289,0)</f>
        <v/>
      </c>
      <c r="W289" s="5">
        <f>T289*U289*V289</f>
        <v/>
      </c>
      <c r="X289" s="5">
        <f>IFERROR(I289/G289,0)</f>
        <v/>
      </c>
      <c r="Y289" s="6">
        <f>IFERROR(G289/M289,0)</f>
        <v/>
      </c>
      <c r="Z289" s="6">
        <f>IFERROR(O289/G289,0)</f>
        <v/>
      </c>
      <c r="AA289" s="2">
        <f>IF(L289="None","No Maintenance",IF(L289="Preventive","Planned","Breakdown"))</f>
        <v/>
      </c>
    </row>
    <row r="290">
      <c r="A290" s="2" t="n">
        <v>286</v>
      </c>
      <c r="B290" s="4" t="n">
        <v>46118</v>
      </c>
      <c r="C290" s="2" t="inlineStr">
        <is>
          <t>Day</t>
        </is>
      </c>
      <c r="D290" s="2" t="inlineStr">
        <is>
          <t>Line 2</t>
        </is>
      </c>
      <c r="E290" s="2" t="inlineStr">
        <is>
          <t>Classic Chips</t>
        </is>
      </c>
      <c r="F290" s="2" t="n">
        <v>922</v>
      </c>
      <c r="G290" s="2" t="n">
        <v>766.2</v>
      </c>
      <c r="H290" s="2" t="n">
        <v>749.2</v>
      </c>
      <c r="I290" s="2" t="n">
        <v>16.9</v>
      </c>
      <c r="J290" s="2" t="n">
        <v>0.66</v>
      </c>
      <c r="K290" s="2" t="inlineStr">
        <is>
          <t>Fryer Temperature</t>
        </is>
      </c>
      <c r="L290" s="2" t="inlineStr">
        <is>
          <t>Corrective</t>
        </is>
      </c>
      <c r="M290" s="2" t="n">
        <v>1559.6</v>
      </c>
      <c r="N290" s="2" t="n">
        <v>237</v>
      </c>
      <c r="O290" s="2" t="n">
        <v>94722.10000000001</v>
      </c>
      <c r="P290" s="2" t="n">
        <v>177.5</v>
      </c>
      <c r="Q290" s="2" t="n">
        <v>1.53</v>
      </c>
      <c r="R290" s="2" t="n">
        <v>797.3</v>
      </c>
      <c r="S290" s="5">
        <f>G290/F290</f>
        <v/>
      </c>
      <c r="T290" s="5">
        <f>MAX(0,1-J290/8)</f>
        <v/>
      </c>
      <c r="U290" s="5">
        <f>IFERROR(G290/(F290*T290),0)</f>
        <v/>
      </c>
      <c r="V290" s="5">
        <f>IFERROR(H290/G290,0)</f>
        <v/>
      </c>
      <c r="W290" s="5">
        <f>T290*U290*V290</f>
        <v/>
      </c>
      <c r="X290" s="5">
        <f>IFERROR(I290/G290,0)</f>
        <v/>
      </c>
      <c r="Y290" s="6">
        <f>IFERROR(G290/M290,0)</f>
        <v/>
      </c>
      <c r="Z290" s="6">
        <f>IFERROR(O290/G290,0)</f>
        <v/>
      </c>
      <c r="AA290" s="2">
        <f>IF(L290="None","No Maintenance",IF(L290="Preventive","Planned","Breakdown"))</f>
        <v/>
      </c>
    </row>
    <row r="291">
      <c r="A291" s="2" t="n">
        <v>287</v>
      </c>
      <c r="B291" s="4" t="n">
        <v>46118</v>
      </c>
      <c r="C291" s="2" t="inlineStr">
        <is>
          <t>Evening</t>
        </is>
      </c>
      <c r="D291" s="2" t="inlineStr">
        <is>
          <t>Line 1</t>
        </is>
      </c>
      <c r="E291" s="2" t="inlineStr">
        <is>
          <t>Classic Chips</t>
        </is>
      </c>
      <c r="F291" s="2" t="n">
        <v>976</v>
      </c>
      <c r="G291" s="2" t="n">
        <v>686</v>
      </c>
      <c r="H291" s="2" t="n">
        <v>677.5</v>
      </c>
      <c r="I291" s="2" t="n">
        <v>8.5</v>
      </c>
      <c r="J291" s="2" t="n">
        <v>2.09</v>
      </c>
      <c r="K291" s="2" t="inlineStr">
        <is>
          <t>Electrical Fault</t>
        </is>
      </c>
      <c r="L291" s="2" t="inlineStr">
        <is>
          <t>Corrective</t>
        </is>
      </c>
      <c r="M291" s="2" t="n">
        <v>1383.7</v>
      </c>
      <c r="N291" s="2" t="n">
        <v>217.8</v>
      </c>
      <c r="O291" s="2" t="n">
        <v>77343.2</v>
      </c>
      <c r="P291" s="2" t="n">
        <v>186.2</v>
      </c>
      <c r="Q291" s="2" t="n">
        <v>1.73</v>
      </c>
      <c r="R291" s="2" t="n">
        <v>560.5</v>
      </c>
      <c r="S291" s="5">
        <f>G291/F291</f>
        <v/>
      </c>
      <c r="T291" s="5">
        <f>MAX(0,1-J291/8)</f>
        <v/>
      </c>
      <c r="U291" s="5">
        <f>IFERROR(G291/(F291*T291),0)</f>
        <v/>
      </c>
      <c r="V291" s="5">
        <f>IFERROR(H291/G291,0)</f>
        <v/>
      </c>
      <c r="W291" s="5">
        <f>T291*U291*V291</f>
        <v/>
      </c>
      <c r="X291" s="5">
        <f>IFERROR(I291/G291,0)</f>
        <v/>
      </c>
      <c r="Y291" s="6">
        <f>IFERROR(G291/M291,0)</f>
        <v/>
      </c>
      <c r="Z291" s="6">
        <f>IFERROR(O291/G291,0)</f>
        <v/>
      </c>
      <c r="AA291" s="2">
        <f>IF(L291="None","No Maintenance",IF(L291="Preventive","Planned","Breakdown"))</f>
        <v/>
      </c>
    </row>
    <row r="292">
      <c r="A292" s="2" t="n">
        <v>288</v>
      </c>
      <c r="B292" s="4" t="n">
        <v>46118</v>
      </c>
      <c r="C292" s="2" t="inlineStr">
        <is>
          <t>Night</t>
        </is>
      </c>
      <c r="D292" s="2" t="inlineStr">
        <is>
          <t>Line 1</t>
        </is>
      </c>
      <c r="E292" s="2" t="inlineStr">
        <is>
          <t>Salt &amp; Vinegar</t>
        </is>
      </c>
      <c r="F292" s="2" t="n">
        <v>1043</v>
      </c>
      <c r="G292" s="2" t="n">
        <v>795.3</v>
      </c>
      <c r="H292" s="2" t="n">
        <v>770.8</v>
      </c>
      <c r="I292" s="2" t="n">
        <v>24.5</v>
      </c>
      <c r="J292" s="2" t="n">
        <v>1.01</v>
      </c>
      <c r="K292" s="2" t="inlineStr">
        <is>
          <t>Packaging Machine</t>
        </is>
      </c>
      <c r="L292" s="2" t="inlineStr">
        <is>
          <t>Corrective</t>
        </is>
      </c>
      <c r="M292" s="2" t="n">
        <v>1570.9</v>
      </c>
      <c r="N292" s="2" t="n">
        <v>254.1</v>
      </c>
      <c r="O292" s="2" t="n">
        <v>84610.89999999999</v>
      </c>
      <c r="P292" s="2" t="n">
        <v>172.8</v>
      </c>
      <c r="Q292" s="2" t="n">
        <v>1.83</v>
      </c>
      <c r="R292" s="2" t="n">
        <v>892.78</v>
      </c>
      <c r="S292" s="5">
        <f>G292/F292</f>
        <v/>
      </c>
      <c r="T292" s="5">
        <f>MAX(0,1-J292/8)</f>
        <v/>
      </c>
      <c r="U292" s="5">
        <f>IFERROR(G292/(F292*T292),0)</f>
        <v/>
      </c>
      <c r="V292" s="5">
        <f>IFERROR(H292/G292,0)</f>
        <v/>
      </c>
      <c r="W292" s="5">
        <f>T292*U292*V292</f>
        <v/>
      </c>
      <c r="X292" s="5">
        <f>IFERROR(I292/G292,0)</f>
        <v/>
      </c>
      <c r="Y292" s="6">
        <f>IFERROR(G292/M292,0)</f>
        <v/>
      </c>
      <c r="Z292" s="6">
        <f>IFERROR(O292/G292,0)</f>
        <v/>
      </c>
      <c r="AA292" s="2">
        <f>IF(L292="None","No Maintenance",IF(L292="Preventive","Planned","Breakdown"))</f>
        <v/>
      </c>
    </row>
    <row r="293">
      <c r="A293" s="2" t="n">
        <v>289</v>
      </c>
      <c r="B293" s="4" t="n">
        <v>46119</v>
      </c>
      <c r="C293" s="2" t="inlineStr">
        <is>
          <t>Day</t>
        </is>
      </c>
      <c r="D293" s="2" t="inlineStr">
        <is>
          <t>Line 2</t>
        </is>
      </c>
      <c r="E293" s="2" t="inlineStr">
        <is>
          <t>Classic Chips</t>
        </is>
      </c>
      <c r="F293" s="2" t="n">
        <v>1050</v>
      </c>
      <c r="G293" s="2" t="n">
        <v>929.5</v>
      </c>
      <c r="H293" s="2" t="n">
        <v>911.4</v>
      </c>
      <c r="I293" s="2" t="n">
        <v>18.1</v>
      </c>
      <c r="J293" s="2" t="n">
        <v>0.09</v>
      </c>
      <c r="K293" s="2" t="inlineStr">
        <is>
          <t>No Downtime</t>
        </is>
      </c>
      <c r="L293" s="2" t="inlineStr">
        <is>
          <t>None</t>
        </is>
      </c>
      <c r="M293" s="2" t="n">
        <v>1965.1</v>
      </c>
      <c r="N293" s="2" t="n">
        <v>299.5</v>
      </c>
      <c r="O293" s="2" t="n">
        <v>98248.8</v>
      </c>
      <c r="P293" s="2" t="n">
        <v>183.2</v>
      </c>
      <c r="Q293" s="2" t="n">
        <v>1.63</v>
      </c>
      <c r="R293" s="2" t="n">
        <v>0</v>
      </c>
      <c r="S293" s="5">
        <f>G293/F293</f>
        <v/>
      </c>
      <c r="T293" s="5">
        <f>MAX(0,1-J293/8)</f>
        <v/>
      </c>
      <c r="U293" s="5">
        <f>IFERROR(G293/(F293*T293),0)</f>
        <v/>
      </c>
      <c r="V293" s="5">
        <f>IFERROR(H293/G293,0)</f>
        <v/>
      </c>
      <c r="W293" s="5">
        <f>T293*U293*V293</f>
        <v/>
      </c>
      <c r="X293" s="5">
        <f>IFERROR(I293/G293,0)</f>
        <v/>
      </c>
      <c r="Y293" s="6">
        <f>IFERROR(G293/M293,0)</f>
        <v/>
      </c>
      <c r="Z293" s="6">
        <f>IFERROR(O293/G293,0)</f>
        <v/>
      </c>
      <c r="AA293" s="2">
        <f>IF(L293="None","No Maintenance",IF(L293="Preventive","Planned","Breakdown"))</f>
        <v/>
      </c>
    </row>
    <row r="294">
      <c r="A294" s="2" t="n">
        <v>290</v>
      </c>
      <c r="B294" s="4" t="n">
        <v>46119</v>
      </c>
      <c r="C294" s="2" t="inlineStr">
        <is>
          <t>Evening</t>
        </is>
      </c>
      <c r="D294" s="2" t="inlineStr">
        <is>
          <t>Line 1</t>
        </is>
      </c>
      <c r="E294" s="2" t="inlineStr">
        <is>
          <t>Classic Chips</t>
        </is>
      </c>
      <c r="F294" s="2" t="n">
        <v>1046</v>
      </c>
      <c r="G294" s="2" t="n">
        <v>931.4</v>
      </c>
      <c r="H294" s="2" t="n">
        <v>925.7</v>
      </c>
      <c r="I294" s="2" t="n">
        <v>5.7</v>
      </c>
      <c r="J294" s="2" t="n">
        <v>0.27</v>
      </c>
      <c r="K294" s="2" t="inlineStr">
        <is>
          <t>No Downtime</t>
        </is>
      </c>
      <c r="L294" s="2" t="inlineStr">
        <is>
          <t>None</t>
        </is>
      </c>
      <c r="M294" s="2" t="n">
        <v>1943.3</v>
      </c>
      <c r="N294" s="2" t="n">
        <v>276.1</v>
      </c>
      <c r="O294" s="2" t="n">
        <v>108668.4</v>
      </c>
      <c r="P294" s="2" t="n">
        <v>180.8</v>
      </c>
      <c r="Q294" s="2" t="n">
        <v>1.66</v>
      </c>
      <c r="R294" s="2" t="n">
        <v>0</v>
      </c>
      <c r="S294" s="5">
        <f>G294/F294</f>
        <v/>
      </c>
      <c r="T294" s="5">
        <f>MAX(0,1-J294/8)</f>
        <v/>
      </c>
      <c r="U294" s="5">
        <f>IFERROR(G294/(F294*T294),0)</f>
        <v/>
      </c>
      <c r="V294" s="5">
        <f>IFERROR(H294/G294,0)</f>
        <v/>
      </c>
      <c r="W294" s="5">
        <f>T294*U294*V294</f>
        <v/>
      </c>
      <c r="X294" s="5">
        <f>IFERROR(I294/G294,0)</f>
        <v/>
      </c>
      <c r="Y294" s="6">
        <f>IFERROR(G294/M294,0)</f>
        <v/>
      </c>
      <c r="Z294" s="6">
        <f>IFERROR(O294/G294,0)</f>
        <v/>
      </c>
      <c r="AA294" s="2">
        <f>IF(L294="None","No Maintenance",IF(L294="Preventive","Planned","Breakdown"))</f>
        <v/>
      </c>
    </row>
    <row r="295">
      <c r="A295" s="2" t="n">
        <v>291</v>
      </c>
      <c r="B295" s="4" t="n">
        <v>46119</v>
      </c>
      <c r="C295" s="2" t="inlineStr">
        <is>
          <t>Night</t>
        </is>
      </c>
      <c r="D295" s="2" t="inlineStr">
        <is>
          <t>Line 2</t>
        </is>
      </c>
      <c r="E295" s="2" t="inlineStr">
        <is>
          <t>Paprika Chips</t>
        </is>
      </c>
      <c r="F295" s="2" t="n">
        <v>980</v>
      </c>
      <c r="G295" s="2" t="n">
        <v>576.1</v>
      </c>
      <c r="H295" s="2" t="n">
        <v>557.2</v>
      </c>
      <c r="I295" s="2" t="n">
        <v>18.8</v>
      </c>
      <c r="J295" s="2" t="n">
        <v>2.49</v>
      </c>
      <c r="K295" s="2" t="inlineStr">
        <is>
          <t>Quality Hold</t>
        </is>
      </c>
      <c r="L295" s="2" t="inlineStr">
        <is>
          <t>Emergency</t>
        </is>
      </c>
      <c r="M295" s="2" t="n">
        <v>1191.5</v>
      </c>
      <c r="N295" s="2" t="n">
        <v>182.5</v>
      </c>
      <c r="O295" s="2" t="n">
        <v>69441.5</v>
      </c>
      <c r="P295" s="2" t="n">
        <v>180.1</v>
      </c>
      <c r="Q295" s="2" t="n">
        <v>1.56</v>
      </c>
      <c r="R295" s="2" t="n">
        <v>1318.93</v>
      </c>
      <c r="S295" s="5">
        <f>G295/F295</f>
        <v/>
      </c>
      <c r="T295" s="5">
        <f>MAX(0,1-J295/8)</f>
        <v/>
      </c>
      <c r="U295" s="5">
        <f>IFERROR(G295/(F295*T295),0)</f>
        <v/>
      </c>
      <c r="V295" s="5">
        <f>IFERROR(H295/G295,0)</f>
        <v/>
      </c>
      <c r="W295" s="5">
        <f>T295*U295*V295</f>
        <v/>
      </c>
      <c r="X295" s="5">
        <f>IFERROR(I295/G295,0)</f>
        <v/>
      </c>
      <c r="Y295" s="6">
        <f>IFERROR(G295/M295,0)</f>
        <v/>
      </c>
      <c r="Z295" s="6">
        <f>IFERROR(O295/G295,0)</f>
        <v/>
      </c>
      <c r="AA295" s="2">
        <f>IF(L295="None","No Maintenance",IF(L295="Preventive","Planned","Breakdown"))</f>
        <v/>
      </c>
    </row>
    <row r="296">
      <c r="A296" s="2" t="n">
        <v>292</v>
      </c>
      <c r="B296" s="4" t="n">
        <v>46120</v>
      </c>
      <c r="C296" s="2" t="inlineStr">
        <is>
          <t>Day</t>
        </is>
      </c>
      <c r="D296" s="2" t="inlineStr">
        <is>
          <t>Line 1</t>
        </is>
      </c>
      <c r="E296" s="2" t="inlineStr">
        <is>
          <t>Paprika Chips</t>
        </is>
      </c>
      <c r="F296" s="2" t="n">
        <v>982</v>
      </c>
      <c r="G296" s="2" t="n">
        <v>907.5</v>
      </c>
      <c r="H296" s="2" t="n">
        <v>897</v>
      </c>
      <c r="I296" s="2" t="n">
        <v>10.6</v>
      </c>
      <c r="J296" s="2" t="n">
        <v>0.13</v>
      </c>
      <c r="K296" s="2" t="inlineStr">
        <is>
          <t>No Downtime</t>
        </is>
      </c>
      <c r="L296" s="2" t="inlineStr">
        <is>
          <t>None</t>
        </is>
      </c>
      <c r="M296" s="2" t="n">
        <v>1882.8</v>
      </c>
      <c r="N296" s="2" t="n">
        <v>259.8</v>
      </c>
      <c r="O296" s="2" t="n">
        <v>100253.2</v>
      </c>
      <c r="P296" s="2" t="n">
        <v>167.9</v>
      </c>
      <c r="Q296" s="2" t="n">
        <v>2</v>
      </c>
      <c r="R296" s="2" t="n">
        <v>0</v>
      </c>
      <c r="S296" s="5">
        <f>G296/F296</f>
        <v/>
      </c>
      <c r="T296" s="5">
        <f>MAX(0,1-J296/8)</f>
        <v/>
      </c>
      <c r="U296" s="5">
        <f>IFERROR(G296/(F296*T296),0)</f>
        <v/>
      </c>
      <c r="V296" s="5">
        <f>IFERROR(H296/G296,0)</f>
        <v/>
      </c>
      <c r="W296" s="5">
        <f>T296*U296*V296</f>
        <v/>
      </c>
      <c r="X296" s="5">
        <f>IFERROR(I296/G296,0)</f>
        <v/>
      </c>
      <c r="Y296" s="6">
        <f>IFERROR(G296/M296,0)</f>
        <v/>
      </c>
      <c r="Z296" s="6">
        <f>IFERROR(O296/G296,0)</f>
        <v/>
      </c>
      <c r="AA296" s="2">
        <f>IF(L296="None","No Maintenance",IF(L296="Preventive","Planned","Breakdown"))</f>
        <v/>
      </c>
    </row>
    <row r="297">
      <c r="A297" s="2" t="n">
        <v>293</v>
      </c>
      <c r="B297" s="4" t="n">
        <v>46120</v>
      </c>
      <c r="C297" s="2" t="inlineStr">
        <is>
          <t>Evening</t>
        </is>
      </c>
      <c r="D297" s="2" t="inlineStr">
        <is>
          <t>Line 1</t>
        </is>
      </c>
      <c r="E297" s="2" t="inlineStr">
        <is>
          <t>Salt &amp; Vinegar</t>
        </is>
      </c>
      <c r="F297" s="2" t="n">
        <v>1043</v>
      </c>
      <c r="G297" s="2" t="n">
        <v>848.5</v>
      </c>
      <c r="H297" s="2" t="n">
        <v>830.3</v>
      </c>
      <c r="I297" s="2" t="n">
        <v>18.2</v>
      </c>
      <c r="J297" s="2" t="n">
        <v>0.27</v>
      </c>
      <c r="K297" s="2" t="inlineStr">
        <is>
          <t>No Downtime</t>
        </is>
      </c>
      <c r="L297" s="2" t="inlineStr">
        <is>
          <t>None</t>
        </is>
      </c>
      <c r="M297" s="2" t="n">
        <v>1662.9</v>
      </c>
      <c r="N297" s="2" t="n">
        <v>254.6</v>
      </c>
      <c r="O297" s="2" t="n">
        <v>100105.1</v>
      </c>
      <c r="P297" s="2" t="n">
        <v>187.3</v>
      </c>
      <c r="Q297" s="2" t="n">
        <v>1.59</v>
      </c>
      <c r="R297" s="2" t="n">
        <v>0</v>
      </c>
      <c r="S297" s="5">
        <f>G297/F297</f>
        <v/>
      </c>
      <c r="T297" s="5">
        <f>MAX(0,1-J297/8)</f>
        <v/>
      </c>
      <c r="U297" s="5">
        <f>IFERROR(G297/(F297*T297),0)</f>
        <v/>
      </c>
      <c r="V297" s="5">
        <f>IFERROR(H297/G297,0)</f>
        <v/>
      </c>
      <c r="W297" s="5">
        <f>T297*U297*V297</f>
        <v/>
      </c>
      <c r="X297" s="5">
        <f>IFERROR(I297/G297,0)</f>
        <v/>
      </c>
      <c r="Y297" s="6">
        <f>IFERROR(G297/M297,0)</f>
        <v/>
      </c>
      <c r="Z297" s="6">
        <f>IFERROR(O297/G297,0)</f>
        <v/>
      </c>
      <c r="AA297" s="2">
        <f>IF(L297="None","No Maintenance",IF(L297="Preventive","Planned","Breakdown"))</f>
        <v/>
      </c>
    </row>
    <row r="298">
      <c r="A298" s="2" t="n">
        <v>294</v>
      </c>
      <c r="B298" s="4" t="n">
        <v>46120</v>
      </c>
      <c r="C298" s="2" t="inlineStr">
        <is>
          <t>Night</t>
        </is>
      </c>
      <c r="D298" s="2" t="inlineStr">
        <is>
          <t>Line 1</t>
        </is>
      </c>
      <c r="E298" s="2" t="inlineStr">
        <is>
          <t>Paprika Chips</t>
        </is>
      </c>
      <c r="F298" s="2" t="n">
        <v>1044</v>
      </c>
      <c r="G298" s="2" t="n">
        <v>707.9</v>
      </c>
      <c r="H298" s="2" t="n">
        <v>688.8</v>
      </c>
      <c r="I298" s="2" t="n">
        <v>19</v>
      </c>
      <c r="J298" s="2" t="n">
        <v>4.71</v>
      </c>
      <c r="K298" s="2" t="inlineStr">
        <is>
          <t>Planned Maintenance</t>
        </is>
      </c>
      <c r="L298" s="2" t="inlineStr">
        <is>
          <t>Preventive</t>
        </is>
      </c>
      <c r="M298" s="2" t="n">
        <v>1438.3</v>
      </c>
      <c r="N298" s="2" t="n">
        <v>232.3</v>
      </c>
      <c r="O298" s="2" t="n">
        <v>78923.8</v>
      </c>
      <c r="P298" s="2" t="n">
        <v>185.7</v>
      </c>
      <c r="Q298" s="2" t="n">
        <v>1.69</v>
      </c>
      <c r="R298" s="2" t="n">
        <v>158.43</v>
      </c>
      <c r="S298" s="5">
        <f>G298/F298</f>
        <v/>
      </c>
      <c r="T298" s="5">
        <f>MAX(0,1-J298/8)</f>
        <v/>
      </c>
      <c r="U298" s="5">
        <f>IFERROR(G298/(F298*T298),0)</f>
        <v/>
      </c>
      <c r="V298" s="5">
        <f>IFERROR(H298/G298,0)</f>
        <v/>
      </c>
      <c r="W298" s="5">
        <f>T298*U298*V298</f>
        <v/>
      </c>
      <c r="X298" s="5">
        <f>IFERROR(I298/G298,0)</f>
        <v/>
      </c>
      <c r="Y298" s="6">
        <f>IFERROR(G298/M298,0)</f>
        <v/>
      </c>
      <c r="Z298" s="6">
        <f>IFERROR(O298/G298,0)</f>
        <v/>
      </c>
      <c r="AA298" s="2">
        <f>IF(L298="None","No Maintenance",IF(L298="Preventive","Planned","Breakdown"))</f>
        <v/>
      </c>
    </row>
    <row r="299">
      <c r="A299" s="2" t="n">
        <v>295</v>
      </c>
      <c r="B299" s="4" t="n">
        <v>46121</v>
      </c>
      <c r="C299" s="2" t="inlineStr">
        <is>
          <t>Day</t>
        </is>
      </c>
      <c r="D299" s="2" t="inlineStr">
        <is>
          <t>Line 2</t>
        </is>
      </c>
      <c r="E299" s="2" t="inlineStr">
        <is>
          <t>Classic Chips</t>
        </is>
      </c>
      <c r="F299" s="2" t="n">
        <v>916</v>
      </c>
      <c r="G299" s="2" t="n">
        <v>587.8</v>
      </c>
      <c r="H299" s="2" t="n">
        <v>577</v>
      </c>
      <c r="I299" s="2" t="n">
        <v>10.8</v>
      </c>
      <c r="J299" s="2" t="n">
        <v>2.85</v>
      </c>
      <c r="K299" s="2" t="inlineStr">
        <is>
          <t>Raw Material Shortage</t>
        </is>
      </c>
      <c r="L299" s="2" t="inlineStr">
        <is>
          <t>Corrective</t>
        </is>
      </c>
      <c r="M299" s="2" t="n">
        <v>1250.3</v>
      </c>
      <c r="N299" s="2" t="n">
        <v>200.3</v>
      </c>
      <c r="O299" s="2" t="n">
        <v>67243.60000000001</v>
      </c>
      <c r="P299" s="2" t="n">
        <v>180.2</v>
      </c>
      <c r="Q299" s="2" t="n">
        <v>1.78</v>
      </c>
      <c r="R299" s="2" t="n">
        <v>796.61</v>
      </c>
      <c r="S299" s="5">
        <f>G299/F299</f>
        <v/>
      </c>
      <c r="T299" s="5">
        <f>MAX(0,1-J299/8)</f>
        <v/>
      </c>
      <c r="U299" s="5">
        <f>IFERROR(G299/(F299*T299),0)</f>
        <v/>
      </c>
      <c r="V299" s="5">
        <f>IFERROR(H299/G299,0)</f>
        <v/>
      </c>
      <c r="W299" s="5">
        <f>T299*U299*V299</f>
        <v/>
      </c>
      <c r="X299" s="5">
        <f>IFERROR(I299/G299,0)</f>
        <v/>
      </c>
      <c r="Y299" s="6">
        <f>IFERROR(G299/M299,0)</f>
        <v/>
      </c>
      <c r="Z299" s="6">
        <f>IFERROR(O299/G299,0)</f>
        <v/>
      </c>
      <c r="AA299" s="2">
        <f>IF(L299="None","No Maintenance",IF(L299="Preventive","Planned","Breakdown"))</f>
        <v/>
      </c>
    </row>
    <row r="300">
      <c r="A300" s="2" t="n">
        <v>296</v>
      </c>
      <c r="B300" s="4" t="n">
        <v>46121</v>
      </c>
      <c r="C300" s="2" t="inlineStr">
        <is>
          <t>Evening</t>
        </is>
      </c>
      <c r="D300" s="2" t="inlineStr">
        <is>
          <t>Line 2</t>
        </is>
      </c>
      <c r="E300" s="2" t="inlineStr">
        <is>
          <t>Classic Chips</t>
        </is>
      </c>
      <c r="F300" s="2" t="n">
        <v>902</v>
      </c>
      <c r="G300" s="2" t="n">
        <v>560.5</v>
      </c>
      <c r="H300" s="2" t="n">
        <v>549.9</v>
      </c>
      <c r="I300" s="2" t="n">
        <v>10.6</v>
      </c>
      <c r="J300" s="2" t="n">
        <v>3.73</v>
      </c>
      <c r="K300" s="2" t="inlineStr">
        <is>
          <t>Fryer Temperature</t>
        </is>
      </c>
      <c r="L300" s="2" t="inlineStr">
        <is>
          <t>Corrective</t>
        </is>
      </c>
      <c r="M300" s="2" t="n">
        <v>1150.9</v>
      </c>
      <c r="N300" s="2" t="n">
        <v>169.7</v>
      </c>
      <c r="O300" s="2" t="n">
        <v>72009.2</v>
      </c>
      <c r="P300" s="2" t="n">
        <v>179.4</v>
      </c>
      <c r="Q300" s="2" t="n">
        <v>1.67</v>
      </c>
      <c r="R300" s="2" t="n">
        <v>595</v>
      </c>
      <c r="S300" s="5">
        <f>G300/F300</f>
        <v/>
      </c>
      <c r="T300" s="5">
        <f>MAX(0,1-J300/8)</f>
        <v/>
      </c>
      <c r="U300" s="5">
        <f>IFERROR(G300/(F300*T300),0)</f>
        <v/>
      </c>
      <c r="V300" s="5">
        <f>IFERROR(H300/G300,0)</f>
        <v/>
      </c>
      <c r="W300" s="5">
        <f>T300*U300*V300</f>
        <v/>
      </c>
      <c r="X300" s="5">
        <f>IFERROR(I300/G300,0)</f>
        <v/>
      </c>
      <c r="Y300" s="6">
        <f>IFERROR(G300/M300,0)</f>
        <v/>
      </c>
      <c r="Z300" s="6">
        <f>IFERROR(O300/G300,0)</f>
        <v/>
      </c>
      <c r="AA300" s="2">
        <f>IF(L300="None","No Maintenance",IF(L300="Preventive","Planned","Breakdown"))</f>
        <v/>
      </c>
    </row>
    <row r="301">
      <c r="A301" s="2" t="n">
        <v>297</v>
      </c>
      <c r="B301" s="4" t="n">
        <v>46121</v>
      </c>
      <c r="C301" s="2" t="inlineStr">
        <is>
          <t>Night</t>
        </is>
      </c>
      <c r="D301" s="2" t="inlineStr">
        <is>
          <t>Line 1</t>
        </is>
      </c>
      <c r="E301" s="2" t="inlineStr">
        <is>
          <t>Paprika Chips</t>
        </is>
      </c>
      <c r="F301" s="2" t="n">
        <v>959</v>
      </c>
      <c r="G301" s="2" t="n">
        <v>625.4</v>
      </c>
      <c r="H301" s="2" t="n">
        <v>615.2</v>
      </c>
      <c r="I301" s="2" t="n">
        <v>10.2</v>
      </c>
      <c r="J301" s="2" t="n">
        <v>1.7</v>
      </c>
      <c r="K301" s="2" t="inlineStr">
        <is>
          <t>Packaging Machine</t>
        </is>
      </c>
      <c r="L301" s="2" t="inlineStr">
        <is>
          <t>Corrective</t>
        </is>
      </c>
      <c r="M301" s="2" t="n">
        <v>1235.9</v>
      </c>
      <c r="N301" s="2" t="n">
        <v>193.7</v>
      </c>
      <c r="O301" s="2" t="n">
        <v>70712.39999999999</v>
      </c>
      <c r="P301" s="2" t="n">
        <v>183.5</v>
      </c>
      <c r="Q301" s="2" t="n">
        <v>1.72</v>
      </c>
      <c r="R301" s="2" t="n">
        <v>899.97</v>
      </c>
      <c r="S301" s="5">
        <f>G301/F301</f>
        <v/>
      </c>
      <c r="T301" s="5">
        <f>MAX(0,1-J301/8)</f>
        <v/>
      </c>
      <c r="U301" s="5">
        <f>IFERROR(G301/(F301*T301),0)</f>
        <v/>
      </c>
      <c r="V301" s="5">
        <f>IFERROR(H301/G301,0)</f>
        <v/>
      </c>
      <c r="W301" s="5">
        <f>T301*U301*V301</f>
        <v/>
      </c>
      <c r="X301" s="5">
        <f>IFERROR(I301/G301,0)</f>
        <v/>
      </c>
      <c r="Y301" s="6">
        <f>IFERROR(G301/M301,0)</f>
        <v/>
      </c>
      <c r="Z301" s="6">
        <f>IFERROR(O301/G301,0)</f>
        <v/>
      </c>
      <c r="AA301" s="2">
        <f>IF(L301="None","No Maintenance",IF(L301="Preventive","Planned","Breakdown"))</f>
        <v/>
      </c>
    </row>
    <row r="302">
      <c r="A302" s="2" t="n">
        <v>298</v>
      </c>
      <c r="B302" s="4" t="n">
        <v>46122</v>
      </c>
      <c r="C302" s="2" t="inlineStr">
        <is>
          <t>Day</t>
        </is>
      </c>
      <c r="D302" s="2" t="inlineStr">
        <is>
          <t>Line 2</t>
        </is>
      </c>
      <c r="E302" s="2" t="inlineStr">
        <is>
          <t>Salt &amp; Vinegar</t>
        </is>
      </c>
      <c r="F302" s="2" t="n">
        <v>963</v>
      </c>
      <c r="G302" s="2" t="n">
        <v>679.7</v>
      </c>
      <c r="H302" s="2" t="n">
        <v>667.5</v>
      </c>
      <c r="I302" s="2" t="n">
        <v>12.2</v>
      </c>
      <c r="J302" s="2" t="n">
        <v>1.99</v>
      </c>
      <c r="K302" s="2" t="inlineStr">
        <is>
          <t>Raw Material Shortage</t>
        </is>
      </c>
      <c r="L302" s="2" t="inlineStr">
        <is>
          <t>Corrective</t>
        </is>
      </c>
      <c r="M302" s="2" t="n">
        <v>1354.2</v>
      </c>
      <c r="N302" s="2" t="n">
        <v>191.8</v>
      </c>
      <c r="O302" s="2" t="n">
        <v>85012.2</v>
      </c>
      <c r="P302" s="2" t="n">
        <v>173.7</v>
      </c>
      <c r="Q302" s="2" t="n">
        <v>1.57</v>
      </c>
      <c r="R302" s="2" t="n">
        <v>339.02</v>
      </c>
      <c r="S302" s="5">
        <f>G302/F302</f>
        <v/>
      </c>
      <c r="T302" s="5">
        <f>MAX(0,1-J302/8)</f>
        <v/>
      </c>
      <c r="U302" s="5">
        <f>IFERROR(G302/(F302*T302),0)</f>
        <v/>
      </c>
      <c r="V302" s="5">
        <f>IFERROR(H302/G302,0)</f>
        <v/>
      </c>
      <c r="W302" s="5">
        <f>T302*U302*V302</f>
        <v/>
      </c>
      <c r="X302" s="5">
        <f>IFERROR(I302/G302,0)</f>
        <v/>
      </c>
      <c r="Y302" s="6">
        <f>IFERROR(G302/M302,0)</f>
        <v/>
      </c>
      <c r="Z302" s="6">
        <f>IFERROR(O302/G302,0)</f>
        <v/>
      </c>
      <c r="AA302" s="2">
        <f>IF(L302="None","No Maintenance",IF(L302="Preventive","Planned","Breakdown"))</f>
        <v/>
      </c>
    </row>
    <row r="303">
      <c r="A303" s="2" t="n">
        <v>299</v>
      </c>
      <c r="B303" s="4" t="n">
        <v>46122</v>
      </c>
      <c r="C303" s="2" t="inlineStr">
        <is>
          <t>Evening</t>
        </is>
      </c>
      <c r="D303" s="2" t="inlineStr">
        <is>
          <t>Line 1</t>
        </is>
      </c>
      <c r="E303" s="2" t="inlineStr">
        <is>
          <t>Paprika Chips</t>
        </is>
      </c>
      <c r="F303" s="2" t="n">
        <v>948</v>
      </c>
      <c r="G303" s="2" t="n">
        <v>619</v>
      </c>
      <c r="H303" s="2" t="n">
        <v>606.4</v>
      </c>
      <c r="I303" s="2" t="n">
        <v>12.7</v>
      </c>
      <c r="J303" s="2" t="n">
        <v>2.89</v>
      </c>
      <c r="K303" s="2" t="inlineStr">
        <is>
          <t>Conveyor Jam</t>
        </is>
      </c>
      <c r="L303" s="2" t="inlineStr">
        <is>
          <t>Corrective</t>
        </is>
      </c>
      <c r="M303" s="2" t="n">
        <v>1253.1</v>
      </c>
      <c r="N303" s="2" t="n">
        <v>211.3</v>
      </c>
      <c r="O303" s="2" t="n">
        <v>73315.60000000001</v>
      </c>
      <c r="P303" s="2" t="n">
        <v>181</v>
      </c>
      <c r="Q303" s="2" t="n">
        <v>1.84</v>
      </c>
      <c r="R303" s="2" t="n">
        <v>718.61</v>
      </c>
      <c r="S303" s="5">
        <f>G303/F303</f>
        <v/>
      </c>
      <c r="T303" s="5">
        <f>MAX(0,1-J303/8)</f>
        <v/>
      </c>
      <c r="U303" s="5">
        <f>IFERROR(G303/(F303*T303),0)</f>
        <v/>
      </c>
      <c r="V303" s="5">
        <f>IFERROR(H303/G303,0)</f>
        <v/>
      </c>
      <c r="W303" s="5">
        <f>T303*U303*V303</f>
        <v/>
      </c>
      <c r="X303" s="5">
        <f>IFERROR(I303/G303,0)</f>
        <v/>
      </c>
      <c r="Y303" s="6">
        <f>IFERROR(G303/M303,0)</f>
        <v/>
      </c>
      <c r="Z303" s="6">
        <f>IFERROR(O303/G303,0)</f>
        <v/>
      </c>
      <c r="AA303" s="2">
        <f>IF(L303="None","No Maintenance",IF(L303="Preventive","Planned","Breakdown"))</f>
        <v/>
      </c>
    </row>
    <row r="304">
      <c r="A304" s="2" t="n">
        <v>300</v>
      </c>
      <c r="B304" s="4" t="n">
        <v>46122</v>
      </c>
      <c r="C304" s="2" t="inlineStr">
        <is>
          <t>Night</t>
        </is>
      </c>
      <c r="D304" s="2" t="inlineStr">
        <is>
          <t>Line 1</t>
        </is>
      </c>
      <c r="E304" s="2" t="inlineStr">
        <is>
          <t>Paprika Chips</t>
        </is>
      </c>
      <c r="F304" s="2" t="n">
        <v>1038</v>
      </c>
      <c r="G304" s="2" t="n">
        <v>809.4</v>
      </c>
      <c r="H304" s="2" t="n">
        <v>790.3</v>
      </c>
      <c r="I304" s="2" t="n">
        <v>19</v>
      </c>
      <c r="J304" s="2" t="n">
        <v>0.9</v>
      </c>
      <c r="K304" s="2" t="inlineStr">
        <is>
          <t>Electrical Fault</t>
        </is>
      </c>
      <c r="L304" s="2" t="inlineStr">
        <is>
          <t>Corrective</t>
        </is>
      </c>
      <c r="M304" s="2" t="n">
        <v>1657.1</v>
      </c>
      <c r="N304" s="2" t="n">
        <v>239.9</v>
      </c>
      <c r="O304" s="2" t="n">
        <v>94989.5</v>
      </c>
      <c r="P304" s="2" t="n">
        <v>171.7</v>
      </c>
      <c r="Q304" s="2" t="n">
        <v>1.49</v>
      </c>
      <c r="R304" s="2" t="n">
        <v>863.3099999999999</v>
      </c>
      <c r="S304" s="5">
        <f>G304/F304</f>
        <v/>
      </c>
      <c r="T304" s="5">
        <f>MAX(0,1-J304/8)</f>
        <v/>
      </c>
      <c r="U304" s="5">
        <f>IFERROR(G304/(F304*T304),0)</f>
        <v/>
      </c>
      <c r="V304" s="5">
        <f>IFERROR(H304/G304,0)</f>
        <v/>
      </c>
      <c r="W304" s="5">
        <f>T304*U304*V304</f>
        <v/>
      </c>
      <c r="X304" s="5">
        <f>IFERROR(I304/G304,0)</f>
        <v/>
      </c>
      <c r="Y304" s="6">
        <f>IFERROR(G304/M304,0)</f>
        <v/>
      </c>
      <c r="Z304" s="6">
        <f>IFERROR(O304/G304,0)</f>
        <v/>
      </c>
      <c r="AA304" s="2">
        <f>IF(L304="None","No Maintenance",IF(L304="Preventive","Planned","Breakdown"))</f>
        <v/>
      </c>
    </row>
    <row r="305">
      <c r="A305" s="2" t="n">
        <v>301</v>
      </c>
      <c r="B305" s="4" t="n">
        <v>46123</v>
      </c>
      <c r="C305" s="2" t="inlineStr">
        <is>
          <t>Day</t>
        </is>
      </c>
      <c r="D305" s="2" t="inlineStr">
        <is>
          <t>Line 2</t>
        </is>
      </c>
      <c r="E305" s="2" t="inlineStr">
        <is>
          <t>Paprika Chips</t>
        </is>
      </c>
      <c r="F305" s="2" t="n">
        <v>1016</v>
      </c>
      <c r="G305" s="2" t="n">
        <v>670.5</v>
      </c>
      <c r="H305" s="2" t="n">
        <v>661</v>
      </c>
      <c r="I305" s="2" t="n">
        <v>9.5</v>
      </c>
      <c r="J305" s="2" t="n">
        <v>3.59</v>
      </c>
      <c r="K305" s="2" t="inlineStr">
        <is>
          <t>Packaging Machine</t>
        </is>
      </c>
      <c r="L305" s="2" t="inlineStr">
        <is>
          <t>Corrective</t>
        </is>
      </c>
      <c r="M305" s="2" t="n">
        <v>1370.4</v>
      </c>
      <c r="N305" s="2" t="n">
        <v>220.2</v>
      </c>
      <c r="O305" s="2" t="n">
        <v>81596.10000000001</v>
      </c>
      <c r="P305" s="2" t="n">
        <v>178.2</v>
      </c>
      <c r="Q305" s="2" t="n">
        <v>1.7</v>
      </c>
      <c r="R305" s="2" t="n">
        <v>501.2</v>
      </c>
      <c r="S305" s="5">
        <f>G305/F305</f>
        <v/>
      </c>
      <c r="T305" s="5">
        <f>MAX(0,1-J305/8)</f>
        <v/>
      </c>
      <c r="U305" s="5">
        <f>IFERROR(G305/(F305*T305),0)</f>
        <v/>
      </c>
      <c r="V305" s="5">
        <f>IFERROR(H305/G305,0)</f>
        <v/>
      </c>
      <c r="W305" s="5">
        <f>T305*U305*V305</f>
        <v/>
      </c>
      <c r="X305" s="5">
        <f>IFERROR(I305/G305,0)</f>
        <v/>
      </c>
      <c r="Y305" s="6">
        <f>IFERROR(G305/M305,0)</f>
        <v/>
      </c>
      <c r="Z305" s="6">
        <f>IFERROR(O305/G305,0)</f>
        <v/>
      </c>
      <c r="AA305" s="2">
        <f>IF(L305="None","No Maintenance",IF(L305="Preventive","Planned","Breakdown"))</f>
        <v/>
      </c>
    </row>
    <row r="306">
      <c r="A306" s="2" t="n">
        <v>302</v>
      </c>
      <c r="B306" s="4" t="n">
        <v>46123</v>
      </c>
      <c r="C306" s="2" t="inlineStr">
        <is>
          <t>Evening</t>
        </is>
      </c>
      <c r="D306" s="2" t="inlineStr">
        <is>
          <t>Line 2</t>
        </is>
      </c>
      <c r="E306" s="2" t="inlineStr">
        <is>
          <t>Classic Chips</t>
        </is>
      </c>
      <c r="F306" s="2" t="n">
        <v>957</v>
      </c>
      <c r="G306" s="2" t="n">
        <v>790.6</v>
      </c>
      <c r="H306" s="2" t="n">
        <v>779.1</v>
      </c>
      <c r="I306" s="2" t="n">
        <v>11.6</v>
      </c>
      <c r="J306" s="2" t="n">
        <v>0.31</v>
      </c>
      <c r="K306" s="2" t="inlineStr">
        <is>
          <t>No Downtime</t>
        </is>
      </c>
      <c r="L306" s="2" t="inlineStr">
        <is>
          <t>None</t>
        </is>
      </c>
      <c r="M306" s="2" t="n">
        <v>1623.3</v>
      </c>
      <c r="N306" s="2" t="n">
        <v>246.1</v>
      </c>
      <c r="O306" s="2" t="n">
        <v>92657.89999999999</v>
      </c>
      <c r="P306" s="2" t="n">
        <v>177.2</v>
      </c>
      <c r="Q306" s="2" t="n">
        <v>1.87</v>
      </c>
      <c r="R306" s="2" t="n">
        <v>0</v>
      </c>
      <c r="S306" s="5">
        <f>G306/F306</f>
        <v/>
      </c>
      <c r="T306" s="5">
        <f>MAX(0,1-J306/8)</f>
        <v/>
      </c>
      <c r="U306" s="5">
        <f>IFERROR(G306/(F306*T306),0)</f>
        <v/>
      </c>
      <c r="V306" s="5">
        <f>IFERROR(H306/G306,0)</f>
        <v/>
      </c>
      <c r="W306" s="5">
        <f>T306*U306*V306</f>
        <v/>
      </c>
      <c r="X306" s="5">
        <f>IFERROR(I306/G306,0)</f>
        <v/>
      </c>
      <c r="Y306" s="6">
        <f>IFERROR(G306/M306,0)</f>
        <v/>
      </c>
      <c r="Z306" s="6">
        <f>IFERROR(O306/G306,0)</f>
        <v/>
      </c>
      <c r="AA306" s="2">
        <f>IF(L306="None","No Maintenance",IF(L306="Preventive","Planned","Breakdown"))</f>
        <v/>
      </c>
    </row>
    <row r="307">
      <c r="A307" s="2" t="n">
        <v>303</v>
      </c>
      <c r="B307" s="4" t="n">
        <v>46123</v>
      </c>
      <c r="C307" s="2" t="inlineStr">
        <is>
          <t>Night</t>
        </is>
      </c>
      <c r="D307" s="2" t="inlineStr">
        <is>
          <t>Line 2</t>
        </is>
      </c>
      <c r="E307" s="2" t="inlineStr">
        <is>
          <t>Paprika Chips</t>
        </is>
      </c>
      <c r="F307" s="2" t="n">
        <v>910</v>
      </c>
      <c r="G307" s="2" t="n">
        <v>514.8</v>
      </c>
      <c r="H307" s="2" t="n">
        <v>504.6</v>
      </c>
      <c r="I307" s="2" t="n">
        <v>10.2</v>
      </c>
      <c r="J307" s="2" t="n">
        <v>3.33</v>
      </c>
      <c r="K307" s="2" t="inlineStr">
        <is>
          <t>Planned Maintenance</t>
        </is>
      </c>
      <c r="L307" s="2" t="inlineStr">
        <is>
          <t>Preventive</t>
        </is>
      </c>
      <c r="M307" s="2" t="n">
        <v>1003.3</v>
      </c>
      <c r="N307" s="2" t="n">
        <v>193.4</v>
      </c>
      <c r="O307" s="2" t="n">
        <v>60573.2</v>
      </c>
      <c r="P307" s="2" t="n">
        <v>184.9</v>
      </c>
      <c r="Q307" s="2" t="n">
        <v>1.27</v>
      </c>
      <c r="R307" s="2" t="n">
        <v>126.49</v>
      </c>
      <c r="S307" s="5">
        <f>G307/F307</f>
        <v/>
      </c>
      <c r="T307" s="5">
        <f>MAX(0,1-J307/8)</f>
        <v/>
      </c>
      <c r="U307" s="5">
        <f>IFERROR(G307/(F307*T307),0)</f>
        <v/>
      </c>
      <c r="V307" s="5">
        <f>IFERROR(H307/G307,0)</f>
        <v/>
      </c>
      <c r="W307" s="5">
        <f>T307*U307*V307</f>
        <v/>
      </c>
      <c r="X307" s="5">
        <f>IFERROR(I307/G307,0)</f>
        <v/>
      </c>
      <c r="Y307" s="6">
        <f>IFERROR(G307/M307,0)</f>
        <v/>
      </c>
      <c r="Z307" s="6">
        <f>IFERROR(O307/G307,0)</f>
        <v/>
      </c>
      <c r="AA307" s="2">
        <f>IF(L307="None","No Maintenance",IF(L307="Preventive","Planned","Breakdown"))</f>
        <v/>
      </c>
    </row>
    <row r="308">
      <c r="A308" s="2" t="n">
        <v>304</v>
      </c>
      <c r="B308" s="4" t="n">
        <v>46124</v>
      </c>
      <c r="C308" s="2" t="inlineStr">
        <is>
          <t>Day</t>
        </is>
      </c>
      <c r="D308" s="2" t="inlineStr">
        <is>
          <t>Line 2</t>
        </is>
      </c>
      <c r="E308" s="2" t="inlineStr">
        <is>
          <t>Salt &amp; Vinegar</t>
        </is>
      </c>
      <c r="F308" s="2" t="n">
        <v>988</v>
      </c>
      <c r="G308" s="2" t="n">
        <v>644.7</v>
      </c>
      <c r="H308" s="2" t="n">
        <v>633</v>
      </c>
      <c r="I308" s="2" t="n">
        <v>11.8</v>
      </c>
      <c r="J308" s="2" t="n">
        <v>2.4</v>
      </c>
      <c r="K308" s="2" t="inlineStr">
        <is>
          <t>Electrical Fault</t>
        </is>
      </c>
      <c r="L308" s="2" t="inlineStr">
        <is>
          <t>Corrective</t>
        </is>
      </c>
      <c r="M308" s="2" t="n">
        <v>1335.9</v>
      </c>
      <c r="N308" s="2" t="n">
        <v>221.6</v>
      </c>
      <c r="O308" s="2" t="n">
        <v>81058.3</v>
      </c>
      <c r="P308" s="2" t="n">
        <v>171.3</v>
      </c>
      <c r="Q308" s="2" t="n">
        <v>1.73</v>
      </c>
      <c r="R308" s="2" t="n">
        <v>583.01</v>
      </c>
      <c r="S308" s="5">
        <f>G308/F308</f>
        <v/>
      </c>
      <c r="T308" s="5">
        <f>MAX(0,1-J308/8)</f>
        <v/>
      </c>
      <c r="U308" s="5">
        <f>IFERROR(G308/(F308*T308),0)</f>
        <v/>
      </c>
      <c r="V308" s="5">
        <f>IFERROR(H308/G308,0)</f>
        <v/>
      </c>
      <c r="W308" s="5">
        <f>T308*U308*V308</f>
        <v/>
      </c>
      <c r="X308" s="5">
        <f>IFERROR(I308/G308,0)</f>
        <v/>
      </c>
      <c r="Y308" s="6">
        <f>IFERROR(G308/M308,0)</f>
        <v/>
      </c>
      <c r="Z308" s="6">
        <f>IFERROR(O308/G308,0)</f>
        <v/>
      </c>
      <c r="AA308" s="2">
        <f>IF(L308="None","No Maintenance",IF(L308="Preventive","Planned","Breakdown"))</f>
        <v/>
      </c>
    </row>
    <row r="309">
      <c r="A309" s="2" t="n">
        <v>305</v>
      </c>
      <c r="B309" s="4" t="n">
        <v>46124</v>
      </c>
      <c r="C309" s="2" t="inlineStr">
        <is>
          <t>Evening</t>
        </is>
      </c>
      <c r="D309" s="2" t="inlineStr">
        <is>
          <t>Line 1</t>
        </is>
      </c>
      <c r="E309" s="2" t="inlineStr">
        <is>
          <t>Classic Chips</t>
        </is>
      </c>
      <c r="F309" s="2" t="n">
        <v>1037</v>
      </c>
      <c r="G309" s="2" t="n">
        <v>801.8</v>
      </c>
      <c r="H309" s="2" t="n">
        <v>794.7</v>
      </c>
      <c r="I309" s="2" t="n">
        <v>7.1</v>
      </c>
      <c r="J309" s="2" t="n">
        <v>0.15</v>
      </c>
      <c r="K309" s="2" t="inlineStr">
        <is>
          <t>No Downtime</t>
        </is>
      </c>
      <c r="L309" s="2" t="inlineStr">
        <is>
          <t>None</t>
        </is>
      </c>
      <c r="M309" s="2" t="n">
        <v>1572.9</v>
      </c>
      <c r="N309" s="2" t="n">
        <v>245.9</v>
      </c>
      <c r="O309" s="2" t="n">
        <v>88670.8</v>
      </c>
      <c r="P309" s="2" t="n">
        <v>184.9</v>
      </c>
      <c r="Q309" s="2" t="n">
        <v>1.64</v>
      </c>
      <c r="R309" s="2" t="n">
        <v>0</v>
      </c>
      <c r="S309" s="5">
        <f>G309/F309</f>
        <v/>
      </c>
      <c r="T309" s="5">
        <f>MAX(0,1-J309/8)</f>
        <v/>
      </c>
      <c r="U309" s="5">
        <f>IFERROR(G309/(F309*T309),0)</f>
        <v/>
      </c>
      <c r="V309" s="5">
        <f>IFERROR(H309/G309,0)</f>
        <v/>
      </c>
      <c r="W309" s="5">
        <f>T309*U309*V309</f>
        <v/>
      </c>
      <c r="X309" s="5">
        <f>IFERROR(I309/G309,0)</f>
        <v/>
      </c>
      <c r="Y309" s="6">
        <f>IFERROR(G309/M309,0)</f>
        <v/>
      </c>
      <c r="Z309" s="6">
        <f>IFERROR(O309/G309,0)</f>
        <v/>
      </c>
      <c r="AA309" s="2">
        <f>IF(L309="None","No Maintenance",IF(L309="Preventive","Planned","Breakdown"))</f>
        <v/>
      </c>
    </row>
    <row r="310">
      <c r="A310" s="2" t="n">
        <v>306</v>
      </c>
      <c r="B310" s="4" t="n">
        <v>46124</v>
      </c>
      <c r="C310" s="2" t="inlineStr">
        <is>
          <t>Night</t>
        </is>
      </c>
      <c r="D310" s="2" t="inlineStr">
        <is>
          <t>Line 2</t>
        </is>
      </c>
      <c r="E310" s="2" t="inlineStr">
        <is>
          <t>Paprika Chips</t>
        </is>
      </c>
      <c r="F310" s="2" t="n">
        <v>980</v>
      </c>
      <c r="G310" s="2" t="n">
        <v>798.5</v>
      </c>
      <c r="H310" s="2" t="n">
        <v>788.8</v>
      </c>
      <c r="I310" s="2" t="n">
        <v>9.699999999999999</v>
      </c>
      <c r="J310" s="2" t="n">
        <v>0.5600000000000001</v>
      </c>
      <c r="K310" s="2" t="inlineStr">
        <is>
          <t>Fryer Temperature</t>
        </is>
      </c>
      <c r="L310" s="2" t="inlineStr">
        <is>
          <t>Corrective</t>
        </is>
      </c>
      <c r="M310" s="2" t="n">
        <v>1610.2</v>
      </c>
      <c r="N310" s="2" t="n">
        <v>277.3</v>
      </c>
      <c r="O310" s="2" t="n">
        <v>94666.89999999999</v>
      </c>
      <c r="P310" s="2" t="n">
        <v>176.8</v>
      </c>
      <c r="Q310" s="2" t="n">
        <v>1.58</v>
      </c>
      <c r="R310" s="2" t="n">
        <v>450.2</v>
      </c>
      <c r="S310" s="5">
        <f>G310/F310</f>
        <v/>
      </c>
      <c r="T310" s="5">
        <f>MAX(0,1-J310/8)</f>
        <v/>
      </c>
      <c r="U310" s="5">
        <f>IFERROR(G310/(F310*T310),0)</f>
        <v/>
      </c>
      <c r="V310" s="5">
        <f>IFERROR(H310/G310,0)</f>
        <v/>
      </c>
      <c r="W310" s="5">
        <f>T310*U310*V310</f>
        <v/>
      </c>
      <c r="X310" s="5">
        <f>IFERROR(I310/G310,0)</f>
        <v/>
      </c>
      <c r="Y310" s="6">
        <f>IFERROR(G310/M310,0)</f>
        <v/>
      </c>
      <c r="Z310" s="6">
        <f>IFERROR(O310/G310,0)</f>
        <v/>
      </c>
      <c r="AA310" s="2">
        <f>IF(L310="None","No Maintenance",IF(L310="Preventive","Planned","Breakdown"))</f>
        <v/>
      </c>
    </row>
    <row r="311">
      <c r="A311" s="2" t="n">
        <v>307</v>
      </c>
      <c r="B311" s="4" t="n">
        <v>46125</v>
      </c>
      <c r="C311" s="2" t="inlineStr">
        <is>
          <t>Day</t>
        </is>
      </c>
      <c r="D311" s="2" t="inlineStr">
        <is>
          <t>Line 1</t>
        </is>
      </c>
      <c r="E311" s="2" t="inlineStr">
        <is>
          <t>Classic Chips</t>
        </is>
      </c>
      <c r="F311" s="2" t="n">
        <v>996</v>
      </c>
      <c r="G311" s="2" t="n">
        <v>758.2</v>
      </c>
      <c r="H311" s="2" t="n">
        <v>755.4</v>
      </c>
      <c r="I311" s="2" t="n">
        <v>2.8</v>
      </c>
      <c r="J311" s="2" t="n">
        <v>1.38</v>
      </c>
      <c r="K311" s="2" t="inlineStr">
        <is>
          <t>Fryer Temperature</t>
        </is>
      </c>
      <c r="L311" s="2" t="inlineStr">
        <is>
          <t>Corrective</t>
        </is>
      </c>
      <c r="M311" s="2" t="n">
        <v>1528.1</v>
      </c>
      <c r="N311" s="2" t="n">
        <v>238.5</v>
      </c>
      <c r="O311" s="2" t="n">
        <v>89664.7</v>
      </c>
      <c r="P311" s="2" t="n">
        <v>179.4</v>
      </c>
      <c r="Q311" s="2" t="n">
        <v>1.67</v>
      </c>
      <c r="R311" s="2" t="n">
        <v>675.66</v>
      </c>
      <c r="S311" s="5">
        <f>G311/F311</f>
        <v/>
      </c>
      <c r="T311" s="5">
        <f>MAX(0,1-J311/8)</f>
        <v/>
      </c>
      <c r="U311" s="5">
        <f>IFERROR(G311/(F311*T311),0)</f>
        <v/>
      </c>
      <c r="V311" s="5">
        <f>IFERROR(H311/G311,0)</f>
        <v/>
      </c>
      <c r="W311" s="5">
        <f>T311*U311*V311</f>
        <v/>
      </c>
      <c r="X311" s="5">
        <f>IFERROR(I311/G311,0)</f>
        <v/>
      </c>
      <c r="Y311" s="6">
        <f>IFERROR(G311/M311,0)</f>
        <v/>
      </c>
      <c r="Z311" s="6">
        <f>IFERROR(O311/G311,0)</f>
        <v/>
      </c>
      <c r="AA311" s="2">
        <f>IF(L311="None","No Maintenance",IF(L311="Preventive","Planned","Breakdown"))</f>
        <v/>
      </c>
    </row>
    <row r="312">
      <c r="A312" s="2" t="n">
        <v>308</v>
      </c>
      <c r="B312" s="4" t="n">
        <v>46125</v>
      </c>
      <c r="C312" s="2" t="inlineStr">
        <is>
          <t>Evening</t>
        </is>
      </c>
      <c r="D312" s="2" t="inlineStr">
        <is>
          <t>Line 1</t>
        </is>
      </c>
      <c r="E312" s="2" t="inlineStr">
        <is>
          <t>Classic Chips</t>
        </is>
      </c>
      <c r="F312" s="2" t="n">
        <v>1010</v>
      </c>
      <c r="G312" s="2" t="n">
        <v>652.9</v>
      </c>
      <c r="H312" s="2" t="n">
        <v>647.5</v>
      </c>
      <c r="I312" s="2" t="n">
        <v>5.4</v>
      </c>
      <c r="J312" s="2" t="n">
        <v>3.15</v>
      </c>
      <c r="K312" s="2" t="inlineStr">
        <is>
          <t>Planned Maintenance</t>
        </is>
      </c>
      <c r="L312" s="2" t="inlineStr">
        <is>
          <t>Preventive</t>
        </is>
      </c>
      <c r="M312" s="2" t="n">
        <v>1366.5</v>
      </c>
      <c r="N312" s="2" t="n">
        <v>213.8</v>
      </c>
      <c r="O312" s="2" t="n">
        <v>79349.60000000001</v>
      </c>
      <c r="P312" s="2" t="n">
        <v>169.4</v>
      </c>
      <c r="Q312" s="2" t="n">
        <v>1.77</v>
      </c>
      <c r="R312" s="2" t="n">
        <v>177.66</v>
      </c>
      <c r="S312" s="5">
        <f>G312/F312</f>
        <v/>
      </c>
      <c r="T312" s="5">
        <f>MAX(0,1-J312/8)</f>
        <v/>
      </c>
      <c r="U312" s="5">
        <f>IFERROR(G312/(F312*T312),0)</f>
        <v/>
      </c>
      <c r="V312" s="5">
        <f>IFERROR(H312/G312,0)</f>
        <v/>
      </c>
      <c r="W312" s="5">
        <f>T312*U312*V312</f>
        <v/>
      </c>
      <c r="X312" s="5">
        <f>IFERROR(I312/G312,0)</f>
        <v/>
      </c>
      <c r="Y312" s="6">
        <f>IFERROR(G312/M312,0)</f>
        <v/>
      </c>
      <c r="Z312" s="6">
        <f>IFERROR(O312/G312,0)</f>
        <v/>
      </c>
      <c r="AA312" s="2">
        <f>IF(L312="None","No Maintenance",IF(L312="Preventive","Planned","Breakdown"))</f>
        <v/>
      </c>
    </row>
    <row r="313">
      <c r="A313" s="2" t="n">
        <v>309</v>
      </c>
      <c r="B313" s="4" t="n">
        <v>46125</v>
      </c>
      <c r="C313" s="2" t="inlineStr">
        <is>
          <t>Night</t>
        </is>
      </c>
      <c r="D313" s="2" t="inlineStr">
        <is>
          <t>Line 2</t>
        </is>
      </c>
      <c r="E313" s="2" t="inlineStr">
        <is>
          <t>Classic Chips</t>
        </is>
      </c>
      <c r="F313" s="2" t="n">
        <v>932</v>
      </c>
      <c r="G313" s="2" t="n">
        <v>657.4</v>
      </c>
      <c r="H313" s="2" t="n">
        <v>647.5</v>
      </c>
      <c r="I313" s="2" t="n">
        <v>9.800000000000001</v>
      </c>
      <c r="J313" s="2" t="n">
        <v>0.19</v>
      </c>
      <c r="K313" s="2" t="inlineStr">
        <is>
          <t>No Downtime</t>
        </is>
      </c>
      <c r="L313" s="2" t="inlineStr">
        <is>
          <t>None</t>
        </is>
      </c>
      <c r="M313" s="2" t="n">
        <v>1360.4</v>
      </c>
      <c r="N313" s="2" t="n">
        <v>207.6</v>
      </c>
      <c r="O313" s="2" t="n">
        <v>74972.2</v>
      </c>
      <c r="P313" s="2" t="n">
        <v>181.6</v>
      </c>
      <c r="Q313" s="2" t="n">
        <v>1.95</v>
      </c>
      <c r="R313" s="2" t="n">
        <v>0</v>
      </c>
      <c r="S313" s="5">
        <f>G313/F313</f>
        <v/>
      </c>
      <c r="T313" s="5">
        <f>MAX(0,1-J313/8)</f>
        <v/>
      </c>
      <c r="U313" s="5">
        <f>IFERROR(G313/(F313*T313),0)</f>
        <v/>
      </c>
      <c r="V313" s="5">
        <f>IFERROR(H313/G313,0)</f>
        <v/>
      </c>
      <c r="W313" s="5">
        <f>T313*U313*V313</f>
        <v/>
      </c>
      <c r="X313" s="5">
        <f>IFERROR(I313/G313,0)</f>
        <v/>
      </c>
      <c r="Y313" s="6">
        <f>IFERROR(G313/M313,0)</f>
        <v/>
      </c>
      <c r="Z313" s="6">
        <f>IFERROR(O313/G313,0)</f>
        <v/>
      </c>
      <c r="AA313" s="2">
        <f>IF(L313="None","No Maintenance",IF(L313="Preventive","Planned","Breakdown"))</f>
        <v/>
      </c>
    </row>
    <row r="314">
      <c r="A314" s="2" t="n">
        <v>310</v>
      </c>
      <c r="B314" s="4" t="n">
        <v>46126</v>
      </c>
      <c r="C314" s="2" t="inlineStr">
        <is>
          <t>Day</t>
        </is>
      </c>
      <c r="D314" s="2" t="inlineStr">
        <is>
          <t>Line 2</t>
        </is>
      </c>
      <c r="E314" s="2" t="inlineStr">
        <is>
          <t>Paprika Chips</t>
        </is>
      </c>
      <c r="F314" s="2" t="n">
        <v>911</v>
      </c>
      <c r="G314" s="2" t="n">
        <v>547.5</v>
      </c>
      <c r="H314" s="2" t="n">
        <v>537.3</v>
      </c>
      <c r="I314" s="2" t="n">
        <v>10.1</v>
      </c>
      <c r="J314" s="2" t="n">
        <v>3.8</v>
      </c>
      <c r="K314" s="2" t="inlineStr">
        <is>
          <t>Planned Maintenance</t>
        </is>
      </c>
      <c r="L314" s="2" t="inlineStr">
        <is>
          <t>Preventive</t>
        </is>
      </c>
      <c r="M314" s="2" t="n">
        <v>1152</v>
      </c>
      <c r="N314" s="2" t="n">
        <v>176.8</v>
      </c>
      <c r="O314" s="2" t="n">
        <v>65448.6</v>
      </c>
      <c r="P314" s="2" t="n">
        <v>177.6</v>
      </c>
      <c r="Q314" s="2" t="n">
        <v>1.76</v>
      </c>
      <c r="R314" s="2" t="n">
        <v>167.52</v>
      </c>
      <c r="S314" s="5">
        <f>G314/F314</f>
        <v/>
      </c>
      <c r="T314" s="5">
        <f>MAX(0,1-J314/8)</f>
        <v/>
      </c>
      <c r="U314" s="5">
        <f>IFERROR(G314/(F314*T314),0)</f>
        <v/>
      </c>
      <c r="V314" s="5">
        <f>IFERROR(H314/G314,0)</f>
        <v/>
      </c>
      <c r="W314" s="5">
        <f>T314*U314*V314</f>
        <v/>
      </c>
      <c r="X314" s="5">
        <f>IFERROR(I314/G314,0)</f>
        <v/>
      </c>
      <c r="Y314" s="6">
        <f>IFERROR(G314/M314,0)</f>
        <v/>
      </c>
      <c r="Z314" s="6">
        <f>IFERROR(O314/G314,0)</f>
        <v/>
      </c>
      <c r="AA314" s="2">
        <f>IF(L314="None","No Maintenance",IF(L314="Preventive","Planned","Breakdown"))</f>
        <v/>
      </c>
    </row>
    <row r="315">
      <c r="A315" s="2" t="n">
        <v>311</v>
      </c>
      <c r="B315" s="4" t="n">
        <v>46126</v>
      </c>
      <c r="C315" s="2" t="inlineStr">
        <is>
          <t>Evening</t>
        </is>
      </c>
      <c r="D315" s="2" t="inlineStr">
        <is>
          <t>Line 1</t>
        </is>
      </c>
      <c r="E315" s="2" t="inlineStr">
        <is>
          <t>Paprika Chips</t>
        </is>
      </c>
      <c r="F315" s="2" t="n">
        <v>1005</v>
      </c>
      <c r="G315" s="2" t="n">
        <v>891.8</v>
      </c>
      <c r="H315" s="2" t="n">
        <v>875.2</v>
      </c>
      <c r="I315" s="2" t="n">
        <v>16.6</v>
      </c>
      <c r="J315" s="2" t="n">
        <v>0.12</v>
      </c>
      <c r="K315" s="2" t="inlineStr">
        <is>
          <t>No Downtime</t>
        </is>
      </c>
      <c r="L315" s="2" t="inlineStr">
        <is>
          <t>None</t>
        </is>
      </c>
      <c r="M315" s="2" t="n">
        <v>1838.9</v>
      </c>
      <c r="N315" s="2" t="n">
        <v>310.9</v>
      </c>
      <c r="O315" s="2" t="n">
        <v>104054.5</v>
      </c>
      <c r="P315" s="2" t="n">
        <v>179.6</v>
      </c>
      <c r="Q315" s="2" t="n">
        <v>1.97</v>
      </c>
      <c r="R315" s="2" t="n">
        <v>0</v>
      </c>
      <c r="S315" s="5">
        <f>G315/F315</f>
        <v/>
      </c>
      <c r="T315" s="5">
        <f>MAX(0,1-J315/8)</f>
        <v/>
      </c>
      <c r="U315" s="5">
        <f>IFERROR(G315/(F315*T315),0)</f>
        <v/>
      </c>
      <c r="V315" s="5">
        <f>IFERROR(H315/G315,0)</f>
        <v/>
      </c>
      <c r="W315" s="5">
        <f>T315*U315*V315</f>
        <v/>
      </c>
      <c r="X315" s="5">
        <f>IFERROR(I315/G315,0)</f>
        <v/>
      </c>
      <c r="Y315" s="6">
        <f>IFERROR(G315/M315,0)</f>
        <v/>
      </c>
      <c r="Z315" s="6">
        <f>IFERROR(O315/G315,0)</f>
        <v/>
      </c>
      <c r="AA315" s="2">
        <f>IF(L315="None","No Maintenance",IF(L315="Preventive","Planned","Breakdown"))</f>
        <v/>
      </c>
    </row>
    <row r="316">
      <c r="A316" s="2" t="n">
        <v>312</v>
      </c>
      <c r="B316" s="4" t="n">
        <v>46126</v>
      </c>
      <c r="C316" s="2" t="inlineStr">
        <is>
          <t>Night</t>
        </is>
      </c>
      <c r="D316" s="2" t="inlineStr">
        <is>
          <t>Line 1</t>
        </is>
      </c>
      <c r="E316" s="2" t="inlineStr">
        <is>
          <t>Paprika Chips</t>
        </is>
      </c>
      <c r="F316" s="2" t="n">
        <v>990</v>
      </c>
      <c r="G316" s="2" t="n">
        <v>580.5</v>
      </c>
      <c r="H316" s="2" t="n">
        <v>570</v>
      </c>
      <c r="I316" s="2" t="n">
        <v>10.5</v>
      </c>
      <c r="J316" s="2" t="n">
        <v>2.96</v>
      </c>
      <c r="K316" s="2" t="inlineStr">
        <is>
          <t>Raw Material Shortage</t>
        </is>
      </c>
      <c r="L316" s="2" t="inlineStr">
        <is>
          <t>Corrective</t>
        </is>
      </c>
      <c r="M316" s="2" t="n">
        <v>1239.5</v>
      </c>
      <c r="N316" s="2" t="n">
        <v>185.8</v>
      </c>
      <c r="O316" s="2" t="n">
        <v>73783</v>
      </c>
      <c r="P316" s="2" t="n">
        <v>173.3</v>
      </c>
      <c r="Q316" s="2" t="n">
        <v>1.71</v>
      </c>
      <c r="R316" s="2" t="n">
        <v>486.15</v>
      </c>
      <c r="S316" s="5">
        <f>G316/F316</f>
        <v/>
      </c>
      <c r="T316" s="5">
        <f>MAX(0,1-J316/8)</f>
        <v/>
      </c>
      <c r="U316" s="5">
        <f>IFERROR(G316/(F316*T316),0)</f>
        <v/>
      </c>
      <c r="V316" s="5">
        <f>IFERROR(H316/G316,0)</f>
        <v/>
      </c>
      <c r="W316" s="5">
        <f>T316*U316*V316</f>
        <v/>
      </c>
      <c r="X316" s="5">
        <f>IFERROR(I316/G316,0)</f>
        <v/>
      </c>
      <c r="Y316" s="6">
        <f>IFERROR(G316/M316,0)</f>
        <v/>
      </c>
      <c r="Z316" s="6">
        <f>IFERROR(O316/G316,0)</f>
        <v/>
      </c>
      <c r="AA316" s="2">
        <f>IF(L316="None","No Maintenance",IF(L316="Preventive","Planned","Breakdown"))</f>
        <v/>
      </c>
    </row>
    <row r="317">
      <c r="A317" s="2" t="n">
        <v>313</v>
      </c>
      <c r="B317" s="4" t="n">
        <v>46127</v>
      </c>
      <c r="C317" s="2" t="inlineStr">
        <is>
          <t>Day</t>
        </is>
      </c>
      <c r="D317" s="2" t="inlineStr">
        <is>
          <t>Line 1</t>
        </is>
      </c>
      <c r="E317" s="2" t="inlineStr">
        <is>
          <t>Paprika Chips</t>
        </is>
      </c>
      <c r="F317" s="2" t="n">
        <v>941</v>
      </c>
      <c r="G317" s="2" t="n">
        <v>911.1</v>
      </c>
      <c r="H317" s="2" t="n">
        <v>894.4</v>
      </c>
      <c r="I317" s="2" t="n">
        <v>16.7</v>
      </c>
      <c r="J317" s="2" t="n">
        <v>0.39</v>
      </c>
      <c r="K317" s="2" t="inlineStr">
        <is>
          <t>No Downtime</t>
        </is>
      </c>
      <c r="L317" s="2" t="inlineStr">
        <is>
          <t>None</t>
        </is>
      </c>
      <c r="M317" s="2" t="n">
        <v>1962.2</v>
      </c>
      <c r="N317" s="2" t="n">
        <v>311.1</v>
      </c>
      <c r="O317" s="2" t="n">
        <v>103469.1</v>
      </c>
      <c r="P317" s="2" t="n">
        <v>179.4</v>
      </c>
      <c r="Q317" s="2" t="n">
        <v>1.91</v>
      </c>
      <c r="R317" s="2" t="n">
        <v>0</v>
      </c>
      <c r="S317" s="5">
        <f>G317/F317</f>
        <v/>
      </c>
      <c r="T317" s="5">
        <f>MAX(0,1-J317/8)</f>
        <v/>
      </c>
      <c r="U317" s="5">
        <f>IFERROR(G317/(F317*T317),0)</f>
        <v/>
      </c>
      <c r="V317" s="5">
        <f>IFERROR(H317/G317,0)</f>
        <v/>
      </c>
      <c r="W317" s="5">
        <f>T317*U317*V317</f>
        <v/>
      </c>
      <c r="X317" s="5">
        <f>IFERROR(I317/G317,0)</f>
        <v/>
      </c>
      <c r="Y317" s="6">
        <f>IFERROR(G317/M317,0)</f>
        <v/>
      </c>
      <c r="Z317" s="6">
        <f>IFERROR(O317/G317,0)</f>
        <v/>
      </c>
      <c r="AA317" s="2">
        <f>IF(L317="None","No Maintenance",IF(L317="Preventive","Planned","Breakdown"))</f>
        <v/>
      </c>
    </row>
    <row r="318">
      <c r="A318" s="2" t="n">
        <v>314</v>
      </c>
      <c r="B318" s="4" t="n">
        <v>46127</v>
      </c>
      <c r="C318" s="2" t="inlineStr">
        <is>
          <t>Evening</t>
        </is>
      </c>
      <c r="D318" s="2" t="inlineStr">
        <is>
          <t>Line 2</t>
        </is>
      </c>
      <c r="E318" s="2" t="inlineStr">
        <is>
          <t>Classic Chips</t>
        </is>
      </c>
      <c r="F318" s="2" t="n">
        <v>971</v>
      </c>
      <c r="G318" s="2" t="n">
        <v>616</v>
      </c>
      <c r="H318" s="2" t="n">
        <v>599.6</v>
      </c>
      <c r="I318" s="2" t="n">
        <v>16.4</v>
      </c>
      <c r="J318" s="2" t="n">
        <v>3.31</v>
      </c>
      <c r="K318" s="2" t="inlineStr">
        <is>
          <t>Quality Hold</t>
        </is>
      </c>
      <c r="L318" s="2" t="inlineStr">
        <is>
          <t>Corrective</t>
        </is>
      </c>
      <c r="M318" s="2" t="n">
        <v>1279.5</v>
      </c>
      <c r="N318" s="2" t="n">
        <v>191.5</v>
      </c>
      <c r="O318" s="2" t="n">
        <v>67584.8</v>
      </c>
      <c r="P318" s="2" t="n">
        <v>174.4</v>
      </c>
      <c r="Q318" s="2" t="n">
        <v>1.63</v>
      </c>
      <c r="R318" s="2" t="n">
        <v>533.54</v>
      </c>
      <c r="S318" s="5">
        <f>G318/F318</f>
        <v/>
      </c>
      <c r="T318" s="5">
        <f>MAX(0,1-J318/8)</f>
        <v/>
      </c>
      <c r="U318" s="5">
        <f>IFERROR(G318/(F318*T318),0)</f>
        <v/>
      </c>
      <c r="V318" s="5">
        <f>IFERROR(H318/G318,0)</f>
        <v/>
      </c>
      <c r="W318" s="5">
        <f>T318*U318*V318</f>
        <v/>
      </c>
      <c r="X318" s="5">
        <f>IFERROR(I318/G318,0)</f>
        <v/>
      </c>
      <c r="Y318" s="6">
        <f>IFERROR(G318/M318,0)</f>
        <v/>
      </c>
      <c r="Z318" s="6">
        <f>IFERROR(O318/G318,0)</f>
        <v/>
      </c>
      <c r="AA318" s="2">
        <f>IF(L318="None","No Maintenance",IF(L318="Preventive","Planned","Breakdown"))</f>
        <v/>
      </c>
    </row>
    <row r="319">
      <c r="A319" s="2" t="n">
        <v>315</v>
      </c>
      <c r="B319" s="4" t="n">
        <v>46127</v>
      </c>
      <c r="C319" s="2" t="inlineStr">
        <is>
          <t>Night</t>
        </is>
      </c>
      <c r="D319" s="2" t="inlineStr">
        <is>
          <t>Line 2</t>
        </is>
      </c>
      <c r="E319" s="2" t="inlineStr">
        <is>
          <t>Salt &amp; Vinegar</t>
        </is>
      </c>
      <c r="F319" s="2" t="n">
        <v>1045</v>
      </c>
      <c r="G319" s="2" t="n">
        <v>767.3</v>
      </c>
      <c r="H319" s="2" t="n">
        <v>757.1</v>
      </c>
      <c r="I319" s="2" t="n">
        <v>10.2</v>
      </c>
      <c r="J319" s="2" t="n">
        <v>0.58</v>
      </c>
      <c r="K319" s="2" t="inlineStr">
        <is>
          <t>Conveyor Jam</t>
        </is>
      </c>
      <c r="L319" s="2" t="inlineStr">
        <is>
          <t>Corrective</t>
        </is>
      </c>
      <c r="M319" s="2" t="n">
        <v>1614.9</v>
      </c>
      <c r="N319" s="2" t="n">
        <v>264.4</v>
      </c>
      <c r="O319" s="2" t="n">
        <v>91913.7</v>
      </c>
      <c r="P319" s="2" t="n">
        <v>178.2</v>
      </c>
      <c r="Q319" s="2" t="n">
        <v>1.94</v>
      </c>
      <c r="R319" s="2" t="n">
        <v>739</v>
      </c>
      <c r="S319" s="5">
        <f>G319/F319</f>
        <v/>
      </c>
      <c r="T319" s="5">
        <f>MAX(0,1-J319/8)</f>
        <v/>
      </c>
      <c r="U319" s="5">
        <f>IFERROR(G319/(F319*T319),0)</f>
        <v/>
      </c>
      <c r="V319" s="5">
        <f>IFERROR(H319/G319,0)</f>
        <v/>
      </c>
      <c r="W319" s="5">
        <f>T319*U319*V319</f>
        <v/>
      </c>
      <c r="X319" s="5">
        <f>IFERROR(I319/G319,0)</f>
        <v/>
      </c>
      <c r="Y319" s="6">
        <f>IFERROR(G319/M319,0)</f>
        <v/>
      </c>
      <c r="Z319" s="6">
        <f>IFERROR(O319/G319,0)</f>
        <v/>
      </c>
      <c r="AA319" s="2">
        <f>IF(L319="None","No Maintenance",IF(L319="Preventive","Planned","Breakdown"))</f>
        <v/>
      </c>
    </row>
    <row r="320">
      <c r="A320" s="2" t="n">
        <v>316</v>
      </c>
      <c r="B320" s="4" t="n">
        <v>46128</v>
      </c>
      <c r="C320" s="2" t="inlineStr">
        <is>
          <t>Day</t>
        </is>
      </c>
      <c r="D320" s="2" t="inlineStr">
        <is>
          <t>Line 2</t>
        </is>
      </c>
      <c r="E320" s="2" t="inlineStr">
        <is>
          <t>Paprika Chips</t>
        </is>
      </c>
      <c r="F320" s="2" t="n">
        <v>914</v>
      </c>
      <c r="G320" s="2" t="n">
        <v>711.1</v>
      </c>
      <c r="H320" s="2" t="n">
        <v>701.9</v>
      </c>
      <c r="I320" s="2" t="n">
        <v>9.300000000000001</v>
      </c>
      <c r="J320" s="2" t="n">
        <v>0.14</v>
      </c>
      <c r="K320" s="2" t="inlineStr">
        <is>
          <t>No Downtime</t>
        </is>
      </c>
      <c r="L320" s="2" t="inlineStr">
        <is>
          <t>None</t>
        </is>
      </c>
      <c r="M320" s="2" t="n">
        <v>1487.3</v>
      </c>
      <c r="N320" s="2" t="n">
        <v>222.9</v>
      </c>
      <c r="O320" s="2" t="n">
        <v>80936.39999999999</v>
      </c>
      <c r="P320" s="2" t="n">
        <v>177.4</v>
      </c>
      <c r="Q320" s="2" t="n">
        <v>1.56</v>
      </c>
      <c r="R320" s="2" t="n">
        <v>0</v>
      </c>
      <c r="S320" s="5">
        <f>G320/F320</f>
        <v/>
      </c>
      <c r="T320" s="5">
        <f>MAX(0,1-J320/8)</f>
        <v/>
      </c>
      <c r="U320" s="5">
        <f>IFERROR(G320/(F320*T320),0)</f>
        <v/>
      </c>
      <c r="V320" s="5">
        <f>IFERROR(H320/G320,0)</f>
        <v/>
      </c>
      <c r="W320" s="5">
        <f>T320*U320*V320</f>
        <v/>
      </c>
      <c r="X320" s="5">
        <f>IFERROR(I320/G320,0)</f>
        <v/>
      </c>
      <c r="Y320" s="6">
        <f>IFERROR(G320/M320,0)</f>
        <v/>
      </c>
      <c r="Z320" s="6">
        <f>IFERROR(O320/G320,0)</f>
        <v/>
      </c>
      <c r="AA320" s="2">
        <f>IF(L320="None","No Maintenance",IF(L320="Preventive","Planned","Breakdown"))</f>
        <v/>
      </c>
    </row>
    <row r="321">
      <c r="A321" s="2" t="n">
        <v>317</v>
      </c>
      <c r="B321" s="4" t="n">
        <v>46128</v>
      </c>
      <c r="C321" s="2" t="inlineStr">
        <is>
          <t>Evening</t>
        </is>
      </c>
      <c r="D321" s="2" t="inlineStr">
        <is>
          <t>Line 1</t>
        </is>
      </c>
      <c r="E321" s="2" t="inlineStr">
        <is>
          <t>Paprika Chips</t>
        </is>
      </c>
      <c r="F321" s="2" t="n">
        <v>960</v>
      </c>
      <c r="G321" s="2" t="n">
        <v>879.7</v>
      </c>
      <c r="H321" s="2" t="n">
        <v>862.4</v>
      </c>
      <c r="I321" s="2" t="n">
        <v>17.3</v>
      </c>
      <c r="J321" s="2" t="n">
        <v>0.33</v>
      </c>
      <c r="K321" s="2" t="inlineStr">
        <is>
          <t>No Downtime</t>
        </is>
      </c>
      <c r="L321" s="2" t="inlineStr">
        <is>
          <t>None</t>
        </is>
      </c>
      <c r="M321" s="2" t="n">
        <v>1807.1</v>
      </c>
      <c r="N321" s="2" t="n">
        <v>243.3</v>
      </c>
      <c r="O321" s="2" t="n">
        <v>99126.7</v>
      </c>
      <c r="P321" s="2" t="n">
        <v>173.8</v>
      </c>
      <c r="Q321" s="2" t="n">
        <v>1.84</v>
      </c>
      <c r="R321" s="2" t="n">
        <v>0</v>
      </c>
      <c r="S321" s="5">
        <f>G321/F321</f>
        <v/>
      </c>
      <c r="T321" s="5">
        <f>MAX(0,1-J321/8)</f>
        <v/>
      </c>
      <c r="U321" s="5">
        <f>IFERROR(G321/(F321*T321),0)</f>
        <v/>
      </c>
      <c r="V321" s="5">
        <f>IFERROR(H321/G321,0)</f>
        <v/>
      </c>
      <c r="W321" s="5">
        <f>T321*U321*V321</f>
        <v/>
      </c>
      <c r="X321" s="5">
        <f>IFERROR(I321/G321,0)</f>
        <v/>
      </c>
      <c r="Y321" s="6">
        <f>IFERROR(G321/M321,0)</f>
        <v/>
      </c>
      <c r="Z321" s="6">
        <f>IFERROR(O321/G321,0)</f>
        <v/>
      </c>
      <c r="AA321" s="2">
        <f>IF(L321="None","No Maintenance",IF(L321="Preventive","Planned","Breakdown"))</f>
        <v/>
      </c>
    </row>
    <row r="322">
      <c r="A322" s="2" t="n">
        <v>318</v>
      </c>
      <c r="B322" s="4" t="n">
        <v>46128</v>
      </c>
      <c r="C322" s="2" t="inlineStr">
        <is>
          <t>Night</t>
        </is>
      </c>
      <c r="D322" s="2" t="inlineStr">
        <is>
          <t>Line 1</t>
        </is>
      </c>
      <c r="E322" s="2" t="inlineStr">
        <is>
          <t>Salt &amp; Vinegar</t>
        </is>
      </c>
      <c r="F322" s="2" t="n">
        <v>1045</v>
      </c>
      <c r="G322" s="2" t="n">
        <v>763</v>
      </c>
      <c r="H322" s="2" t="n">
        <v>754.6</v>
      </c>
      <c r="I322" s="2" t="n">
        <v>8.4</v>
      </c>
      <c r="J322" s="2" t="n">
        <v>0.95</v>
      </c>
      <c r="K322" s="2" t="inlineStr">
        <is>
          <t>Raw Material Shortage</t>
        </is>
      </c>
      <c r="L322" s="2" t="inlineStr">
        <is>
          <t>Corrective</t>
        </is>
      </c>
      <c r="M322" s="2" t="n">
        <v>1495.6</v>
      </c>
      <c r="N322" s="2" t="n">
        <v>231.4</v>
      </c>
      <c r="O322" s="2" t="n">
        <v>82069</v>
      </c>
      <c r="P322" s="2" t="n">
        <v>173.6</v>
      </c>
      <c r="Q322" s="2" t="n">
        <v>1.76</v>
      </c>
      <c r="R322" s="2" t="n">
        <v>412.01</v>
      </c>
      <c r="S322" s="5">
        <f>G322/F322</f>
        <v/>
      </c>
      <c r="T322" s="5">
        <f>MAX(0,1-J322/8)</f>
        <v/>
      </c>
      <c r="U322" s="5">
        <f>IFERROR(G322/(F322*T322),0)</f>
        <v/>
      </c>
      <c r="V322" s="5">
        <f>IFERROR(H322/G322,0)</f>
        <v/>
      </c>
      <c r="W322" s="5">
        <f>T322*U322*V322</f>
        <v/>
      </c>
      <c r="X322" s="5">
        <f>IFERROR(I322/G322,0)</f>
        <v/>
      </c>
      <c r="Y322" s="6">
        <f>IFERROR(G322/M322,0)</f>
        <v/>
      </c>
      <c r="Z322" s="6">
        <f>IFERROR(O322/G322,0)</f>
        <v/>
      </c>
      <c r="AA322" s="2">
        <f>IF(L322="None","No Maintenance",IF(L322="Preventive","Planned","Breakdown"))</f>
        <v/>
      </c>
    </row>
    <row r="323">
      <c r="A323" s="2" t="n">
        <v>319</v>
      </c>
      <c r="B323" s="4" t="n">
        <v>46129</v>
      </c>
      <c r="C323" s="2" t="inlineStr">
        <is>
          <t>Day</t>
        </is>
      </c>
      <c r="D323" s="2" t="inlineStr">
        <is>
          <t>Line 2</t>
        </is>
      </c>
      <c r="E323" s="2" t="inlineStr">
        <is>
          <t>Salt &amp; Vinegar</t>
        </is>
      </c>
      <c r="F323" s="2" t="n">
        <v>903</v>
      </c>
      <c r="G323" s="2" t="n">
        <v>728.4</v>
      </c>
      <c r="H323" s="2" t="n">
        <v>718</v>
      </c>
      <c r="I323" s="2" t="n">
        <v>10.4</v>
      </c>
      <c r="J323" s="2" t="n">
        <v>1.48</v>
      </c>
      <c r="K323" s="2" t="inlineStr">
        <is>
          <t>Quality Hold</t>
        </is>
      </c>
      <c r="L323" s="2" t="inlineStr">
        <is>
          <t>Corrective</t>
        </is>
      </c>
      <c r="M323" s="2" t="n">
        <v>1500.3</v>
      </c>
      <c r="N323" s="2" t="n">
        <v>238.5</v>
      </c>
      <c r="O323" s="2" t="n">
        <v>97507</v>
      </c>
      <c r="P323" s="2" t="n">
        <v>171.7</v>
      </c>
      <c r="Q323" s="2" t="n">
        <v>1.78</v>
      </c>
      <c r="R323" s="2" t="n">
        <v>773.08</v>
      </c>
      <c r="S323" s="5">
        <f>G323/F323</f>
        <v/>
      </c>
      <c r="T323" s="5">
        <f>MAX(0,1-J323/8)</f>
        <v/>
      </c>
      <c r="U323" s="5">
        <f>IFERROR(G323/(F323*T323),0)</f>
        <v/>
      </c>
      <c r="V323" s="5">
        <f>IFERROR(H323/G323,0)</f>
        <v/>
      </c>
      <c r="W323" s="5">
        <f>T323*U323*V323</f>
        <v/>
      </c>
      <c r="X323" s="5">
        <f>IFERROR(I323/G323,0)</f>
        <v/>
      </c>
      <c r="Y323" s="6">
        <f>IFERROR(G323/M323,0)</f>
        <v/>
      </c>
      <c r="Z323" s="6">
        <f>IFERROR(O323/G323,0)</f>
        <v/>
      </c>
      <c r="AA323" s="2">
        <f>IF(L323="None","No Maintenance",IF(L323="Preventive","Planned","Breakdown"))</f>
        <v/>
      </c>
    </row>
    <row r="324">
      <c r="A324" s="2" t="n">
        <v>320</v>
      </c>
      <c r="B324" s="4" t="n">
        <v>46129</v>
      </c>
      <c r="C324" s="2" t="inlineStr">
        <is>
          <t>Evening</t>
        </is>
      </c>
      <c r="D324" s="2" t="inlineStr">
        <is>
          <t>Line 1</t>
        </is>
      </c>
      <c r="E324" s="2" t="inlineStr">
        <is>
          <t>Classic Chips</t>
        </is>
      </c>
      <c r="F324" s="2" t="n">
        <v>950</v>
      </c>
      <c r="G324" s="2" t="n">
        <v>574.5</v>
      </c>
      <c r="H324" s="2" t="n">
        <v>567.6</v>
      </c>
      <c r="I324" s="2" t="n">
        <v>7</v>
      </c>
      <c r="J324" s="2" t="n">
        <v>2.86</v>
      </c>
      <c r="K324" s="2" t="inlineStr">
        <is>
          <t>Conveyor Jam</t>
        </is>
      </c>
      <c r="L324" s="2" t="inlineStr">
        <is>
          <t>Corrective</t>
        </is>
      </c>
      <c r="M324" s="2" t="n">
        <v>1200.4</v>
      </c>
      <c r="N324" s="2" t="n">
        <v>191.4</v>
      </c>
      <c r="O324" s="2" t="n">
        <v>68816.60000000001</v>
      </c>
      <c r="P324" s="2" t="n">
        <v>177.3</v>
      </c>
      <c r="Q324" s="2" t="n">
        <v>1.59</v>
      </c>
      <c r="R324" s="2" t="n">
        <v>884.58</v>
      </c>
      <c r="S324" s="5">
        <f>G324/F324</f>
        <v/>
      </c>
      <c r="T324" s="5">
        <f>MAX(0,1-J324/8)</f>
        <v/>
      </c>
      <c r="U324" s="5">
        <f>IFERROR(G324/(F324*T324),0)</f>
        <v/>
      </c>
      <c r="V324" s="5">
        <f>IFERROR(H324/G324,0)</f>
        <v/>
      </c>
      <c r="W324" s="5">
        <f>T324*U324*V324</f>
        <v/>
      </c>
      <c r="X324" s="5">
        <f>IFERROR(I324/G324,0)</f>
        <v/>
      </c>
      <c r="Y324" s="6">
        <f>IFERROR(G324/M324,0)</f>
        <v/>
      </c>
      <c r="Z324" s="6">
        <f>IFERROR(O324/G324,0)</f>
        <v/>
      </c>
      <c r="AA324" s="2">
        <f>IF(L324="None","No Maintenance",IF(L324="Preventive","Planned","Breakdown"))</f>
        <v/>
      </c>
    </row>
    <row r="325">
      <c r="A325" s="2" t="n">
        <v>321</v>
      </c>
      <c r="B325" s="4" t="n">
        <v>46129</v>
      </c>
      <c r="C325" s="2" t="inlineStr">
        <is>
          <t>Night</t>
        </is>
      </c>
      <c r="D325" s="2" t="inlineStr">
        <is>
          <t>Line 1</t>
        </is>
      </c>
      <c r="E325" s="2" t="inlineStr">
        <is>
          <t>Paprika Chips</t>
        </is>
      </c>
      <c r="F325" s="2" t="n">
        <v>932</v>
      </c>
      <c r="G325" s="2" t="n">
        <v>594.1</v>
      </c>
      <c r="H325" s="2" t="n">
        <v>587.9</v>
      </c>
      <c r="I325" s="2" t="n">
        <v>6.2</v>
      </c>
      <c r="J325" s="2" t="n">
        <v>2.81</v>
      </c>
      <c r="K325" s="2" t="inlineStr">
        <is>
          <t>Electrical Fault</t>
        </is>
      </c>
      <c r="L325" s="2" t="inlineStr">
        <is>
          <t>Corrective</t>
        </is>
      </c>
      <c r="M325" s="2" t="n">
        <v>1178</v>
      </c>
      <c r="N325" s="2" t="n">
        <v>175.3</v>
      </c>
      <c r="O325" s="2" t="n">
        <v>71048</v>
      </c>
      <c r="P325" s="2" t="n">
        <v>177.9</v>
      </c>
      <c r="Q325" s="2" t="n">
        <v>1.38</v>
      </c>
      <c r="R325" s="2" t="n">
        <v>437.85</v>
      </c>
      <c r="S325" s="5">
        <f>G325/F325</f>
        <v/>
      </c>
      <c r="T325" s="5">
        <f>MAX(0,1-J325/8)</f>
        <v/>
      </c>
      <c r="U325" s="5">
        <f>IFERROR(G325/(F325*T325),0)</f>
        <v/>
      </c>
      <c r="V325" s="5">
        <f>IFERROR(H325/G325,0)</f>
        <v/>
      </c>
      <c r="W325" s="5">
        <f>T325*U325*V325</f>
        <v/>
      </c>
      <c r="X325" s="5">
        <f>IFERROR(I325/G325,0)</f>
        <v/>
      </c>
      <c r="Y325" s="6">
        <f>IFERROR(G325/M325,0)</f>
        <v/>
      </c>
      <c r="Z325" s="6">
        <f>IFERROR(O325/G325,0)</f>
        <v/>
      </c>
      <c r="AA325" s="2">
        <f>IF(L325="None","No Maintenance",IF(L325="Preventive","Planned","Breakdown"))</f>
        <v/>
      </c>
    </row>
    <row r="326">
      <c r="A326" s="2" t="n">
        <v>322</v>
      </c>
      <c r="B326" s="4" t="n">
        <v>46130</v>
      </c>
      <c r="C326" s="2" t="inlineStr">
        <is>
          <t>Day</t>
        </is>
      </c>
      <c r="D326" s="2" t="inlineStr">
        <is>
          <t>Line 2</t>
        </is>
      </c>
      <c r="E326" s="2" t="inlineStr">
        <is>
          <t>Classic Chips</t>
        </is>
      </c>
      <c r="F326" s="2" t="n">
        <v>1028</v>
      </c>
      <c r="G326" s="2" t="n">
        <v>649.7</v>
      </c>
      <c r="H326" s="2" t="n">
        <v>634.9</v>
      </c>
      <c r="I326" s="2" t="n">
        <v>14.8</v>
      </c>
      <c r="J326" s="2" t="n">
        <v>3.09</v>
      </c>
      <c r="K326" s="2" t="inlineStr">
        <is>
          <t>Packaging Machine</t>
        </is>
      </c>
      <c r="L326" s="2" t="inlineStr">
        <is>
          <t>Corrective</t>
        </is>
      </c>
      <c r="M326" s="2" t="n">
        <v>1363.1</v>
      </c>
      <c r="N326" s="2" t="n">
        <v>220.7</v>
      </c>
      <c r="O326" s="2" t="n">
        <v>78795.5</v>
      </c>
      <c r="P326" s="2" t="n">
        <v>172.1</v>
      </c>
      <c r="Q326" s="2" t="n">
        <v>1.85</v>
      </c>
      <c r="R326" s="2" t="n">
        <v>899.65</v>
      </c>
      <c r="S326" s="5">
        <f>G326/F326</f>
        <v/>
      </c>
      <c r="T326" s="5">
        <f>MAX(0,1-J326/8)</f>
        <v/>
      </c>
      <c r="U326" s="5">
        <f>IFERROR(G326/(F326*T326),0)</f>
        <v/>
      </c>
      <c r="V326" s="5">
        <f>IFERROR(H326/G326,0)</f>
        <v/>
      </c>
      <c r="W326" s="5">
        <f>T326*U326*V326</f>
        <v/>
      </c>
      <c r="X326" s="5">
        <f>IFERROR(I326/G326,0)</f>
        <v/>
      </c>
      <c r="Y326" s="6">
        <f>IFERROR(G326/M326,0)</f>
        <v/>
      </c>
      <c r="Z326" s="6">
        <f>IFERROR(O326/G326,0)</f>
        <v/>
      </c>
      <c r="AA326" s="2">
        <f>IF(L326="None","No Maintenance",IF(L326="Preventive","Planned","Breakdown"))</f>
        <v/>
      </c>
    </row>
    <row r="327">
      <c r="A327" s="2" t="n">
        <v>323</v>
      </c>
      <c r="B327" s="4" t="n">
        <v>46130</v>
      </c>
      <c r="C327" s="2" t="inlineStr">
        <is>
          <t>Evening</t>
        </is>
      </c>
      <c r="D327" s="2" t="inlineStr">
        <is>
          <t>Line 1</t>
        </is>
      </c>
      <c r="E327" s="2" t="inlineStr">
        <is>
          <t>Paprika Chips</t>
        </is>
      </c>
      <c r="F327" s="2" t="n">
        <v>901</v>
      </c>
      <c r="G327" s="2" t="n">
        <v>810.5</v>
      </c>
      <c r="H327" s="2" t="n">
        <v>798.3</v>
      </c>
      <c r="I327" s="2" t="n">
        <v>12.2</v>
      </c>
      <c r="J327" s="2" t="n">
        <v>0.06</v>
      </c>
      <c r="K327" s="2" t="inlineStr">
        <is>
          <t>No Downtime</t>
        </is>
      </c>
      <c r="L327" s="2" t="inlineStr">
        <is>
          <t>None</t>
        </is>
      </c>
      <c r="M327" s="2" t="n">
        <v>1621.5</v>
      </c>
      <c r="N327" s="2" t="n">
        <v>266.2</v>
      </c>
      <c r="O327" s="2" t="n">
        <v>91269.3</v>
      </c>
      <c r="P327" s="2" t="n">
        <v>182.4</v>
      </c>
      <c r="Q327" s="2" t="n">
        <v>1.73</v>
      </c>
      <c r="R327" s="2" t="n">
        <v>0</v>
      </c>
      <c r="S327" s="5">
        <f>G327/F327</f>
        <v/>
      </c>
      <c r="T327" s="5">
        <f>MAX(0,1-J327/8)</f>
        <v/>
      </c>
      <c r="U327" s="5">
        <f>IFERROR(G327/(F327*T327),0)</f>
        <v/>
      </c>
      <c r="V327" s="5">
        <f>IFERROR(H327/G327,0)</f>
        <v/>
      </c>
      <c r="W327" s="5">
        <f>T327*U327*V327</f>
        <v/>
      </c>
      <c r="X327" s="5">
        <f>IFERROR(I327/G327,0)</f>
        <v/>
      </c>
      <c r="Y327" s="6">
        <f>IFERROR(G327/M327,0)</f>
        <v/>
      </c>
      <c r="Z327" s="6">
        <f>IFERROR(O327/G327,0)</f>
        <v/>
      </c>
      <c r="AA327" s="2">
        <f>IF(L327="None","No Maintenance",IF(L327="Preventive","Planned","Breakdown"))</f>
        <v/>
      </c>
    </row>
    <row r="328">
      <c r="A328" s="2" t="n">
        <v>324</v>
      </c>
      <c r="B328" s="4" t="n">
        <v>46130</v>
      </c>
      <c r="C328" s="2" t="inlineStr">
        <is>
          <t>Night</t>
        </is>
      </c>
      <c r="D328" s="2" t="inlineStr">
        <is>
          <t>Line 2</t>
        </is>
      </c>
      <c r="E328" s="2" t="inlineStr">
        <is>
          <t>Paprika Chips</t>
        </is>
      </c>
      <c r="F328" s="2" t="n">
        <v>1014</v>
      </c>
      <c r="G328" s="2" t="n">
        <v>851.6</v>
      </c>
      <c r="H328" s="2" t="n">
        <v>838.7</v>
      </c>
      <c r="I328" s="2" t="n">
        <v>13</v>
      </c>
      <c r="J328" s="2" t="n">
        <v>0.04</v>
      </c>
      <c r="K328" s="2" t="inlineStr">
        <is>
          <t>No Downtime</t>
        </is>
      </c>
      <c r="L328" s="2" t="inlineStr">
        <is>
          <t>None</t>
        </is>
      </c>
      <c r="M328" s="2" t="n">
        <v>1765.4</v>
      </c>
      <c r="N328" s="2" t="n">
        <v>257.6</v>
      </c>
      <c r="O328" s="2" t="n">
        <v>97857</v>
      </c>
      <c r="P328" s="2" t="n">
        <v>184.9</v>
      </c>
      <c r="Q328" s="2" t="n">
        <v>1.9</v>
      </c>
      <c r="R328" s="2" t="n">
        <v>0</v>
      </c>
      <c r="S328" s="5">
        <f>G328/F328</f>
        <v/>
      </c>
      <c r="T328" s="5">
        <f>MAX(0,1-J328/8)</f>
        <v/>
      </c>
      <c r="U328" s="5">
        <f>IFERROR(G328/(F328*T328),0)</f>
        <v/>
      </c>
      <c r="V328" s="5">
        <f>IFERROR(H328/G328,0)</f>
        <v/>
      </c>
      <c r="W328" s="5">
        <f>T328*U328*V328</f>
        <v/>
      </c>
      <c r="X328" s="5">
        <f>IFERROR(I328/G328,0)</f>
        <v/>
      </c>
      <c r="Y328" s="6">
        <f>IFERROR(G328/M328,0)</f>
        <v/>
      </c>
      <c r="Z328" s="6">
        <f>IFERROR(O328/G328,0)</f>
        <v/>
      </c>
      <c r="AA328" s="2">
        <f>IF(L328="None","No Maintenance",IF(L328="Preventive","Planned","Breakdown"))</f>
        <v/>
      </c>
    </row>
    <row r="329">
      <c r="A329" s="2" t="n">
        <v>325</v>
      </c>
      <c r="B329" s="4" t="n">
        <v>46131</v>
      </c>
      <c r="C329" s="2" t="inlineStr">
        <is>
          <t>Day</t>
        </is>
      </c>
      <c r="D329" s="2" t="inlineStr">
        <is>
          <t>Line 1</t>
        </is>
      </c>
      <c r="E329" s="2" t="inlineStr">
        <is>
          <t>Salt &amp; Vinegar</t>
        </is>
      </c>
      <c r="F329" s="2" t="n">
        <v>950</v>
      </c>
      <c r="G329" s="2" t="n">
        <v>878.5</v>
      </c>
      <c r="H329" s="2" t="n">
        <v>858.3</v>
      </c>
      <c r="I329" s="2" t="n">
        <v>20.2</v>
      </c>
      <c r="J329" s="2" t="n">
        <v>0.08</v>
      </c>
      <c r="K329" s="2" t="inlineStr">
        <is>
          <t>No Downtime</t>
        </is>
      </c>
      <c r="L329" s="2" t="inlineStr">
        <is>
          <t>None</t>
        </is>
      </c>
      <c r="M329" s="2" t="n">
        <v>1800.6</v>
      </c>
      <c r="N329" s="2" t="n">
        <v>312.8</v>
      </c>
      <c r="O329" s="2" t="n">
        <v>101654.4</v>
      </c>
      <c r="P329" s="2" t="n">
        <v>174</v>
      </c>
      <c r="Q329" s="2" t="n">
        <v>1.76</v>
      </c>
      <c r="R329" s="2" t="n">
        <v>0</v>
      </c>
      <c r="S329" s="5">
        <f>G329/F329</f>
        <v/>
      </c>
      <c r="T329" s="5">
        <f>MAX(0,1-J329/8)</f>
        <v/>
      </c>
      <c r="U329" s="5">
        <f>IFERROR(G329/(F329*T329),0)</f>
        <v/>
      </c>
      <c r="V329" s="5">
        <f>IFERROR(H329/G329,0)</f>
        <v/>
      </c>
      <c r="W329" s="5">
        <f>T329*U329*V329</f>
        <v/>
      </c>
      <c r="X329" s="5">
        <f>IFERROR(I329/G329,0)</f>
        <v/>
      </c>
      <c r="Y329" s="6">
        <f>IFERROR(G329/M329,0)</f>
        <v/>
      </c>
      <c r="Z329" s="6">
        <f>IFERROR(O329/G329,0)</f>
        <v/>
      </c>
      <c r="AA329" s="2">
        <f>IF(L329="None","No Maintenance",IF(L329="Preventive","Planned","Breakdown"))</f>
        <v/>
      </c>
    </row>
    <row r="330">
      <c r="A330" s="2" t="n">
        <v>326</v>
      </c>
      <c r="B330" s="4" t="n">
        <v>46131</v>
      </c>
      <c r="C330" s="2" t="inlineStr">
        <is>
          <t>Evening</t>
        </is>
      </c>
      <c r="D330" s="2" t="inlineStr">
        <is>
          <t>Line 1</t>
        </is>
      </c>
      <c r="E330" s="2" t="inlineStr">
        <is>
          <t>Salt &amp; Vinegar</t>
        </is>
      </c>
      <c r="F330" s="2" t="n">
        <v>934</v>
      </c>
      <c r="G330" s="2" t="n">
        <v>621.6</v>
      </c>
      <c r="H330" s="2" t="n">
        <v>617.7</v>
      </c>
      <c r="I330" s="2" t="n">
        <v>4</v>
      </c>
      <c r="J330" s="2" t="n">
        <v>1.66</v>
      </c>
      <c r="K330" s="2" t="inlineStr">
        <is>
          <t>Raw Material Shortage</t>
        </is>
      </c>
      <c r="L330" s="2" t="inlineStr">
        <is>
          <t>Corrective</t>
        </is>
      </c>
      <c r="M330" s="2" t="n">
        <v>1264.8</v>
      </c>
      <c r="N330" s="2" t="n">
        <v>179.4</v>
      </c>
      <c r="O330" s="2" t="n">
        <v>68120.2</v>
      </c>
      <c r="P330" s="2" t="n">
        <v>179.3</v>
      </c>
      <c r="Q330" s="2" t="n">
        <v>1.73</v>
      </c>
      <c r="R330" s="2" t="n">
        <v>501.58</v>
      </c>
      <c r="S330" s="5">
        <f>G330/F330</f>
        <v/>
      </c>
      <c r="T330" s="5">
        <f>MAX(0,1-J330/8)</f>
        <v/>
      </c>
      <c r="U330" s="5">
        <f>IFERROR(G330/(F330*T330),0)</f>
        <v/>
      </c>
      <c r="V330" s="5">
        <f>IFERROR(H330/G330,0)</f>
        <v/>
      </c>
      <c r="W330" s="5">
        <f>T330*U330*V330</f>
        <v/>
      </c>
      <c r="X330" s="5">
        <f>IFERROR(I330/G330,0)</f>
        <v/>
      </c>
      <c r="Y330" s="6">
        <f>IFERROR(G330/M330,0)</f>
        <v/>
      </c>
      <c r="Z330" s="6">
        <f>IFERROR(O330/G330,0)</f>
        <v/>
      </c>
      <c r="AA330" s="2">
        <f>IF(L330="None","No Maintenance",IF(L330="Preventive","Planned","Breakdown"))</f>
        <v/>
      </c>
    </row>
    <row r="331">
      <c r="A331" s="2" t="n">
        <v>327</v>
      </c>
      <c r="B331" s="4" t="n">
        <v>46131</v>
      </c>
      <c r="C331" s="2" t="inlineStr">
        <is>
          <t>Night</t>
        </is>
      </c>
      <c r="D331" s="2" t="inlineStr">
        <is>
          <t>Line 2</t>
        </is>
      </c>
      <c r="E331" s="2" t="inlineStr">
        <is>
          <t>Paprika Chips</t>
        </is>
      </c>
      <c r="F331" s="2" t="n">
        <v>948</v>
      </c>
      <c r="G331" s="2" t="n">
        <v>542.5</v>
      </c>
      <c r="H331" s="2" t="n">
        <v>530.3</v>
      </c>
      <c r="I331" s="2" t="n">
        <v>12.2</v>
      </c>
      <c r="J331" s="2" t="n">
        <v>3.15</v>
      </c>
      <c r="K331" s="2" t="inlineStr">
        <is>
          <t>Packaging Machine</t>
        </is>
      </c>
      <c r="L331" s="2" t="inlineStr">
        <is>
          <t>Corrective</t>
        </is>
      </c>
      <c r="M331" s="2" t="n">
        <v>1087.8</v>
      </c>
      <c r="N331" s="2" t="n">
        <v>169</v>
      </c>
      <c r="O331" s="2" t="n">
        <v>64993.6</v>
      </c>
      <c r="P331" s="2" t="n">
        <v>180.1</v>
      </c>
      <c r="Q331" s="2" t="n">
        <v>1.81</v>
      </c>
      <c r="R331" s="2" t="n">
        <v>762.53</v>
      </c>
      <c r="S331" s="5">
        <f>G331/F331</f>
        <v/>
      </c>
      <c r="T331" s="5">
        <f>MAX(0,1-J331/8)</f>
        <v/>
      </c>
      <c r="U331" s="5">
        <f>IFERROR(G331/(F331*T331),0)</f>
        <v/>
      </c>
      <c r="V331" s="5">
        <f>IFERROR(H331/G331,0)</f>
        <v/>
      </c>
      <c r="W331" s="5">
        <f>T331*U331*V331</f>
        <v/>
      </c>
      <c r="X331" s="5">
        <f>IFERROR(I331/G331,0)</f>
        <v/>
      </c>
      <c r="Y331" s="6">
        <f>IFERROR(G331/M331,0)</f>
        <v/>
      </c>
      <c r="Z331" s="6">
        <f>IFERROR(O331/G331,0)</f>
        <v/>
      </c>
      <c r="AA331" s="2">
        <f>IF(L331="None","No Maintenance",IF(L331="Preventive","Planned","Breakdown"))</f>
        <v/>
      </c>
    </row>
    <row r="332">
      <c r="A332" s="2" t="n">
        <v>328</v>
      </c>
      <c r="B332" s="4" t="n">
        <v>46132</v>
      </c>
      <c r="C332" s="2" t="inlineStr">
        <is>
          <t>Day</t>
        </is>
      </c>
      <c r="D332" s="2" t="inlineStr">
        <is>
          <t>Line 2</t>
        </is>
      </c>
      <c r="E332" s="2" t="inlineStr">
        <is>
          <t>Classic Chips</t>
        </is>
      </c>
      <c r="F332" s="2" t="n">
        <v>980</v>
      </c>
      <c r="G332" s="2" t="n">
        <v>769.8</v>
      </c>
      <c r="H332" s="2" t="n">
        <v>761.9</v>
      </c>
      <c r="I332" s="2" t="n">
        <v>7.9</v>
      </c>
      <c r="J332" s="2" t="n">
        <v>0.51</v>
      </c>
      <c r="K332" s="2" t="inlineStr">
        <is>
          <t>Fryer Temperature</t>
        </is>
      </c>
      <c r="L332" s="2" t="inlineStr">
        <is>
          <t>Corrective</t>
        </is>
      </c>
      <c r="M332" s="2" t="n">
        <v>1572.9</v>
      </c>
      <c r="N332" s="2" t="n">
        <v>234</v>
      </c>
      <c r="O332" s="2" t="n">
        <v>93955</v>
      </c>
      <c r="P332" s="2" t="n">
        <v>178.1</v>
      </c>
      <c r="Q332" s="2" t="n">
        <v>1.54</v>
      </c>
      <c r="R332" s="2" t="n">
        <v>733.83</v>
      </c>
      <c r="S332" s="5">
        <f>G332/F332</f>
        <v/>
      </c>
      <c r="T332" s="5">
        <f>MAX(0,1-J332/8)</f>
        <v/>
      </c>
      <c r="U332" s="5">
        <f>IFERROR(G332/(F332*T332),0)</f>
        <v/>
      </c>
      <c r="V332" s="5">
        <f>IFERROR(H332/G332,0)</f>
        <v/>
      </c>
      <c r="W332" s="5">
        <f>T332*U332*V332</f>
        <v/>
      </c>
      <c r="X332" s="5">
        <f>IFERROR(I332/G332,0)</f>
        <v/>
      </c>
      <c r="Y332" s="6">
        <f>IFERROR(G332/M332,0)</f>
        <v/>
      </c>
      <c r="Z332" s="6">
        <f>IFERROR(O332/G332,0)</f>
        <v/>
      </c>
      <c r="AA332" s="2">
        <f>IF(L332="None","No Maintenance",IF(L332="Preventive","Planned","Breakdown"))</f>
        <v/>
      </c>
    </row>
    <row r="333">
      <c r="A333" s="2" t="n">
        <v>329</v>
      </c>
      <c r="B333" s="4" t="n">
        <v>46132</v>
      </c>
      <c r="C333" s="2" t="inlineStr">
        <is>
          <t>Evening</t>
        </is>
      </c>
      <c r="D333" s="2" t="inlineStr">
        <is>
          <t>Line 1</t>
        </is>
      </c>
      <c r="E333" s="2" t="inlineStr">
        <is>
          <t>Classic Chips</t>
        </is>
      </c>
      <c r="F333" s="2" t="n">
        <v>1042</v>
      </c>
      <c r="G333" s="2" t="n">
        <v>713.3</v>
      </c>
      <c r="H333" s="2" t="n">
        <v>699.1</v>
      </c>
      <c r="I333" s="2" t="n">
        <v>14.2</v>
      </c>
      <c r="J333" s="2" t="n">
        <v>2.85</v>
      </c>
      <c r="K333" s="2" t="inlineStr">
        <is>
          <t>Packaging Machine</t>
        </is>
      </c>
      <c r="L333" s="2" t="inlineStr">
        <is>
          <t>Corrective</t>
        </is>
      </c>
      <c r="M333" s="2" t="n">
        <v>1430</v>
      </c>
      <c r="N333" s="2" t="n">
        <v>241.8</v>
      </c>
      <c r="O333" s="2" t="n">
        <v>85200.2</v>
      </c>
      <c r="P333" s="2" t="n">
        <v>179.1</v>
      </c>
      <c r="Q333" s="2" t="n">
        <v>1.6</v>
      </c>
      <c r="R333" s="2" t="n">
        <v>367.78</v>
      </c>
      <c r="S333" s="5">
        <f>G333/F333</f>
        <v/>
      </c>
      <c r="T333" s="5">
        <f>MAX(0,1-J333/8)</f>
        <v/>
      </c>
      <c r="U333" s="5">
        <f>IFERROR(G333/(F333*T333),0)</f>
        <v/>
      </c>
      <c r="V333" s="5">
        <f>IFERROR(H333/G333,0)</f>
        <v/>
      </c>
      <c r="W333" s="5">
        <f>T333*U333*V333</f>
        <v/>
      </c>
      <c r="X333" s="5">
        <f>IFERROR(I333/G333,0)</f>
        <v/>
      </c>
      <c r="Y333" s="6">
        <f>IFERROR(G333/M333,0)</f>
        <v/>
      </c>
      <c r="Z333" s="6">
        <f>IFERROR(O333/G333,0)</f>
        <v/>
      </c>
      <c r="AA333" s="2">
        <f>IF(L333="None","No Maintenance",IF(L333="Preventive","Planned","Breakdown"))</f>
        <v/>
      </c>
    </row>
    <row r="334">
      <c r="A334" s="2" t="n">
        <v>330</v>
      </c>
      <c r="B334" s="4" t="n">
        <v>46132</v>
      </c>
      <c r="C334" s="2" t="inlineStr">
        <is>
          <t>Night</t>
        </is>
      </c>
      <c r="D334" s="2" t="inlineStr">
        <is>
          <t>Line 2</t>
        </is>
      </c>
      <c r="E334" s="2" t="inlineStr">
        <is>
          <t>Classic Chips</t>
        </is>
      </c>
      <c r="F334" s="2" t="n">
        <v>955</v>
      </c>
      <c r="G334" s="2" t="n">
        <v>769.6</v>
      </c>
      <c r="H334" s="2" t="n">
        <v>748.8</v>
      </c>
      <c r="I334" s="2" t="n">
        <v>20.7</v>
      </c>
      <c r="J334" s="2" t="n">
        <v>0.2</v>
      </c>
      <c r="K334" s="2" t="inlineStr">
        <is>
          <t>No Downtime</t>
        </is>
      </c>
      <c r="L334" s="2" t="inlineStr">
        <is>
          <t>None</t>
        </is>
      </c>
      <c r="M334" s="2" t="n">
        <v>1569.3</v>
      </c>
      <c r="N334" s="2" t="n">
        <v>241.2</v>
      </c>
      <c r="O334" s="2" t="n">
        <v>96432.10000000001</v>
      </c>
      <c r="P334" s="2" t="n">
        <v>177.5</v>
      </c>
      <c r="Q334" s="2" t="n">
        <v>1.78</v>
      </c>
      <c r="R334" s="2" t="n">
        <v>0</v>
      </c>
      <c r="S334" s="5">
        <f>G334/F334</f>
        <v/>
      </c>
      <c r="T334" s="5">
        <f>MAX(0,1-J334/8)</f>
        <v/>
      </c>
      <c r="U334" s="5">
        <f>IFERROR(G334/(F334*T334),0)</f>
        <v/>
      </c>
      <c r="V334" s="5">
        <f>IFERROR(H334/G334,0)</f>
        <v/>
      </c>
      <c r="W334" s="5">
        <f>T334*U334*V334</f>
        <v/>
      </c>
      <c r="X334" s="5">
        <f>IFERROR(I334/G334,0)</f>
        <v/>
      </c>
      <c r="Y334" s="6">
        <f>IFERROR(G334/M334,0)</f>
        <v/>
      </c>
      <c r="Z334" s="6">
        <f>IFERROR(O334/G334,0)</f>
        <v/>
      </c>
      <c r="AA334" s="2">
        <f>IF(L334="None","No Maintenance",IF(L334="Preventive","Planned","Breakdown"))</f>
        <v/>
      </c>
    </row>
    <row r="335">
      <c r="A335" s="2" t="n">
        <v>331</v>
      </c>
      <c r="B335" s="4" t="n">
        <v>46133</v>
      </c>
      <c r="C335" s="2" t="inlineStr">
        <is>
          <t>Day</t>
        </is>
      </c>
      <c r="D335" s="2" t="inlineStr">
        <is>
          <t>Line 2</t>
        </is>
      </c>
      <c r="E335" s="2" t="inlineStr">
        <is>
          <t>Salt &amp; Vinegar</t>
        </is>
      </c>
      <c r="F335" s="2" t="n">
        <v>1030</v>
      </c>
      <c r="G335" s="2" t="n">
        <v>615.2</v>
      </c>
      <c r="H335" s="2" t="n">
        <v>607</v>
      </c>
      <c r="I335" s="2" t="n">
        <v>8.199999999999999</v>
      </c>
      <c r="J335" s="2" t="n">
        <v>2.7</v>
      </c>
      <c r="K335" s="2" t="inlineStr">
        <is>
          <t>Quality Hold</t>
        </is>
      </c>
      <c r="L335" s="2" t="inlineStr">
        <is>
          <t>Emergency</t>
        </is>
      </c>
      <c r="M335" s="2" t="n">
        <v>1232</v>
      </c>
      <c r="N335" s="2" t="n">
        <v>198</v>
      </c>
      <c r="O335" s="2" t="n">
        <v>64487.3</v>
      </c>
      <c r="P335" s="2" t="n">
        <v>183.5</v>
      </c>
      <c r="Q335" s="2" t="n">
        <v>1.78</v>
      </c>
      <c r="R335" s="2" t="n">
        <v>1488.2</v>
      </c>
      <c r="S335" s="5">
        <f>G335/F335</f>
        <v/>
      </c>
      <c r="T335" s="5">
        <f>MAX(0,1-J335/8)</f>
        <v/>
      </c>
      <c r="U335" s="5">
        <f>IFERROR(G335/(F335*T335),0)</f>
        <v/>
      </c>
      <c r="V335" s="5">
        <f>IFERROR(H335/G335,0)</f>
        <v/>
      </c>
      <c r="W335" s="5">
        <f>T335*U335*V335</f>
        <v/>
      </c>
      <c r="X335" s="5">
        <f>IFERROR(I335/G335,0)</f>
        <v/>
      </c>
      <c r="Y335" s="6">
        <f>IFERROR(G335/M335,0)</f>
        <v/>
      </c>
      <c r="Z335" s="6">
        <f>IFERROR(O335/G335,0)</f>
        <v/>
      </c>
      <c r="AA335" s="2">
        <f>IF(L335="None","No Maintenance",IF(L335="Preventive","Planned","Breakdown"))</f>
        <v/>
      </c>
    </row>
    <row r="336">
      <c r="A336" s="2" t="n">
        <v>332</v>
      </c>
      <c r="B336" s="4" t="n">
        <v>46133</v>
      </c>
      <c r="C336" s="2" t="inlineStr">
        <is>
          <t>Evening</t>
        </is>
      </c>
      <c r="D336" s="2" t="inlineStr">
        <is>
          <t>Line 1</t>
        </is>
      </c>
      <c r="E336" s="2" t="inlineStr">
        <is>
          <t>Paprika Chips</t>
        </is>
      </c>
      <c r="F336" s="2" t="n">
        <v>1040</v>
      </c>
      <c r="G336" s="2" t="n">
        <v>667</v>
      </c>
      <c r="H336" s="2" t="n">
        <v>650.7</v>
      </c>
      <c r="I336" s="2" t="n">
        <v>16.3</v>
      </c>
      <c r="J336" s="2" t="n">
        <v>3.05</v>
      </c>
      <c r="K336" s="2" t="inlineStr">
        <is>
          <t>Planned Maintenance</t>
        </is>
      </c>
      <c r="L336" s="2" t="inlineStr">
        <is>
          <t>Preventive</t>
        </is>
      </c>
      <c r="M336" s="2" t="n">
        <v>1411.9</v>
      </c>
      <c r="N336" s="2" t="n">
        <v>217.3</v>
      </c>
      <c r="O336" s="2" t="n">
        <v>85222</v>
      </c>
      <c r="P336" s="2" t="n">
        <v>183.9</v>
      </c>
      <c r="Q336" s="2" t="n">
        <v>1.86</v>
      </c>
      <c r="R336" s="2" t="n">
        <v>150.94</v>
      </c>
      <c r="S336" s="5">
        <f>G336/F336</f>
        <v/>
      </c>
      <c r="T336" s="5">
        <f>MAX(0,1-J336/8)</f>
        <v/>
      </c>
      <c r="U336" s="5">
        <f>IFERROR(G336/(F336*T336),0)</f>
        <v/>
      </c>
      <c r="V336" s="5">
        <f>IFERROR(H336/G336,0)</f>
        <v/>
      </c>
      <c r="W336" s="5">
        <f>T336*U336*V336</f>
        <v/>
      </c>
      <c r="X336" s="5">
        <f>IFERROR(I336/G336,0)</f>
        <v/>
      </c>
      <c r="Y336" s="6">
        <f>IFERROR(G336/M336,0)</f>
        <v/>
      </c>
      <c r="Z336" s="6">
        <f>IFERROR(O336/G336,0)</f>
        <v/>
      </c>
      <c r="AA336" s="2">
        <f>IF(L336="None","No Maintenance",IF(L336="Preventive","Planned","Breakdown"))</f>
        <v/>
      </c>
    </row>
    <row r="337">
      <c r="A337" s="2" t="n">
        <v>333</v>
      </c>
      <c r="B337" s="4" t="n">
        <v>46133</v>
      </c>
      <c r="C337" s="2" t="inlineStr">
        <is>
          <t>Night</t>
        </is>
      </c>
      <c r="D337" s="2" t="inlineStr">
        <is>
          <t>Line 1</t>
        </is>
      </c>
      <c r="E337" s="2" t="inlineStr">
        <is>
          <t>Classic Chips</t>
        </is>
      </c>
      <c r="F337" s="2" t="n">
        <v>989</v>
      </c>
      <c r="G337" s="2" t="n">
        <v>791.1</v>
      </c>
      <c r="H337" s="2" t="n">
        <v>774.8</v>
      </c>
      <c r="I337" s="2" t="n">
        <v>16.3</v>
      </c>
      <c r="J337" s="2" t="n">
        <v>0.3</v>
      </c>
      <c r="K337" s="2" t="inlineStr">
        <is>
          <t>No Downtime</t>
        </is>
      </c>
      <c r="L337" s="2" t="inlineStr">
        <is>
          <t>None</t>
        </is>
      </c>
      <c r="M337" s="2" t="n">
        <v>1657.6</v>
      </c>
      <c r="N337" s="2" t="n">
        <v>252.7</v>
      </c>
      <c r="O337" s="2" t="n">
        <v>89714.39999999999</v>
      </c>
      <c r="P337" s="2" t="n">
        <v>170.7</v>
      </c>
      <c r="Q337" s="2" t="n">
        <v>1.77</v>
      </c>
      <c r="R337" s="2" t="n">
        <v>0</v>
      </c>
      <c r="S337" s="5">
        <f>G337/F337</f>
        <v/>
      </c>
      <c r="T337" s="5">
        <f>MAX(0,1-J337/8)</f>
        <v/>
      </c>
      <c r="U337" s="5">
        <f>IFERROR(G337/(F337*T337),0)</f>
        <v/>
      </c>
      <c r="V337" s="5">
        <f>IFERROR(H337/G337,0)</f>
        <v/>
      </c>
      <c r="W337" s="5">
        <f>T337*U337*V337</f>
        <v/>
      </c>
      <c r="X337" s="5">
        <f>IFERROR(I337/G337,0)</f>
        <v/>
      </c>
      <c r="Y337" s="6">
        <f>IFERROR(G337/M337,0)</f>
        <v/>
      </c>
      <c r="Z337" s="6">
        <f>IFERROR(O337/G337,0)</f>
        <v/>
      </c>
      <c r="AA337" s="2">
        <f>IF(L337="None","No Maintenance",IF(L337="Preventive","Planned","Breakdown"))</f>
        <v/>
      </c>
    </row>
    <row r="338">
      <c r="A338" s="2" t="n">
        <v>334</v>
      </c>
      <c r="B338" s="4" t="n">
        <v>46134</v>
      </c>
      <c r="C338" s="2" t="inlineStr">
        <is>
          <t>Day</t>
        </is>
      </c>
      <c r="D338" s="2" t="inlineStr">
        <is>
          <t>Line 2</t>
        </is>
      </c>
      <c r="E338" s="2" t="inlineStr">
        <is>
          <t>Salt &amp; Vinegar</t>
        </is>
      </c>
      <c r="F338" s="2" t="n">
        <v>1032</v>
      </c>
      <c r="G338" s="2" t="n">
        <v>1022.7</v>
      </c>
      <c r="H338" s="2" t="n">
        <v>997.3</v>
      </c>
      <c r="I338" s="2" t="n">
        <v>25.5</v>
      </c>
      <c r="J338" s="2" t="n">
        <v>0.08</v>
      </c>
      <c r="K338" s="2" t="inlineStr">
        <is>
          <t>No Downtime</t>
        </is>
      </c>
      <c r="L338" s="2" t="inlineStr">
        <is>
          <t>None</t>
        </is>
      </c>
      <c r="M338" s="2" t="n">
        <v>2093</v>
      </c>
      <c r="N338" s="2" t="n">
        <v>340.7</v>
      </c>
      <c r="O338" s="2" t="n">
        <v>131072.2</v>
      </c>
      <c r="P338" s="2" t="n">
        <v>181.2</v>
      </c>
      <c r="Q338" s="2" t="n">
        <v>1.75</v>
      </c>
      <c r="R338" s="2" t="n">
        <v>0</v>
      </c>
      <c r="S338" s="5">
        <f>G338/F338</f>
        <v/>
      </c>
      <c r="T338" s="5">
        <f>MAX(0,1-J338/8)</f>
        <v/>
      </c>
      <c r="U338" s="5">
        <f>IFERROR(G338/(F338*T338),0)</f>
        <v/>
      </c>
      <c r="V338" s="5">
        <f>IFERROR(H338/G338,0)</f>
        <v/>
      </c>
      <c r="W338" s="5">
        <f>T338*U338*V338</f>
        <v/>
      </c>
      <c r="X338" s="5">
        <f>IFERROR(I338/G338,0)</f>
        <v/>
      </c>
      <c r="Y338" s="6">
        <f>IFERROR(G338/M338,0)</f>
        <v/>
      </c>
      <c r="Z338" s="6">
        <f>IFERROR(O338/G338,0)</f>
        <v/>
      </c>
      <c r="AA338" s="2">
        <f>IF(L338="None","No Maintenance",IF(L338="Preventive","Planned","Breakdown"))</f>
        <v/>
      </c>
    </row>
    <row r="339">
      <c r="A339" s="2" t="n">
        <v>335</v>
      </c>
      <c r="B339" s="4" t="n">
        <v>46134</v>
      </c>
      <c r="C339" s="2" t="inlineStr">
        <is>
          <t>Evening</t>
        </is>
      </c>
      <c r="D339" s="2" t="inlineStr">
        <is>
          <t>Line 2</t>
        </is>
      </c>
      <c r="E339" s="2" t="inlineStr">
        <is>
          <t>Classic Chips</t>
        </is>
      </c>
      <c r="F339" s="2" t="n">
        <v>1050</v>
      </c>
      <c r="G339" s="2" t="n">
        <v>837.4</v>
      </c>
      <c r="H339" s="2" t="n">
        <v>824</v>
      </c>
      <c r="I339" s="2" t="n">
        <v>13.4</v>
      </c>
      <c r="J339" s="2" t="n">
        <v>0.16</v>
      </c>
      <c r="K339" s="2" t="inlineStr">
        <is>
          <t>No Downtime</t>
        </is>
      </c>
      <c r="L339" s="2" t="inlineStr">
        <is>
          <t>None</t>
        </is>
      </c>
      <c r="M339" s="2" t="n">
        <v>1757.1</v>
      </c>
      <c r="N339" s="2" t="n">
        <v>268.1</v>
      </c>
      <c r="O339" s="2" t="n">
        <v>97053.3</v>
      </c>
      <c r="P339" s="2" t="n">
        <v>173.7</v>
      </c>
      <c r="Q339" s="2" t="n">
        <v>2.02</v>
      </c>
      <c r="R339" s="2" t="n">
        <v>0</v>
      </c>
      <c r="S339" s="5">
        <f>G339/F339</f>
        <v/>
      </c>
      <c r="T339" s="5">
        <f>MAX(0,1-J339/8)</f>
        <v/>
      </c>
      <c r="U339" s="5">
        <f>IFERROR(G339/(F339*T339),0)</f>
        <v/>
      </c>
      <c r="V339" s="5">
        <f>IFERROR(H339/G339,0)</f>
        <v/>
      </c>
      <c r="W339" s="5">
        <f>T339*U339*V339</f>
        <v/>
      </c>
      <c r="X339" s="5">
        <f>IFERROR(I339/G339,0)</f>
        <v/>
      </c>
      <c r="Y339" s="6">
        <f>IFERROR(G339/M339,0)</f>
        <v/>
      </c>
      <c r="Z339" s="6">
        <f>IFERROR(O339/G339,0)</f>
        <v/>
      </c>
      <c r="AA339" s="2">
        <f>IF(L339="None","No Maintenance",IF(L339="Preventive","Planned","Breakdown"))</f>
        <v/>
      </c>
    </row>
    <row r="340">
      <c r="A340" s="2" t="n">
        <v>336</v>
      </c>
      <c r="B340" s="4" t="n">
        <v>46134</v>
      </c>
      <c r="C340" s="2" t="inlineStr">
        <is>
          <t>Night</t>
        </is>
      </c>
      <c r="D340" s="2" t="inlineStr">
        <is>
          <t>Line 2</t>
        </is>
      </c>
      <c r="E340" s="2" t="inlineStr">
        <is>
          <t>Paprika Chips</t>
        </is>
      </c>
      <c r="F340" s="2" t="n">
        <v>953</v>
      </c>
      <c r="G340" s="2" t="n">
        <v>514.5</v>
      </c>
      <c r="H340" s="2" t="n">
        <v>510.3</v>
      </c>
      <c r="I340" s="2" t="n">
        <v>4.3</v>
      </c>
      <c r="J340" s="2" t="n">
        <v>4.49</v>
      </c>
      <c r="K340" s="2" t="inlineStr">
        <is>
          <t>Planned Maintenance</t>
        </is>
      </c>
      <c r="L340" s="2" t="inlineStr">
        <is>
          <t>Preventive</t>
        </is>
      </c>
      <c r="M340" s="2" t="n">
        <v>1071.6</v>
      </c>
      <c r="N340" s="2" t="n">
        <v>165.2</v>
      </c>
      <c r="O340" s="2" t="n">
        <v>60545.2</v>
      </c>
      <c r="P340" s="2" t="n">
        <v>179.1</v>
      </c>
      <c r="Q340" s="2" t="n">
        <v>1.73</v>
      </c>
      <c r="R340" s="2" t="n">
        <v>209.98</v>
      </c>
      <c r="S340" s="5">
        <f>G340/F340</f>
        <v/>
      </c>
      <c r="T340" s="5">
        <f>MAX(0,1-J340/8)</f>
        <v/>
      </c>
      <c r="U340" s="5">
        <f>IFERROR(G340/(F340*T340),0)</f>
        <v/>
      </c>
      <c r="V340" s="5">
        <f>IFERROR(H340/G340,0)</f>
        <v/>
      </c>
      <c r="W340" s="5">
        <f>T340*U340*V340</f>
        <v/>
      </c>
      <c r="X340" s="5">
        <f>IFERROR(I340/G340,0)</f>
        <v/>
      </c>
      <c r="Y340" s="6">
        <f>IFERROR(G340/M340,0)</f>
        <v/>
      </c>
      <c r="Z340" s="6">
        <f>IFERROR(O340/G340,0)</f>
        <v/>
      </c>
      <c r="AA340" s="2">
        <f>IF(L340="None","No Maintenance",IF(L340="Preventive","Planned","Breakdown"))</f>
        <v/>
      </c>
    </row>
    <row r="341">
      <c r="A341" s="2" t="n">
        <v>337</v>
      </c>
      <c r="B341" s="4" t="n">
        <v>46135</v>
      </c>
      <c r="C341" s="2" t="inlineStr">
        <is>
          <t>Day</t>
        </is>
      </c>
      <c r="D341" s="2" t="inlineStr">
        <is>
          <t>Line 2</t>
        </is>
      </c>
      <c r="E341" s="2" t="inlineStr">
        <is>
          <t>Paprika Chips</t>
        </is>
      </c>
      <c r="F341" s="2" t="n">
        <v>992</v>
      </c>
      <c r="G341" s="2" t="n">
        <v>641.3</v>
      </c>
      <c r="H341" s="2" t="n">
        <v>634.9</v>
      </c>
      <c r="I341" s="2" t="n">
        <v>6.3</v>
      </c>
      <c r="J341" s="2" t="n">
        <v>4.97</v>
      </c>
      <c r="K341" s="2" t="inlineStr">
        <is>
          <t>Planned Maintenance</t>
        </is>
      </c>
      <c r="L341" s="2" t="inlineStr">
        <is>
          <t>Preventive</t>
        </is>
      </c>
      <c r="M341" s="2" t="n">
        <v>1292</v>
      </c>
      <c r="N341" s="2" t="n">
        <v>215</v>
      </c>
      <c r="O341" s="2" t="n">
        <v>84355.2</v>
      </c>
      <c r="P341" s="2" t="n">
        <v>180.6</v>
      </c>
      <c r="Q341" s="2" t="n">
        <v>1.57</v>
      </c>
      <c r="R341" s="2" t="n">
        <v>208.46</v>
      </c>
      <c r="S341" s="5">
        <f>G341/F341</f>
        <v/>
      </c>
      <c r="T341" s="5">
        <f>MAX(0,1-J341/8)</f>
        <v/>
      </c>
      <c r="U341" s="5">
        <f>IFERROR(G341/(F341*T341),0)</f>
        <v/>
      </c>
      <c r="V341" s="5">
        <f>IFERROR(H341/G341,0)</f>
        <v/>
      </c>
      <c r="W341" s="5">
        <f>T341*U341*V341</f>
        <v/>
      </c>
      <c r="X341" s="5">
        <f>IFERROR(I341/G341,0)</f>
        <v/>
      </c>
      <c r="Y341" s="6">
        <f>IFERROR(G341/M341,0)</f>
        <v/>
      </c>
      <c r="Z341" s="6">
        <f>IFERROR(O341/G341,0)</f>
        <v/>
      </c>
      <c r="AA341" s="2">
        <f>IF(L341="None","No Maintenance",IF(L341="Preventive","Planned","Breakdown"))</f>
        <v/>
      </c>
    </row>
    <row r="342">
      <c r="A342" s="2" t="n">
        <v>338</v>
      </c>
      <c r="B342" s="4" t="n">
        <v>46135</v>
      </c>
      <c r="C342" s="2" t="inlineStr">
        <is>
          <t>Evening</t>
        </is>
      </c>
      <c r="D342" s="2" t="inlineStr">
        <is>
          <t>Line 2</t>
        </is>
      </c>
      <c r="E342" s="2" t="inlineStr">
        <is>
          <t>Salt &amp; Vinegar</t>
        </is>
      </c>
      <c r="F342" s="2" t="n">
        <v>1032</v>
      </c>
      <c r="G342" s="2" t="n">
        <v>916.7</v>
      </c>
      <c r="H342" s="2" t="n">
        <v>906.7</v>
      </c>
      <c r="I342" s="2" t="n">
        <v>10</v>
      </c>
      <c r="J342" s="2" t="n">
        <v>0.03</v>
      </c>
      <c r="K342" s="2" t="inlineStr">
        <is>
          <t>No Downtime</t>
        </is>
      </c>
      <c r="L342" s="2" t="inlineStr">
        <is>
          <t>None</t>
        </is>
      </c>
      <c r="M342" s="2" t="n">
        <v>1894.2</v>
      </c>
      <c r="N342" s="2" t="n">
        <v>295.6</v>
      </c>
      <c r="O342" s="2" t="n">
        <v>108997.3</v>
      </c>
      <c r="P342" s="2" t="n">
        <v>180.4</v>
      </c>
      <c r="Q342" s="2" t="n">
        <v>1.7</v>
      </c>
      <c r="R342" s="2" t="n">
        <v>0</v>
      </c>
      <c r="S342" s="5">
        <f>G342/F342</f>
        <v/>
      </c>
      <c r="T342" s="5">
        <f>MAX(0,1-J342/8)</f>
        <v/>
      </c>
      <c r="U342" s="5">
        <f>IFERROR(G342/(F342*T342),0)</f>
        <v/>
      </c>
      <c r="V342" s="5">
        <f>IFERROR(H342/G342,0)</f>
        <v/>
      </c>
      <c r="W342" s="5">
        <f>T342*U342*V342</f>
        <v/>
      </c>
      <c r="X342" s="5">
        <f>IFERROR(I342/G342,0)</f>
        <v/>
      </c>
      <c r="Y342" s="6">
        <f>IFERROR(G342/M342,0)</f>
        <v/>
      </c>
      <c r="Z342" s="6">
        <f>IFERROR(O342/G342,0)</f>
        <v/>
      </c>
      <c r="AA342" s="2">
        <f>IF(L342="None","No Maintenance",IF(L342="Preventive","Planned","Breakdown"))</f>
        <v/>
      </c>
    </row>
    <row r="343">
      <c r="A343" s="2" t="n">
        <v>339</v>
      </c>
      <c r="B343" s="4" t="n">
        <v>46135</v>
      </c>
      <c r="C343" s="2" t="inlineStr">
        <is>
          <t>Night</t>
        </is>
      </c>
      <c r="D343" s="2" t="inlineStr">
        <is>
          <t>Line 1</t>
        </is>
      </c>
      <c r="E343" s="2" t="inlineStr">
        <is>
          <t>Salt &amp; Vinegar</t>
        </is>
      </c>
      <c r="F343" s="2" t="n">
        <v>945</v>
      </c>
      <c r="G343" s="2" t="n">
        <v>616.9</v>
      </c>
      <c r="H343" s="2" t="n">
        <v>612.6</v>
      </c>
      <c r="I343" s="2" t="n">
        <v>4.3</v>
      </c>
      <c r="J343" s="2" t="n">
        <v>2.96</v>
      </c>
      <c r="K343" s="2" t="inlineStr">
        <is>
          <t>Conveyor Jam</t>
        </is>
      </c>
      <c r="L343" s="2" t="inlineStr">
        <is>
          <t>Emergency</t>
        </is>
      </c>
      <c r="M343" s="2" t="n">
        <v>1236.2</v>
      </c>
      <c r="N343" s="2" t="n">
        <v>203.9</v>
      </c>
      <c r="O343" s="2" t="n">
        <v>83995.3</v>
      </c>
      <c r="P343" s="2" t="n">
        <v>172.7</v>
      </c>
      <c r="Q343" s="2" t="n">
        <v>1.41</v>
      </c>
      <c r="R343" s="2" t="n">
        <v>884.48</v>
      </c>
      <c r="S343" s="5">
        <f>G343/F343</f>
        <v/>
      </c>
      <c r="T343" s="5">
        <f>MAX(0,1-J343/8)</f>
        <v/>
      </c>
      <c r="U343" s="5">
        <f>IFERROR(G343/(F343*T343),0)</f>
        <v/>
      </c>
      <c r="V343" s="5">
        <f>IFERROR(H343/G343,0)</f>
        <v/>
      </c>
      <c r="W343" s="5">
        <f>T343*U343*V343</f>
        <v/>
      </c>
      <c r="X343" s="5">
        <f>IFERROR(I343/G343,0)</f>
        <v/>
      </c>
      <c r="Y343" s="6">
        <f>IFERROR(G343/M343,0)</f>
        <v/>
      </c>
      <c r="Z343" s="6">
        <f>IFERROR(O343/G343,0)</f>
        <v/>
      </c>
      <c r="AA343" s="2">
        <f>IF(L343="None","No Maintenance",IF(L343="Preventive","Planned","Breakdown"))</f>
        <v/>
      </c>
    </row>
    <row r="344">
      <c r="A344" s="2" t="n">
        <v>340</v>
      </c>
      <c r="B344" s="4" t="n">
        <v>46136</v>
      </c>
      <c r="C344" s="2" t="inlineStr">
        <is>
          <t>Day</t>
        </is>
      </c>
      <c r="D344" s="2" t="inlineStr">
        <is>
          <t>Line 2</t>
        </is>
      </c>
      <c r="E344" s="2" t="inlineStr">
        <is>
          <t>Salt &amp; Vinegar</t>
        </is>
      </c>
      <c r="F344" s="2" t="n">
        <v>903</v>
      </c>
      <c r="G344" s="2" t="n">
        <v>570.3</v>
      </c>
      <c r="H344" s="2" t="n">
        <v>558.1</v>
      </c>
      <c r="I344" s="2" t="n">
        <v>12.2</v>
      </c>
      <c r="J344" s="2" t="n">
        <v>2.58</v>
      </c>
      <c r="K344" s="2" t="inlineStr">
        <is>
          <t>Conveyor Jam</t>
        </is>
      </c>
      <c r="L344" s="2" t="inlineStr">
        <is>
          <t>Corrective</t>
        </is>
      </c>
      <c r="M344" s="2" t="n">
        <v>1140.4</v>
      </c>
      <c r="N344" s="2" t="n">
        <v>174.2</v>
      </c>
      <c r="O344" s="2" t="n">
        <v>68473.60000000001</v>
      </c>
      <c r="P344" s="2" t="n">
        <v>184.3</v>
      </c>
      <c r="Q344" s="2" t="n">
        <v>1.83</v>
      </c>
      <c r="R344" s="2" t="n">
        <v>600.51</v>
      </c>
      <c r="S344" s="5">
        <f>G344/F344</f>
        <v/>
      </c>
      <c r="T344" s="5">
        <f>MAX(0,1-J344/8)</f>
        <v/>
      </c>
      <c r="U344" s="5">
        <f>IFERROR(G344/(F344*T344),0)</f>
        <v/>
      </c>
      <c r="V344" s="5">
        <f>IFERROR(H344/G344,0)</f>
        <v/>
      </c>
      <c r="W344" s="5">
        <f>T344*U344*V344</f>
        <v/>
      </c>
      <c r="X344" s="5">
        <f>IFERROR(I344/G344,0)</f>
        <v/>
      </c>
      <c r="Y344" s="6">
        <f>IFERROR(G344/M344,0)</f>
        <v/>
      </c>
      <c r="Z344" s="6">
        <f>IFERROR(O344/G344,0)</f>
        <v/>
      </c>
      <c r="AA344" s="2">
        <f>IF(L344="None","No Maintenance",IF(L344="Preventive","Planned","Breakdown"))</f>
        <v/>
      </c>
    </row>
    <row r="345">
      <c r="A345" s="2" t="n">
        <v>341</v>
      </c>
      <c r="B345" s="4" t="n">
        <v>46136</v>
      </c>
      <c r="C345" s="2" t="inlineStr">
        <is>
          <t>Evening</t>
        </is>
      </c>
      <c r="D345" s="2" t="inlineStr">
        <is>
          <t>Line 2</t>
        </is>
      </c>
      <c r="E345" s="2" t="inlineStr">
        <is>
          <t>Salt &amp; Vinegar</t>
        </is>
      </c>
      <c r="F345" s="2" t="n">
        <v>953</v>
      </c>
      <c r="G345" s="2" t="n">
        <v>762.8</v>
      </c>
      <c r="H345" s="2" t="n">
        <v>748.9</v>
      </c>
      <c r="I345" s="2" t="n">
        <v>14</v>
      </c>
      <c r="J345" s="2" t="n">
        <v>0.02</v>
      </c>
      <c r="K345" s="2" t="inlineStr">
        <is>
          <t>No Downtime</t>
        </is>
      </c>
      <c r="L345" s="2" t="inlineStr">
        <is>
          <t>None</t>
        </is>
      </c>
      <c r="M345" s="2" t="n">
        <v>1543.7</v>
      </c>
      <c r="N345" s="2" t="n">
        <v>249.3</v>
      </c>
      <c r="O345" s="2" t="n">
        <v>83601</v>
      </c>
      <c r="P345" s="2" t="n">
        <v>175.7</v>
      </c>
      <c r="Q345" s="2" t="n">
        <v>1.69</v>
      </c>
      <c r="R345" s="2" t="n">
        <v>0</v>
      </c>
      <c r="S345" s="5">
        <f>G345/F345</f>
        <v/>
      </c>
      <c r="T345" s="5">
        <f>MAX(0,1-J345/8)</f>
        <v/>
      </c>
      <c r="U345" s="5">
        <f>IFERROR(G345/(F345*T345),0)</f>
        <v/>
      </c>
      <c r="V345" s="5">
        <f>IFERROR(H345/G345,0)</f>
        <v/>
      </c>
      <c r="W345" s="5">
        <f>T345*U345*V345</f>
        <v/>
      </c>
      <c r="X345" s="5">
        <f>IFERROR(I345/G345,0)</f>
        <v/>
      </c>
      <c r="Y345" s="6">
        <f>IFERROR(G345/M345,0)</f>
        <v/>
      </c>
      <c r="Z345" s="6">
        <f>IFERROR(O345/G345,0)</f>
        <v/>
      </c>
      <c r="AA345" s="2">
        <f>IF(L345="None","No Maintenance",IF(L345="Preventive","Planned","Breakdown"))</f>
        <v/>
      </c>
    </row>
    <row r="346">
      <c r="A346" s="2" t="n">
        <v>342</v>
      </c>
      <c r="B346" s="4" t="n">
        <v>46136</v>
      </c>
      <c r="C346" s="2" t="inlineStr">
        <is>
          <t>Night</t>
        </is>
      </c>
      <c r="D346" s="2" t="inlineStr">
        <is>
          <t>Line 1</t>
        </is>
      </c>
      <c r="E346" s="2" t="inlineStr">
        <is>
          <t>Paprika Chips</t>
        </is>
      </c>
      <c r="F346" s="2" t="n">
        <v>952</v>
      </c>
      <c r="G346" s="2" t="n">
        <v>586.6</v>
      </c>
      <c r="H346" s="2" t="n">
        <v>580.5</v>
      </c>
      <c r="I346" s="2" t="n">
        <v>6.1</v>
      </c>
      <c r="J346" s="2" t="n">
        <v>2.99</v>
      </c>
      <c r="K346" s="2" t="inlineStr">
        <is>
          <t>Conveyor Jam</t>
        </is>
      </c>
      <c r="L346" s="2" t="inlineStr">
        <is>
          <t>Corrective</t>
        </is>
      </c>
      <c r="M346" s="2" t="n">
        <v>1227</v>
      </c>
      <c r="N346" s="2" t="n">
        <v>176.3</v>
      </c>
      <c r="O346" s="2" t="n">
        <v>62394</v>
      </c>
      <c r="P346" s="2" t="n">
        <v>174.9</v>
      </c>
      <c r="Q346" s="2" t="n">
        <v>1.35</v>
      </c>
      <c r="R346" s="2" t="n">
        <v>436.59</v>
      </c>
      <c r="S346" s="5">
        <f>G346/F346</f>
        <v/>
      </c>
      <c r="T346" s="5">
        <f>MAX(0,1-J346/8)</f>
        <v/>
      </c>
      <c r="U346" s="5">
        <f>IFERROR(G346/(F346*T346),0)</f>
        <v/>
      </c>
      <c r="V346" s="5">
        <f>IFERROR(H346/G346,0)</f>
        <v/>
      </c>
      <c r="W346" s="5">
        <f>T346*U346*V346</f>
        <v/>
      </c>
      <c r="X346" s="5">
        <f>IFERROR(I346/G346,0)</f>
        <v/>
      </c>
      <c r="Y346" s="6">
        <f>IFERROR(G346/M346,0)</f>
        <v/>
      </c>
      <c r="Z346" s="6">
        <f>IFERROR(O346/G346,0)</f>
        <v/>
      </c>
      <c r="AA346" s="2">
        <f>IF(L346="None","No Maintenance",IF(L346="Preventive","Planned","Breakdown"))</f>
        <v/>
      </c>
    </row>
    <row r="347">
      <c r="A347" s="2" t="n">
        <v>343</v>
      </c>
      <c r="B347" s="4" t="n">
        <v>46137</v>
      </c>
      <c r="C347" s="2" t="inlineStr">
        <is>
          <t>Day</t>
        </is>
      </c>
      <c r="D347" s="2" t="inlineStr">
        <is>
          <t>Line 1</t>
        </is>
      </c>
      <c r="E347" s="2" t="inlineStr">
        <is>
          <t>Paprika Chips</t>
        </is>
      </c>
      <c r="F347" s="2" t="n">
        <v>959</v>
      </c>
      <c r="G347" s="2" t="n">
        <v>622.9</v>
      </c>
      <c r="H347" s="2" t="n">
        <v>616.6</v>
      </c>
      <c r="I347" s="2" t="n">
        <v>6.3</v>
      </c>
      <c r="J347" s="2" t="n">
        <v>2.95</v>
      </c>
      <c r="K347" s="2" t="inlineStr">
        <is>
          <t>Electrical Fault</t>
        </is>
      </c>
      <c r="L347" s="2" t="inlineStr">
        <is>
          <t>Corrective</t>
        </is>
      </c>
      <c r="M347" s="2" t="n">
        <v>1240.9</v>
      </c>
      <c r="N347" s="2" t="n">
        <v>199.9</v>
      </c>
      <c r="O347" s="2" t="n">
        <v>74851.89999999999</v>
      </c>
      <c r="P347" s="2" t="n">
        <v>181.5</v>
      </c>
      <c r="Q347" s="2" t="n">
        <v>1.83</v>
      </c>
      <c r="R347" s="2" t="n">
        <v>724.55</v>
      </c>
      <c r="S347" s="5">
        <f>G347/F347</f>
        <v/>
      </c>
      <c r="T347" s="5">
        <f>MAX(0,1-J347/8)</f>
        <v/>
      </c>
      <c r="U347" s="5">
        <f>IFERROR(G347/(F347*T347),0)</f>
        <v/>
      </c>
      <c r="V347" s="5">
        <f>IFERROR(H347/G347,0)</f>
        <v/>
      </c>
      <c r="W347" s="5">
        <f>T347*U347*V347</f>
        <v/>
      </c>
      <c r="X347" s="5">
        <f>IFERROR(I347/G347,0)</f>
        <v/>
      </c>
      <c r="Y347" s="6">
        <f>IFERROR(G347/M347,0)</f>
        <v/>
      </c>
      <c r="Z347" s="6">
        <f>IFERROR(O347/G347,0)</f>
        <v/>
      </c>
      <c r="AA347" s="2">
        <f>IF(L347="None","No Maintenance",IF(L347="Preventive","Planned","Breakdown"))</f>
        <v/>
      </c>
    </row>
    <row r="348">
      <c r="A348" s="2" t="n">
        <v>344</v>
      </c>
      <c r="B348" s="4" t="n">
        <v>46137</v>
      </c>
      <c r="C348" s="2" t="inlineStr">
        <is>
          <t>Evening</t>
        </is>
      </c>
      <c r="D348" s="2" t="inlineStr">
        <is>
          <t>Line 1</t>
        </is>
      </c>
      <c r="E348" s="2" t="inlineStr">
        <is>
          <t>Paprika Chips</t>
        </is>
      </c>
      <c r="F348" s="2" t="n">
        <v>984</v>
      </c>
      <c r="G348" s="2" t="n">
        <v>676</v>
      </c>
      <c r="H348" s="2" t="n">
        <v>665.9</v>
      </c>
      <c r="I348" s="2" t="n">
        <v>10.1</v>
      </c>
      <c r="J348" s="2" t="n">
        <v>4.93</v>
      </c>
      <c r="K348" s="2" t="inlineStr">
        <is>
          <t>Planned Maintenance</t>
        </is>
      </c>
      <c r="L348" s="2" t="inlineStr">
        <is>
          <t>Preventive</t>
        </is>
      </c>
      <c r="M348" s="2" t="n">
        <v>1311</v>
      </c>
      <c r="N348" s="2" t="n">
        <v>223.6</v>
      </c>
      <c r="O348" s="2" t="n">
        <v>83070.3</v>
      </c>
      <c r="P348" s="2" t="n">
        <v>173.7</v>
      </c>
      <c r="Q348" s="2" t="n">
        <v>1.49</v>
      </c>
      <c r="R348" s="2" t="n">
        <v>169.46</v>
      </c>
      <c r="S348" s="5">
        <f>G348/F348</f>
        <v/>
      </c>
      <c r="T348" s="5">
        <f>MAX(0,1-J348/8)</f>
        <v/>
      </c>
      <c r="U348" s="5">
        <f>IFERROR(G348/(F348*T348),0)</f>
        <v/>
      </c>
      <c r="V348" s="5">
        <f>IFERROR(H348/G348,0)</f>
        <v/>
      </c>
      <c r="W348" s="5">
        <f>T348*U348*V348</f>
        <v/>
      </c>
      <c r="X348" s="5">
        <f>IFERROR(I348/G348,0)</f>
        <v/>
      </c>
      <c r="Y348" s="6">
        <f>IFERROR(G348/M348,0)</f>
        <v/>
      </c>
      <c r="Z348" s="6">
        <f>IFERROR(O348/G348,0)</f>
        <v/>
      </c>
      <c r="AA348" s="2">
        <f>IF(L348="None","No Maintenance",IF(L348="Preventive","Planned","Breakdown"))</f>
        <v/>
      </c>
    </row>
    <row r="349">
      <c r="A349" s="2" t="n">
        <v>345</v>
      </c>
      <c r="B349" s="4" t="n">
        <v>46137</v>
      </c>
      <c r="C349" s="2" t="inlineStr">
        <is>
          <t>Night</t>
        </is>
      </c>
      <c r="D349" s="2" t="inlineStr">
        <is>
          <t>Line 2</t>
        </is>
      </c>
      <c r="E349" s="2" t="inlineStr">
        <is>
          <t>Classic Chips</t>
        </is>
      </c>
      <c r="F349" s="2" t="n">
        <v>928</v>
      </c>
      <c r="G349" s="2" t="n">
        <v>558.3</v>
      </c>
      <c r="H349" s="2" t="n">
        <v>547.7</v>
      </c>
      <c r="I349" s="2" t="n">
        <v>10.6</v>
      </c>
      <c r="J349" s="2" t="n">
        <v>2.66</v>
      </c>
      <c r="K349" s="2" t="inlineStr">
        <is>
          <t>Electrical Fault</t>
        </is>
      </c>
      <c r="L349" s="2" t="inlineStr">
        <is>
          <t>Corrective</t>
        </is>
      </c>
      <c r="M349" s="2" t="n">
        <v>1160.6</v>
      </c>
      <c r="N349" s="2" t="n">
        <v>172.7</v>
      </c>
      <c r="O349" s="2" t="n">
        <v>65725.89999999999</v>
      </c>
      <c r="P349" s="2" t="n">
        <v>178</v>
      </c>
      <c r="Q349" s="2" t="n">
        <v>1.77</v>
      </c>
      <c r="R349" s="2" t="n">
        <v>594.73</v>
      </c>
      <c r="S349" s="5">
        <f>G349/F349</f>
        <v/>
      </c>
      <c r="T349" s="5">
        <f>MAX(0,1-J349/8)</f>
        <v/>
      </c>
      <c r="U349" s="5">
        <f>IFERROR(G349/(F349*T349),0)</f>
        <v/>
      </c>
      <c r="V349" s="5">
        <f>IFERROR(H349/G349,0)</f>
        <v/>
      </c>
      <c r="W349" s="5">
        <f>T349*U349*V349</f>
        <v/>
      </c>
      <c r="X349" s="5">
        <f>IFERROR(I349/G349,0)</f>
        <v/>
      </c>
      <c r="Y349" s="6">
        <f>IFERROR(G349/M349,0)</f>
        <v/>
      </c>
      <c r="Z349" s="6">
        <f>IFERROR(O349/G349,0)</f>
        <v/>
      </c>
      <c r="AA349" s="2">
        <f>IF(L349="None","No Maintenance",IF(L349="Preventive","Planned","Breakdown"))</f>
        <v/>
      </c>
    </row>
    <row r="350">
      <c r="A350" s="2" t="n">
        <v>346</v>
      </c>
      <c r="B350" s="4" t="n">
        <v>46138</v>
      </c>
      <c r="C350" s="2" t="inlineStr">
        <is>
          <t>Day</t>
        </is>
      </c>
      <c r="D350" s="2" t="inlineStr">
        <is>
          <t>Line 1</t>
        </is>
      </c>
      <c r="E350" s="2" t="inlineStr">
        <is>
          <t>Classic Chips</t>
        </is>
      </c>
      <c r="F350" s="2" t="n">
        <v>992</v>
      </c>
      <c r="G350" s="2" t="n">
        <v>909.8</v>
      </c>
      <c r="H350" s="2" t="n">
        <v>896.6</v>
      </c>
      <c r="I350" s="2" t="n">
        <v>13.2</v>
      </c>
      <c r="J350" s="2" t="n">
        <v>0.12</v>
      </c>
      <c r="K350" s="2" t="inlineStr">
        <is>
          <t>No Downtime</t>
        </is>
      </c>
      <c r="L350" s="2" t="inlineStr">
        <is>
          <t>None</t>
        </is>
      </c>
      <c r="M350" s="2" t="n">
        <v>1878.2</v>
      </c>
      <c r="N350" s="2" t="n">
        <v>301.8</v>
      </c>
      <c r="O350" s="2" t="n">
        <v>98766.2</v>
      </c>
      <c r="P350" s="2" t="n">
        <v>176.8</v>
      </c>
      <c r="Q350" s="2" t="n">
        <v>1.97</v>
      </c>
      <c r="R350" s="2" t="n">
        <v>0</v>
      </c>
      <c r="S350" s="5">
        <f>G350/F350</f>
        <v/>
      </c>
      <c r="T350" s="5">
        <f>MAX(0,1-J350/8)</f>
        <v/>
      </c>
      <c r="U350" s="5">
        <f>IFERROR(G350/(F350*T350),0)</f>
        <v/>
      </c>
      <c r="V350" s="5">
        <f>IFERROR(H350/G350,0)</f>
        <v/>
      </c>
      <c r="W350" s="5">
        <f>T350*U350*V350</f>
        <v/>
      </c>
      <c r="X350" s="5">
        <f>IFERROR(I350/G350,0)</f>
        <v/>
      </c>
      <c r="Y350" s="6">
        <f>IFERROR(G350/M350,0)</f>
        <v/>
      </c>
      <c r="Z350" s="6">
        <f>IFERROR(O350/G350,0)</f>
        <v/>
      </c>
      <c r="AA350" s="2">
        <f>IF(L350="None","No Maintenance",IF(L350="Preventive","Planned","Breakdown"))</f>
        <v/>
      </c>
    </row>
    <row r="351">
      <c r="A351" s="2" t="n">
        <v>347</v>
      </c>
      <c r="B351" s="4" t="n">
        <v>46138</v>
      </c>
      <c r="C351" s="2" t="inlineStr">
        <is>
          <t>Evening</t>
        </is>
      </c>
      <c r="D351" s="2" t="inlineStr">
        <is>
          <t>Line 1</t>
        </is>
      </c>
      <c r="E351" s="2" t="inlineStr">
        <is>
          <t>Salt &amp; Vinegar</t>
        </is>
      </c>
      <c r="F351" s="2" t="n">
        <v>945</v>
      </c>
      <c r="G351" s="2" t="n">
        <v>892.3</v>
      </c>
      <c r="H351" s="2" t="n">
        <v>870.8</v>
      </c>
      <c r="I351" s="2" t="n">
        <v>21.5</v>
      </c>
      <c r="J351" s="2" t="n">
        <v>0.05</v>
      </c>
      <c r="K351" s="2" t="inlineStr">
        <is>
          <t>No Downtime</t>
        </is>
      </c>
      <c r="L351" s="2" t="inlineStr">
        <is>
          <t>None</t>
        </is>
      </c>
      <c r="M351" s="2" t="n">
        <v>1842.9</v>
      </c>
      <c r="N351" s="2" t="n">
        <v>295.1</v>
      </c>
      <c r="O351" s="2" t="n">
        <v>108834.2</v>
      </c>
      <c r="P351" s="2" t="n">
        <v>173.2</v>
      </c>
      <c r="Q351" s="2" t="n">
        <v>2.13</v>
      </c>
      <c r="R351" s="2" t="n">
        <v>0</v>
      </c>
      <c r="S351" s="5">
        <f>G351/F351</f>
        <v/>
      </c>
      <c r="T351" s="5">
        <f>MAX(0,1-J351/8)</f>
        <v/>
      </c>
      <c r="U351" s="5">
        <f>IFERROR(G351/(F351*T351),0)</f>
        <v/>
      </c>
      <c r="V351" s="5">
        <f>IFERROR(H351/G351,0)</f>
        <v/>
      </c>
      <c r="W351" s="5">
        <f>T351*U351*V351</f>
        <v/>
      </c>
      <c r="X351" s="5">
        <f>IFERROR(I351/G351,0)</f>
        <v/>
      </c>
      <c r="Y351" s="6">
        <f>IFERROR(G351/M351,0)</f>
        <v/>
      </c>
      <c r="Z351" s="6">
        <f>IFERROR(O351/G351,0)</f>
        <v/>
      </c>
      <c r="AA351" s="2">
        <f>IF(L351="None","No Maintenance",IF(L351="Preventive","Planned","Breakdown"))</f>
        <v/>
      </c>
    </row>
    <row r="352">
      <c r="A352" s="2" t="n">
        <v>348</v>
      </c>
      <c r="B352" s="4" t="n">
        <v>46138</v>
      </c>
      <c r="C352" s="2" t="inlineStr">
        <is>
          <t>Night</t>
        </is>
      </c>
      <c r="D352" s="2" t="inlineStr">
        <is>
          <t>Line 1</t>
        </is>
      </c>
      <c r="E352" s="2" t="inlineStr">
        <is>
          <t>Paprika Chips</t>
        </is>
      </c>
      <c r="F352" s="2" t="n">
        <v>1019</v>
      </c>
      <c r="G352" s="2" t="n">
        <v>628.7</v>
      </c>
      <c r="H352" s="2" t="n">
        <v>618.4</v>
      </c>
      <c r="I352" s="2" t="n">
        <v>10.3</v>
      </c>
      <c r="J352" s="2" t="n">
        <v>2.72</v>
      </c>
      <c r="K352" s="2" t="inlineStr">
        <is>
          <t>Raw Material Shortage</t>
        </is>
      </c>
      <c r="L352" s="2" t="inlineStr">
        <is>
          <t>Corrective</t>
        </is>
      </c>
      <c r="M352" s="2" t="n">
        <v>1264.5</v>
      </c>
      <c r="N352" s="2" t="n">
        <v>199.6</v>
      </c>
      <c r="O352" s="2" t="n">
        <v>76586.7</v>
      </c>
      <c r="P352" s="2" t="n">
        <v>171.7</v>
      </c>
      <c r="Q352" s="2" t="n">
        <v>1.61</v>
      </c>
      <c r="R352" s="2" t="n">
        <v>484.78</v>
      </c>
      <c r="S352" s="5">
        <f>G352/F352</f>
        <v/>
      </c>
      <c r="T352" s="5">
        <f>MAX(0,1-J352/8)</f>
        <v/>
      </c>
      <c r="U352" s="5">
        <f>IFERROR(G352/(F352*T352),0)</f>
        <v/>
      </c>
      <c r="V352" s="5">
        <f>IFERROR(H352/G352,0)</f>
        <v/>
      </c>
      <c r="W352" s="5">
        <f>T352*U352*V352</f>
        <v/>
      </c>
      <c r="X352" s="5">
        <f>IFERROR(I352/G352,0)</f>
        <v/>
      </c>
      <c r="Y352" s="6">
        <f>IFERROR(G352/M352,0)</f>
        <v/>
      </c>
      <c r="Z352" s="6">
        <f>IFERROR(O352/G352,0)</f>
        <v/>
      </c>
      <c r="AA352" s="2">
        <f>IF(L352="None","No Maintenance",IF(L352="Preventive","Planned","Breakdown"))</f>
        <v/>
      </c>
    </row>
    <row r="353">
      <c r="A353" s="2" t="n">
        <v>349</v>
      </c>
      <c r="B353" s="4" t="n">
        <v>46139</v>
      </c>
      <c r="C353" s="2" t="inlineStr">
        <is>
          <t>Day</t>
        </is>
      </c>
      <c r="D353" s="2" t="inlineStr">
        <is>
          <t>Line 1</t>
        </is>
      </c>
      <c r="E353" s="2" t="inlineStr">
        <is>
          <t>Paprika Chips</t>
        </is>
      </c>
      <c r="F353" s="2" t="n">
        <v>1013</v>
      </c>
      <c r="G353" s="2" t="n">
        <v>849.9</v>
      </c>
      <c r="H353" s="2" t="n">
        <v>837.5</v>
      </c>
      <c r="I353" s="2" t="n">
        <v>12.3</v>
      </c>
      <c r="J353" s="2" t="n">
        <v>0.6</v>
      </c>
      <c r="K353" s="2" t="inlineStr">
        <is>
          <t>Electrical Fault</t>
        </is>
      </c>
      <c r="L353" s="2" t="inlineStr">
        <is>
          <t>Corrective</t>
        </is>
      </c>
      <c r="M353" s="2" t="n">
        <v>1738</v>
      </c>
      <c r="N353" s="2" t="n">
        <v>279.8</v>
      </c>
      <c r="O353" s="2" t="n">
        <v>105332</v>
      </c>
      <c r="P353" s="2" t="n">
        <v>179.7</v>
      </c>
      <c r="Q353" s="2" t="n">
        <v>1.73</v>
      </c>
      <c r="R353" s="2" t="n">
        <v>691.48</v>
      </c>
      <c r="S353" s="5">
        <f>G353/F353</f>
        <v/>
      </c>
      <c r="T353" s="5">
        <f>MAX(0,1-J353/8)</f>
        <v/>
      </c>
      <c r="U353" s="5">
        <f>IFERROR(G353/(F353*T353),0)</f>
        <v/>
      </c>
      <c r="V353" s="5">
        <f>IFERROR(H353/G353,0)</f>
        <v/>
      </c>
      <c r="W353" s="5">
        <f>T353*U353*V353</f>
        <v/>
      </c>
      <c r="X353" s="5">
        <f>IFERROR(I353/G353,0)</f>
        <v/>
      </c>
      <c r="Y353" s="6">
        <f>IFERROR(G353/M353,0)</f>
        <v/>
      </c>
      <c r="Z353" s="6">
        <f>IFERROR(O353/G353,0)</f>
        <v/>
      </c>
      <c r="AA353" s="2">
        <f>IF(L353="None","No Maintenance",IF(L353="Preventive","Planned","Breakdown"))</f>
        <v/>
      </c>
    </row>
    <row r="354">
      <c r="A354" s="2" t="n">
        <v>350</v>
      </c>
      <c r="B354" s="4" t="n">
        <v>46139</v>
      </c>
      <c r="C354" s="2" t="inlineStr">
        <is>
          <t>Evening</t>
        </is>
      </c>
      <c r="D354" s="2" t="inlineStr">
        <is>
          <t>Line 2</t>
        </is>
      </c>
      <c r="E354" s="2" t="inlineStr">
        <is>
          <t>Salt &amp; Vinegar</t>
        </is>
      </c>
      <c r="F354" s="2" t="n">
        <v>963</v>
      </c>
      <c r="G354" s="2" t="n">
        <v>795.9</v>
      </c>
      <c r="H354" s="2" t="n">
        <v>787.5</v>
      </c>
      <c r="I354" s="2" t="n">
        <v>8.4</v>
      </c>
      <c r="J354" s="2" t="n">
        <v>0.86</v>
      </c>
      <c r="K354" s="2" t="inlineStr">
        <is>
          <t>Electrical Fault</t>
        </is>
      </c>
      <c r="L354" s="2" t="inlineStr">
        <is>
          <t>Corrective</t>
        </is>
      </c>
      <c r="M354" s="2" t="n">
        <v>1595.2</v>
      </c>
      <c r="N354" s="2" t="n">
        <v>245.9</v>
      </c>
      <c r="O354" s="2" t="n">
        <v>92965.8</v>
      </c>
      <c r="P354" s="2" t="n">
        <v>178.3</v>
      </c>
      <c r="Q354" s="2" t="n">
        <v>1.55</v>
      </c>
      <c r="R354" s="2" t="n">
        <v>750.3099999999999</v>
      </c>
      <c r="S354" s="5">
        <f>G354/F354</f>
        <v/>
      </c>
      <c r="T354" s="5">
        <f>MAX(0,1-J354/8)</f>
        <v/>
      </c>
      <c r="U354" s="5">
        <f>IFERROR(G354/(F354*T354),0)</f>
        <v/>
      </c>
      <c r="V354" s="5">
        <f>IFERROR(H354/G354,0)</f>
        <v/>
      </c>
      <c r="W354" s="5">
        <f>T354*U354*V354</f>
        <v/>
      </c>
      <c r="X354" s="5">
        <f>IFERROR(I354/G354,0)</f>
        <v/>
      </c>
      <c r="Y354" s="6">
        <f>IFERROR(G354/M354,0)</f>
        <v/>
      </c>
      <c r="Z354" s="6">
        <f>IFERROR(O354/G354,0)</f>
        <v/>
      </c>
      <c r="AA354" s="2">
        <f>IF(L354="None","No Maintenance",IF(L354="Preventive","Planned","Breakdown"))</f>
        <v/>
      </c>
    </row>
    <row r="355">
      <c r="A355" s="2" t="n">
        <v>351</v>
      </c>
      <c r="B355" s="4" t="n">
        <v>46139</v>
      </c>
      <c r="C355" s="2" t="inlineStr">
        <is>
          <t>Night</t>
        </is>
      </c>
      <c r="D355" s="2" t="inlineStr">
        <is>
          <t>Line 1</t>
        </is>
      </c>
      <c r="E355" s="2" t="inlineStr">
        <is>
          <t>Salt &amp; Vinegar</t>
        </is>
      </c>
      <c r="F355" s="2" t="n">
        <v>997</v>
      </c>
      <c r="G355" s="2" t="n">
        <v>635.9</v>
      </c>
      <c r="H355" s="2" t="n">
        <v>621.8</v>
      </c>
      <c r="I355" s="2" t="n">
        <v>14.2</v>
      </c>
      <c r="J355" s="2" t="n">
        <v>3.25</v>
      </c>
      <c r="K355" s="2" t="inlineStr">
        <is>
          <t>Planned Maintenance</t>
        </is>
      </c>
      <c r="L355" s="2" t="inlineStr">
        <is>
          <t>Preventive</t>
        </is>
      </c>
      <c r="M355" s="2" t="n">
        <v>1257.4</v>
      </c>
      <c r="N355" s="2" t="n">
        <v>205.1</v>
      </c>
      <c r="O355" s="2" t="n">
        <v>78159.10000000001</v>
      </c>
      <c r="P355" s="2" t="n">
        <v>182</v>
      </c>
      <c r="Q355" s="2" t="n">
        <v>1.52</v>
      </c>
      <c r="R355" s="2" t="n">
        <v>206.34</v>
      </c>
      <c r="S355" s="5">
        <f>G355/F355</f>
        <v/>
      </c>
      <c r="T355" s="5">
        <f>MAX(0,1-J355/8)</f>
        <v/>
      </c>
      <c r="U355" s="5">
        <f>IFERROR(G355/(F355*T355),0)</f>
        <v/>
      </c>
      <c r="V355" s="5">
        <f>IFERROR(H355/G355,0)</f>
        <v/>
      </c>
      <c r="W355" s="5">
        <f>T355*U355*V355</f>
        <v/>
      </c>
      <c r="X355" s="5">
        <f>IFERROR(I355/G355,0)</f>
        <v/>
      </c>
      <c r="Y355" s="6">
        <f>IFERROR(G355/M355,0)</f>
        <v/>
      </c>
      <c r="Z355" s="6">
        <f>IFERROR(O355/G355,0)</f>
        <v/>
      </c>
      <c r="AA355" s="2">
        <f>IF(L355="None","No Maintenance",IF(L355="Preventive","Planned","Breakdown"))</f>
        <v/>
      </c>
    </row>
    <row r="356">
      <c r="A356" s="2" t="n">
        <v>352</v>
      </c>
      <c r="B356" s="4" t="n">
        <v>46140</v>
      </c>
      <c r="C356" s="2" t="inlineStr">
        <is>
          <t>Day</t>
        </is>
      </c>
      <c r="D356" s="2" t="inlineStr">
        <is>
          <t>Line 2</t>
        </is>
      </c>
      <c r="E356" s="2" t="inlineStr">
        <is>
          <t>Classic Chips</t>
        </is>
      </c>
      <c r="F356" s="2" t="n">
        <v>954</v>
      </c>
      <c r="G356" s="2" t="n">
        <v>592.5</v>
      </c>
      <c r="H356" s="2" t="n">
        <v>581.1</v>
      </c>
      <c r="I356" s="2" t="n">
        <v>11.4</v>
      </c>
      <c r="J356" s="2" t="n">
        <v>3.69</v>
      </c>
      <c r="K356" s="2" t="inlineStr">
        <is>
          <t>Planned Maintenance</t>
        </is>
      </c>
      <c r="L356" s="2" t="inlineStr">
        <is>
          <t>Preventive</t>
        </is>
      </c>
      <c r="M356" s="2" t="n">
        <v>1185.5</v>
      </c>
      <c r="N356" s="2" t="n">
        <v>173.8</v>
      </c>
      <c r="O356" s="2" t="n">
        <v>75358.60000000001</v>
      </c>
      <c r="P356" s="2" t="n">
        <v>180.9</v>
      </c>
      <c r="Q356" s="2" t="n">
        <v>2</v>
      </c>
      <c r="R356" s="2" t="n">
        <v>131.84</v>
      </c>
      <c r="S356" s="5">
        <f>G356/F356</f>
        <v/>
      </c>
      <c r="T356" s="5">
        <f>MAX(0,1-J356/8)</f>
        <v/>
      </c>
      <c r="U356" s="5">
        <f>IFERROR(G356/(F356*T356),0)</f>
        <v/>
      </c>
      <c r="V356" s="5">
        <f>IFERROR(H356/G356,0)</f>
        <v/>
      </c>
      <c r="W356" s="5">
        <f>T356*U356*V356</f>
        <v/>
      </c>
      <c r="X356" s="5">
        <f>IFERROR(I356/G356,0)</f>
        <v/>
      </c>
      <c r="Y356" s="6">
        <f>IFERROR(G356/M356,0)</f>
        <v/>
      </c>
      <c r="Z356" s="6">
        <f>IFERROR(O356/G356,0)</f>
        <v/>
      </c>
      <c r="AA356" s="2">
        <f>IF(L356="None","No Maintenance",IF(L356="Preventive","Planned","Breakdown"))</f>
        <v/>
      </c>
    </row>
    <row r="357">
      <c r="A357" s="2" t="n">
        <v>353</v>
      </c>
      <c r="B357" s="4" t="n">
        <v>46140</v>
      </c>
      <c r="C357" s="2" t="inlineStr">
        <is>
          <t>Evening</t>
        </is>
      </c>
      <c r="D357" s="2" t="inlineStr">
        <is>
          <t>Line 1</t>
        </is>
      </c>
      <c r="E357" s="2" t="inlineStr">
        <is>
          <t>Paprika Chips</t>
        </is>
      </c>
      <c r="F357" s="2" t="n">
        <v>920</v>
      </c>
      <c r="G357" s="2" t="n">
        <v>839.7</v>
      </c>
      <c r="H357" s="2" t="n">
        <v>815.4</v>
      </c>
      <c r="I357" s="2" t="n">
        <v>24.3</v>
      </c>
      <c r="J357" s="2" t="n">
        <v>0.2</v>
      </c>
      <c r="K357" s="2" t="inlineStr">
        <is>
          <t>No Downtime</t>
        </is>
      </c>
      <c r="L357" s="2" t="inlineStr">
        <is>
          <t>None</t>
        </is>
      </c>
      <c r="M357" s="2" t="n">
        <v>1686.2</v>
      </c>
      <c r="N357" s="2" t="n">
        <v>290.2</v>
      </c>
      <c r="O357" s="2" t="n">
        <v>98452</v>
      </c>
      <c r="P357" s="2" t="n">
        <v>178.4</v>
      </c>
      <c r="Q357" s="2" t="n">
        <v>1.37</v>
      </c>
      <c r="R357" s="2" t="n">
        <v>0</v>
      </c>
      <c r="S357" s="5">
        <f>G357/F357</f>
        <v/>
      </c>
      <c r="T357" s="5">
        <f>MAX(0,1-J357/8)</f>
        <v/>
      </c>
      <c r="U357" s="5">
        <f>IFERROR(G357/(F357*T357),0)</f>
        <v/>
      </c>
      <c r="V357" s="5">
        <f>IFERROR(H357/G357,0)</f>
        <v/>
      </c>
      <c r="W357" s="5">
        <f>T357*U357*V357</f>
        <v/>
      </c>
      <c r="X357" s="5">
        <f>IFERROR(I357/G357,0)</f>
        <v/>
      </c>
      <c r="Y357" s="6">
        <f>IFERROR(G357/M357,0)</f>
        <v/>
      </c>
      <c r="Z357" s="6">
        <f>IFERROR(O357/G357,0)</f>
        <v/>
      </c>
      <c r="AA357" s="2">
        <f>IF(L357="None","No Maintenance",IF(L357="Preventive","Planned","Breakdown"))</f>
        <v/>
      </c>
    </row>
    <row r="358">
      <c r="A358" s="2" t="n">
        <v>354</v>
      </c>
      <c r="B358" s="4" t="n">
        <v>46140</v>
      </c>
      <c r="C358" s="2" t="inlineStr">
        <is>
          <t>Night</t>
        </is>
      </c>
      <c r="D358" s="2" t="inlineStr">
        <is>
          <t>Line 1</t>
        </is>
      </c>
      <c r="E358" s="2" t="inlineStr">
        <is>
          <t>Classic Chips</t>
        </is>
      </c>
      <c r="F358" s="2" t="n">
        <v>999</v>
      </c>
      <c r="G358" s="2" t="n">
        <v>885.5</v>
      </c>
      <c r="H358" s="2" t="n">
        <v>879.7</v>
      </c>
      <c r="I358" s="2" t="n">
        <v>5.8</v>
      </c>
      <c r="J358" s="2" t="n">
        <v>0.3</v>
      </c>
      <c r="K358" s="2" t="inlineStr">
        <is>
          <t>No Downtime</t>
        </is>
      </c>
      <c r="L358" s="2" t="inlineStr">
        <is>
          <t>None</t>
        </is>
      </c>
      <c r="M358" s="2" t="n">
        <v>1853.8</v>
      </c>
      <c r="N358" s="2" t="n">
        <v>300.8</v>
      </c>
      <c r="O358" s="2" t="n">
        <v>103785.3</v>
      </c>
      <c r="P358" s="2" t="n">
        <v>177.7</v>
      </c>
      <c r="Q358" s="2" t="n">
        <v>1.8</v>
      </c>
      <c r="R358" s="2" t="n">
        <v>0</v>
      </c>
      <c r="S358" s="5">
        <f>G358/F358</f>
        <v/>
      </c>
      <c r="T358" s="5">
        <f>MAX(0,1-J358/8)</f>
        <v/>
      </c>
      <c r="U358" s="5">
        <f>IFERROR(G358/(F358*T358),0)</f>
        <v/>
      </c>
      <c r="V358" s="5">
        <f>IFERROR(H358/G358,0)</f>
        <v/>
      </c>
      <c r="W358" s="5">
        <f>T358*U358*V358</f>
        <v/>
      </c>
      <c r="X358" s="5">
        <f>IFERROR(I358/G358,0)</f>
        <v/>
      </c>
      <c r="Y358" s="6">
        <f>IFERROR(G358/M358,0)</f>
        <v/>
      </c>
      <c r="Z358" s="6">
        <f>IFERROR(O358/G358,0)</f>
        <v/>
      </c>
      <c r="AA358" s="2">
        <f>IF(L358="None","No Maintenance",IF(L358="Preventive","Planned","Breakdown"))</f>
        <v/>
      </c>
    </row>
    <row r="359">
      <c r="A359" s="2" t="n">
        <v>355</v>
      </c>
      <c r="B359" s="4" t="n">
        <v>46141</v>
      </c>
      <c r="C359" s="2" t="inlineStr">
        <is>
          <t>Day</t>
        </is>
      </c>
      <c r="D359" s="2" t="inlineStr">
        <is>
          <t>Line 1</t>
        </is>
      </c>
      <c r="E359" s="2" t="inlineStr">
        <is>
          <t>Salt &amp; Vinegar</t>
        </is>
      </c>
      <c r="F359" s="2" t="n">
        <v>992</v>
      </c>
      <c r="G359" s="2" t="n">
        <v>900</v>
      </c>
      <c r="H359" s="2" t="n">
        <v>883.8</v>
      </c>
      <c r="I359" s="2" t="n">
        <v>16.2</v>
      </c>
      <c r="J359" s="2" t="n">
        <v>0.19</v>
      </c>
      <c r="K359" s="2" t="inlineStr">
        <is>
          <t>No Downtime</t>
        </is>
      </c>
      <c r="L359" s="2" t="inlineStr">
        <is>
          <t>None</t>
        </is>
      </c>
      <c r="M359" s="2" t="n">
        <v>1874.3</v>
      </c>
      <c r="N359" s="2" t="n">
        <v>291.1</v>
      </c>
      <c r="O359" s="2" t="n">
        <v>114791.6</v>
      </c>
      <c r="P359" s="2" t="n">
        <v>178.1</v>
      </c>
      <c r="Q359" s="2" t="n">
        <v>2.05</v>
      </c>
      <c r="R359" s="2" t="n">
        <v>0</v>
      </c>
      <c r="S359" s="5">
        <f>G359/F359</f>
        <v/>
      </c>
      <c r="T359" s="5">
        <f>MAX(0,1-J359/8)</f>
        <v/>
      </c>
      <c r="U359" s="5">
        <f>IFERROR(G359/(F359*T359),0)</f>
        <v/>
      </c>
      <c r="V359" s="5">
        <f>IFERROR(H359/G359,0)</f>
        <v/>
      </c>
      <c r="W359" s="5">
        <f>T359*U359*V359</f>
        <v/>
      </c>
      <c r="X359" s="5">
        <f>IFERROR(I359/G359,0)</f>
        <v/>
      </c>
      <c r="Y359" s="6">
        <f>IFERROR(G359/M359,0)</f>
        <v/>
      </c>
      <c r="Z359" s="6">
        <f>IFERROR(O359/G359,0)</f>
        <v/>
      </c>
      <c r="AA359" s="2">
        <f>IF(L359="None","No Maintenance",IF(L359="Preventive","Planned","Breakdown"))</f>
        <v/>
      </c>
    </row>
    <row r="360">
      <c r="A360" s="2" t="n">
        <v>356</v>
      </c>
      <c r="B360" s="4" t="n">
        <v>46141</v>
      </c>
      <c r="C360" s="2" t="inlineStr">
        <is>
          <t>Evening</t>
        </is>
      </c>
      <c r="D360" s="2" t="inlineStr">
        <is>
          <t>Line 1</t>
        </is>
      </c>
      <c r="E360" s="2" t="inlineStr">
        <is>
          <t>Classic Chips</t>
        </is>
      </c>
      <c r="F360" s="2" t="n">
        <v>954</v>
      </c>
      <c r="G360" s="2" t="n">
        <v>633.4</v>
      </c>
      <c r="H360" s="2" t="n">
        <v>628.1</v>
      </c>
      <c r="I360" s="2" t="n">
        <v>5.4</v>
      </c>
      <c r="J360" s="2" t="n">
        <v>3.4</v>
      </c>
      <c r="K360" s="2" t="inlineStr">
        <is>
          <t>Planned Maintenance</t>
        </is>
      </c>
      <c r="L360" s="2" t="inlineStr">
        <is>
          <t>Preventive</t>
        </is>
      </c>
      <c r="M360" s="2" t="n">
        <v>1296.1</v>
      </c>
      <c r="N360" s="2" t="n">
        <v>213.4</v>
      </c>
      <c r="O360" s="2" t="n">
        <v>74950.8</v>
      </c>
      <c r="P360" s="2" t="n">
        <v>172.9</v>
      </c>
      <c r="Q360" s="2" t="n">
        <v>1.88</v>
      </c>
      <c r="R360" s="2" t="n">
        <v>169.94</v>
      </c>
      <c r="S360" s="5">
        <f>G360/F360</f>
        <v/>
      </c>
      <c r="T360" s="5">
        <f>MAX(0,1-J360/8)</f>
        <v/>
      </c>
      <c r="U360" s="5">
        <f>IFERROR(G360/(F360*T360),0)</f>
        <v/>
      </c>
      <c r="V360" s="5">
        <f>IFERROR(H360/G360,0)</f>
        <v/>
      </c>
      <c r="W360" s="5">
        <f>T360*U360*V360</f>
        <v/>
      </c>
      <c r="X360" s="5">
        <f>IFERROR(I360/G360,0)</f>
        <v/>
      </c>
      <c r="Y360" s="6">
        <f>IFERROR(G360/M360,0)</f>
        <v/>
      </c>
      <c r="Z360" s="6">
        <f>IFERROR(O360/G360,0)</f>
        <v/>
      </c>
      <c r="AA360" s="2">
        <f>IF(L360="None","No Maintenance",IF(L360="Preventive","Planned","Breakdown"))</f>
        <v/>
      </c>
    </row>
    <row r="361">
      <c r="A361" s="2" t="n">
        <v>357</v>
      </c>
      <c r="B361" s="4" t="n">
        <v>46141</v>
      </c>
      <c r="C361" s="2" t="inlineStr">
        <is>
          <t>Night</t>
        </is>
      </c>
      <c r="D361" s="2" t="inlineStr">
        <is>
          <t>Line 2</t>
        </is>
      </c>
      <c r="E361" s="2" t="inlineStr">
        <is>
          <t>Paprika Chips</t>
        </is>
      </c>
      <c r="F361" s="2" t="n">
        <v>995</v>
      </c>
      <c r="G361" s="2" t="n">
        <v>707.9</v>
      </c>
      <c r="H361" s="2" t="n">
        <v>689.7</v>
      </c>
      <c r="I361" s="2" t="n">
        <v>18.2</v>
      </c>
      <c r="J361" s="2" t="n">
        <v>0.96</v>
      </c>
      <c r="K361" s="2" t="inlineStr">
        <is>
          <t>Raw Material Shortage</t>
        </is>
      </c>
      <c r="L361" s="2" t="inlineStr">
        <is>
          <t>Corrective</t>
        </is>
      </c>
      <c r="M361" s="2" t="n">
        <v>1426.8</v>
      </c>
      <c r="N361" s="2" t="n">
        <v>206.2</v>
      </c>
      <c r="O361" s="2" t="n">
        <v>90324.7</v>
      </c>
      <c r="P361" s="2" t="n">
        <v>178.6</v>
      </c>
      <c r="Q361" s="2" t="n">
        <v>1.87</v>
      </c>
      <c r="R361" s="2" t="n">
        <v>357.52</v>
      </c>
      <c r="S361" s="5">
        <f>G361/F361</f>
        <v/>
      </c>
      <c r="T361" s="5">
        <f>MAX(0,1-J361/8)</f>
        <v/>
      </c>
      <c r="U361" s="5">
        <f>IFERROR(G361/(F361*T361),0)</f>
        <v/>
      </c>
      <c r="V361" s="5">
        <f>IFERROR(H361/G361,0)</f>
        <v/>
      </c>
      <c r="W361" s="5">
        <f>T361*U361*V361</f>
        <v/>
      </c>
      <c r="X361" s="5">
        <f>IFERROR(I361/G361,0)</f>
        <v/>
      </c>
      <c r="Y361" s="6">
        <f>IFERROR(G361/M361,0)</f>
        <v/>
      </c>
      <c r="Z361" s="6">
        <f>IFERROR(O361/G361,0)</f>
        <v/>
      </c>
      <c r="AA361" s="2">
        <f>IF(L361="None","No Maintenance",IF(L361="Preventive","Planned","Breakdown"))</f>
        <v/>
      </c>
    </row>
    <row r="362">
      <c r="A362" s="2" t="n">
        <v>358</v>
      </c>
      <c r="B362" s="4" t="n">
        <v>46142</v>
      </c>
      <c r="C362" s="2" t="inlineStr">
        <is>
          <t>Day</t>
        </is>
      </c>
      <c r="D362" s="2" t="inlineStr">
        <is>
          <t>Line 1</t>
        </is>
      </c>
      <c r="E362" s="2" t="inlineStr">
        <is>
          <t>Classic Chips</t>
        </is>
      </c>
      <c r="F362" s="2" t="n">
        <v>990</v>
      </c>
      <c r="G362" s="2" t="n">
        <v>851.7</v>
      </c>
      <c r="H362" s="2" t="n">
        <v>838.8</v>
      </c>
      <c r="I362" s="2" t="n">
        <v>12.9</v>
      </c>
      <c r="J362" s="2" t="n">
        <v>0.97</v>
      </c>
      <c r="K362" s="2" t="inlineStr">
        <is>
          <t>Conveyor Jam</t>
        </is>
      </c>
      <c r="L362" s="2" t="inlineStr">
        <is>
          <t>Corrective</t>
        </is>
      </c>
      <c r="M362" s="2" t="n">
        <v>1808.9</v>
      </c>
      <c r="N362" s="2" t="n">
        <v>281.4</v>
      </c>
      <c r="O362" s="2" t="n">
        <v>107761.9</v>
      </c>
      <c r="P362" s="2" t="n">
        <v>182.7</v>
      </c>
      <c r="Q362" s="2" t="n">
        <v>1.56</v>
      </c>
      <c r="R362" s="2" t="n">
        <v>876.41</v>
      </c>
      <c r="S362" s="5">
        <f>G362/F362</f>
        <v/>
      </c>
      <c r="T362" s="5">
        <f>MAX(0,1-J362/8)</f>
        <v/>
      </c>
      <c r="U362" s="5">
        <f>IFERROR(G362/(F362*T362),0)</f>
        <v/>
      </c>
      <c r="V362" s="5">
        <f>IFERROR(H362/G362,0)</f>
        <v/>
      </c>
      <c r="W362" s="5">
        <f>T362*U362*V362</f>
        <v/>
      </c>
      <c r="X362" s="5">
        <f>IFERROR(I362/G362,0)</f>
        <v/>
      </c>
      <c r="Y362" s="6">
        <f>IFERROR(G362/M362,0)</f>
        <v/>
      </c>
      <c r="Z362" s="6">
        <f>IFERROR(O362/G362,0)</f>
        <v/>
      </c>
      <c r="AA362" s="2">
        <f>IF(L362="None","No Maintenance",IF(L362="Preventive","Planned","Breakdown"))</f>
        <v/>
      </c>
    </row>
    <row r="363">
      <c r="A363" s="2" t="n">
        <v>359</v>
      </c>
      <c r="B363" s="4" t="n">
        <v>46142</v>
      </c>
      <c r="C363" s="2" t="inlineStr">
        <is>
          <t>Evening</t>
        </is>
      </c>
      <c r="D363" s="2" t="inlineStr">
        <is>
          <t>Line 2</t>
        </is>
      </c>
      <c r="E363" s="2" t="inlineStr">
        <is>
          <t>Classic Chips</t>
        </is>
      </c>
      <c r="F363" s="2" t="n">
        <v>1023</v>
      </c>
      <c r="G363" s="2" t="n">
        <v>632.1</v>
      </c>
      <c r="H363" s="2" t="n">
        <v>621.7</v>
      </c>
      <c r="I363" s="2" t="n">
        <v>10.3</v>
      </c>
      <c r="J363" s="2" t="n">
        <v>2.59</v>
      </c>
      <c r="K363" s="2" t="inlineStr">
        <is>
          <t>Conveyor Jam</t>
        </is>
      </c>
      <c r="L363" s="2" t="inlineStr">
        <is>
          <t>Corrective</t>
        </is>
      </c>
      <c r="M363" s="2" t="n">
        <v>1248.4</v>
      </c>
      <c r="N363" s="2" t="n">
        <v>201.6</v>
      </c>
      <c r="O363" s="2" t="n">
        <v>72995.2</v>
      </c>
      <c r="P363" s="2" t="n">
        <v>182.4</v>
      </c>
      <c r="Q363" s="2" t="n">
        <v>1.7</v>
      </c>
      <c r="R363" s="2" t="n">
        <v>318.9</v>
      </c>
      <c r="S363" s="5">
        <f>G363/F363</f>
        <v/>
      </c>
      <c r="T363" s="5">
        <f>MAX(0,1-J363/8)</f>
        <v/>
      </c>
      <c r="U363" s="5">
        <f>IFERROR(G363/(F363*T363),0)</f>
        <v/>
      </c>
      <c r="V363" s="5">
        <f>IFERROR(H363/G363,0)</f>
        <v/>
      </c>
      <c r="W363" s="5">
        <f>T363*U363*V363</f>
        <v/>
      </c>
      <c r="X363" s="5">
        <f>IFERROR(I363/G363,0)</f>
        <v/>
      </c>
      <c r="Y363" s="6">
        <f>IFERROR(G363/M363,0)</f>
        <v/>
      </c>
      <c r="Z363" s="6">
        <f>IFERROR(O363/G363,0)</f>
        <v/>
      </c>
      <c r="AA363" s="2">
        <f>IF(L363="None","No Maintenance",IF(L363="Preventive","Planned","Breakdown"))</f>
        <v/>
      </c>
    </row>
    <row r="364">
      <c r="A364" s="2" t="n">
        <v>360</v>
      </c>
      <c r="B364" s="4" t="n">
        <v>46142</v>
      </c>
      <c r="C364" s="2" t="inlineStr">
        <is>
          <t>Night</t>
        </is>
      </c>
      <c r="D364" s="2" t="inlineStr">
        <is>
          <t>Line 1</t>
        </is>
      </c>
      <c r="E364" s="2" t="inlineStr">
        <is>
          <t>Paprika Chips</t>
        </is>
      </c>
      <c r="F364" s="2" t="n">
        <v>974</v>
      </c>
      <c r="G364" s="2" t="n">
        <v>803.2</v>
      </c>
      <c r="H364" s="2" t="n">
        <v>801.4</v>
      </c>
      <c r="I364" s="2" t="n">
        <v>1.8</v>
      </c>
      <c r="J364" s="2" t="n">
        <v>0.25</v>
      </c>
      <c r="K364" s="2" t="inlineStr">
        <is>
          <t>No Downtime</t>
        </is>
      </c>
      <c r="L364" s="2" t="inlineStr">
        <is>
          <t>None</t>
        </is>
      </c>
      <c r="M364" s="2" t="n">
        <v>1682.5</v>
      </c>
      <c r="N364" s="2" t="n">
        <v>263.1</v>
      </c>
      <c r="O364" s="2" t="n">
        <v>92308.8</v>
      </c>
      <c r="P364" s="2" t="n">
        <v>182.2</v>
      </c>
      <c r="Q364" s="2" t="n">
        <v>1.76</v>
      </c>
      <c r="R364" s="2" t="n">
        <v>0</v>
      </c>
      <c r="S364" s="5">
        <f>G364/F364</f>
        <v/>
      </c>
      <c r="T364" s="5">
        <f>MAX(0,1-J364/8)</f>
        <v/>
      </c>
      <c r="U364" s="5">
        <f>IFERROR(G364/(F364*T364),0)</f>
        <v/>
      </c>
      <c r="V364" s="5">
        <f>IFERROR(H364/G364,0)</f>
        <v/>
      </c>
      <c r="W364" s="5">
        <f>T364*U364*V364</f>
        <v/>
      </c>
      <c r="X364" s="5">
        <f>IFERROR(I364/G364,0)</f>
        <v/>
      </c>
      <c r="Y364" s="6">
        <f>IFERROR(G364/M364,0)</f>
        <v/>
      </c>
      <c r="Z364" s="6">
        <f>IFERROR(O364/G364,0)</f>
        <v/>
      </c>
      <c r="AA364" s="2">
        <f>IF(L364="None","No Maintenance",IF(L364="Preventive","Planned","Breakdown"))</f>
        <v/>
      </c>
    </row>
  </sheetData>
  <conditionalFormatting sqref="W5:W36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MAINTENANCE EVENT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Event_ID</t>
        </is>
      </c>
      <c r="B3" s="3" t="inlineStr">
        <is>
          <t>Date</t>
        </is>
      </c>
      <c r="C3" s="3" t="inlineStr">
        <is>
          <t>Shift</t>
        </is>
      </c>
      <c r="D3" s="3" t="inlineStr">
        <is>
          <t>Line</t>
        </is>
      </c>
      <c r="E3" s="3" t="inlineStr">
        <is>
          <t>Product</t>
        </is>
      </c>
      <c r="F3" s="3" t="inlineStr">
        <is>
          <t>Maintenance_Type</t>
        </is>
      </c>
      <c r="G3" s="3" t="inlineStr">
        <is>
          <t>Failure_or_Task</t>
        </is>
      </c>
      <c r="H3" s="3" t="inlineStr">
        <is>
          <t>Downtime_hr</t>
        </is>
      </c>
      <c r="I3" s="3" t="inlineStr">
        <is>
          <t>Technician_Hours</t>
        </is>
      </c>
      <c r="J3" s="3" t="inlineStr">
        <is>
          <t>Maintenance_Cost_USD</t>
        </is>
      </c>
      <c r="K3" s="3" t="inlineStr">
        <is>
          <t>Status</t>
        </is>
      </c>
    </row>
    <row r="4">
      <c r="A4" s="2" t="n">
        <v>1</v>
      </c>
      <c r="B4" s="4" t="n">
        <v>46023</v>
      </c>
      <c r="C4" s="2" t="inlineStr">
        <is>
          <t>Night</t>
        </is>
      </c>
      <c r="D4" s="2" t="inlineStr">
        <is>
          <t>Line 2</t>
        </is>
      </c>
      <c r="E4" s="2" t="inlineStr">
        <is>
          <t>Classic Chips</t>
        </is>
      </c>
      <c r="F4" s="2" t="inlineStr">
        <is>
          <t>Corrective</t>
        </is>
      </c>
      <c r="G4" s="2" t="inlineStr">
        <is>
          <t>Electrical Fault</t>
        </is>
      </c>
      <c r="H4" s="2" t="n">
        <v>1.08</v>
      </c>
      <c r="I4" s="2" t="n">
        <v>19</v>
      </c>
      <c r="J4" s="2" t="n">
        <v>575.92</v>
      </c>
      <c r="K4" s="2" t="inlineStr">
        <is>
          <t>Completed</t>
        </is>
      </c>
    </row>
    <row r="5">
      <c r="A5" s="2" t="n">
        <v>2</v>
      </c>
      <c r="B5" s="4" t="n">
        <v>46024</v>
      </c>
      <c r="C5" s="2" t="inlineStr">
        <is>
          <t>Day</t>
        </is>
      </c>
      <c r="D5" s="2" t="inlineStr">
        <is>
          <t>Line 2</t>
        </is>
      </c>
      <c r="E5" s="2" t="inlineStr">
        <is>
          <t>Paprika Chips</t>
        </is>
      </c>
      <c r="F5" s="2" t="inlineStr">
        <is>
          <t>Preventive</t>
        </is>
      </c>
      <c r="G5" s="2" t="inlineStr">
        <is>
          <t>Planned Maintenance</t>
        </is>
      </c>
      <c r="H5" s="2" t="n">
        <v>2.03</v>
      </c>
      <c r="I5" s="2" t="n">
        <v>15</v>
      </c>
      <c r="J5" s="2" t="n">
        <v>168.33</v>
      </c>
      <c r="K5" s="2" t="inlineStr">
        <is>
          <t>Completed</t>
        </is>
      </c>
    </row>
    <row r="6">
      <c r="A6" s="2" t="n">
        <v>3</v>
      </c>
      <c r="B6" s="4" t="n">
        <v>46025</v>
      </c>
      <c r="C6" s="2" t="inlineStr">
        <is>
          <t>Day</t>
        </is>
      </c>
      <c r="D6" s="2" t="inlineStr">
        <is>
          <t>Line 2</t>
        </is>
      </c>
      <c r="E6" s="2" t="inlineStr">
        <is>
          <t>Paprika Chips</t>
        </is>
      </c>
      <c r="F6" s="2" t="inlineStr">
        <is>
          <t>Corrective</t>
        </is>
      </c>
      <c r="G6" s="2" t="inlineStr">
        <is>
          <t>Conveyor Jam</t>
        </is>
      </c>
      <c r="H6" s="2" t="n">
        <v>0.99</v>
      </c>
      <c r="I6" s="2" t="n">
        <v>21</v>
      </c>
      <c r="J6" s="2" t="n">
        <v>535.9299999999999</v>
      </c>
      <c r="K6" s="2" t="inlineStr">
        <is>
          <t>Completed</t>
        </is>
      </c>
    </row>
    <row r="7">
      <c r="A7" s="2" t="n">
        <v>4</v>
      </c>
      <c r="B7" s="4" t="n">
        <v>46025</v>
      </c>
      <c r="C7" s="2" t="inlineStr">
        <is>
          <t>Evening</t>
        </is>
      </c>
      <c r="D7" s="2" t="inlineStr">
        <is>
          <t>Line 2</t>
        </is>
      </c>
      <c r="E7" s="2" t="inlineStr">
        <is>
          <t>Classic Chips</t>
        </is>
      </c>
      <c r="F7" s="2" t="inlineStr">
        <is>
          <t>Emergency</t>
        </is>
      </c>
      <c r="G7" s="2" t="inlineStr">
        <is>
          <t>Conveyor Jam</t>
        </is>
      </c>
      <c r="H7" s="2" t="n">
        <v>0.9399999999999999</v>
      </c>
      <c r="I7" s="2" t="n">
        <v>6</v>
      </c>
      <c r="J7" s="2" t="n">
        <v>1224.77</v>
      </c>
      <c r="K7" s="2" t="inlineStr">
        <is>
          <t>Completed</t>
        </is>
      </c>
    </row>
    <row r="8">
      <c r="A8" s="2" t="n">
        <v>5</v>
      </c>
      <c r="B8" s="4" t="n">
        <v>46025</v>
      </c>
      <c r="C8" s="2" t="inlineStr">
        <is>
          <t>Night</t>
        </is>
      </c>
      <c r="D8" s="2" t="inlineStr">
        <is>
          <t>Line 2</t>
        </is>
      </c>
      <c r="E8" s="2" t="inlineStr">
        <is>
          <t>Classic Chips</t>
        </is>
      </c>
      <c r="F8" s="2" t="inlineStr">
        <is>
          <t>Corrective</t>
        </is>
      </c>
      <c r="G8" s="2" t="inlineStr">
        <is>
          <t>Quality Hold</t>
        </is>
      </c>
      <c r="H8" s="2" t="n">
        <v>1.97</v>
      </c>
      <c r="I8" s="2" t="n">
        <v>17</v>
      </c>
      <c r="J8" s="2" t="n">
        <v>324.83</v>
      </c>
      <c r="K8" s="2" t="inlineStr">
        <is>
          <t>Follow-up Required</t>
        </is>
      </c>
    </row>
    <row r="9">
      <c r="A9" s="2" t="n">
        <v>6</v>
      </c>
      <c r="B9" s="4" t="n">
        <v>46026</v>
      </c>
      <c r="C9" s="2" t="inlineStr">
        <is>
          <t>Day</t>
        </is>
      </c>
      <c r="D9" s="2" t="inlineStr">
        <is>
          <t>Line 1</t>
        </is>
      </c>
      <c r="E9" s="2" t="inlineStr">
        <is>
          <t>Paprika Chips</t>
        </is>
      </c>
      <c r="F9" s="2" t="inlineStr">
        <is>
          <t>Corrective</t>
        </is>
      </c>
      <c r="G9" s="2" t="inlineStr">
        <is>
          <t>Quality Hold</t>
        </is>
      </c>
      <c r="H9" s="2" t="n">
        <v>2.43</v>
      </c>
      <c r="I9" s="2" t="n">
        <v>7</v>
      </c>
      <c r="J9" s="2" t="n">
        <v>508.35</v>
      </c>
      <c r="K9" s="2" t="inlineStr">
        <is>
          <t>Completed</t>
        </is>
      </c>
    </row>
    <row r="10">
      <c r="A10" s="2" t="n">
        <v>7</v>
      </c>
      <c r="B10" s="4" t="n">
        <v>46026</v>
      </c>
      <c r="C10" s="2" t="inlineStr">
        <is>
          <t>Evening</t>
        </is>
      </c>
      <c r="D10" s="2" t="inlineStr">
        <is>
          <t>Line 2</t>
        </is>
      </c>
      <c r="E10" s="2" t="inlineStr">
        <is>
          <t>Salt &amp; Vinegar</t>
        </is>
      </c>
      <c r="F10" s="2" t="inlineStr">
        <is>
          <t>Preventive</t>
        </is>
      </c>
      <c r="G10" s="2" t="inlineStr">
        <is>
          <t>Planned Maintenance</t>
        </is>
      </c>
      <c r="H10" s="2" t="n">
        <v>2.49</v>
      </c>
      <c r="I10" s="2" t="n">
        <v>19</v>
      </c>
      <c r="J10" s="2" t="n">
        <v>274.94</v>
      </c>
      <c r="K10" s="2" t="inlineStr">
        <is>
          <t>Completed</t>
        </is>
      </c>
    </row>
    <row r="11">
      <c r="A11" s="2" t="n">
        <v>8</v>
      </c>
      <c r="B11" s="4" t="n">
        <v>46026</v>
      </c>
      <c r="C11" s="2" t="inlineStr">
        <is>
          <t>Night</t>
        </is>
      </c>
      <c r="D11" s="2" t="inlineStr">
        <is>
          <t>Line 1</t>
        </is>
      </c>
      <c r="E11" s="2" t="inlineStr">
        <is>
          <t>Classic Chips</t>
        </is>
      </c>
      <c r="F11" s="2" t="inlineStr">
        <is>
          <t>Emergency</t>
        </is>
      </c>
      <c r="G11" s="2" t="inlineStr">
        <is>
          <t>Packaging Machine</t>
        </is>
      </c>
      <c r="H11" s="2" t="n">
        <v>1.18</v>
      </c>
      <c r="I11" s="2" t="n">
        <v>18</v>
      </c>
      <c r="J11" s="2" t="n">
        <v>1151.45</v>
      </c>
      <c r="K11" s="2" t="inlineStr">
        <is>
          <t>Completed</t>
        </is>
      </c>
    </row>
    <row r="12">
      <c r="A12" s="2" t="n">
        <v>9</v>
      </c>
      <c r="B12" s="4" t="n">
        <v>46027</v>
      </c>
      <c r="C12" s="2" t="inlineStr">
        <is>
          <t>Evening</t>
        </is>
      </c>
      <c r="D12" s="2" t="inlineStr">
        <is>
          <t>Line 2</t>
        </is>
      </c>
      <c r="E12" s="2" t="inlineStr">
        <is>
          <t>Classic Chips</t>
        </is>
      </c>
      <c r="F12" s="2" t="inlineStr">
        <is>
          <t>Corrective</t>
        </is>
      </c>
      <c r="G12" s="2" t="inlineStr">
        <is>
          <t>Raw Material Shortage</t>
        </is>
      </c>
      <c r="H12" s="2" t="n">
        <v>3.45</v>
      </c>
      <c r="I12" s="2" t="n">
        <v>10</v>
      </c>
      <c r="J12" s="2" t="n">
        <v>354.82</v>
      </c>
      <c r="K12" s="2" t="inlineStr">
        <is>
          <t>Completed</t>
        </is>
      </c>
    </row>
    <row r="13">
      <c r="A13" s="2" t="n">
        <v>10</v>
      </c>
      <c r="B13" s="4" t="n">
        <v>46027</v>
      </c>
      <c r="C13" s="2" t="inlineStr">
        <is>
          <t>Night</t>
        </is>
      </c>
      <c r="D13" s="2" t="inlineStr">
        <is>
          <t>Line 1</t>
        </is>
      </c>
      <c r="E13" s="2" t="inlineStr">
        <is>
          <t>Salt &amp; Vinegar</t>
        </is>
      </c>
      <c r="F13" s="2" t="inlineStr">
        <is>
          <t>Corrective</t>
        </is>
      </c>
      <c r="G13" s="2" t="inlineStr">
        <is>
          <t>Quality Hold</t>
        </is>
      </c>
      <c r="H13" s="2" t="n">
        <v>3.01</v>
      </c>
      <c r="I13" s="2" t="n">
        <v>3</v>
      </c>
      <c r="J13" s="2" t="n">
        <v>668.86</v>
      </c>
      <c r="K13" s="2" t="inlineStr">
        <is>
          <t>Completed</t>
        </is>
      </c>
    </row>
    <row r="14">
      <c r="A14" s="2" t="n">
        <v>11</v>
      </c>
      <c r="B14" s="4" t="n">
        <v>46028</v>
      </c>
      <c r="C14" s="2" t="inlineStr">
        <is>
          <t>Day</t>
        </is>
      </c>
      <c r="D14" s="2" t="inlineStr">
        <is>
          <t>Line 1</t>
        </is>
      </c>
      <c r="E14" s="2" t="inlineStr">
        <is>
          <t>Paprika Chips</t>
        </is>
      </c>
      <c r="F14" s="2" t="inlineStr">
        <is>
          <t>Corrective</t>
        </is>
      </c>
      <c r="G14" s="2" t="inlineStr">
        <is>
          <t>Packaging Machine</t>
        </is>
      </c>
      <c r="H14" s="2" t="n">
        <v>3.56</v>
      </c>
      <c r="I14" s="2" t="n">
        <v>9</v>
      </c>
      <c r="J14" s="2" t="n">
        <v>538.77</v>
      </c>
      <c r="K14" s="2" t="inlineStr">
        <is>
          <t>Completed</t>
        </is>
      </c>
    </row>
    <row r="15">
      <c r="A15" s="2" t="n">
        <v>12</v>
      </c>
      <c r="B15" s="4" t="n">
        <v>46028</v>
      </c>
      <c r="C15" s="2" t="inlineStr">
        <is>
          <t>Night</t>
        </is>
      </c>
      <c r="D15" s="2" t="inlineStr">
        <is>
          <t>Line 2</t>
        </is>
      </c>
      <c r="E15" s="2" t="inlineStr">
        <is>
          <t>Paprika Chips</t>
        </is>
      </c>
      <c r="F15" s="2" t="inlineStr">
        <is>
          <t>Corrective</t>
        </is>
      </c>
      <c r="G15" s="2" t="inlineStr">
        <is>
          <t>Conveyor Jam</t>
        </is>
      </c>
      <c r="H15" s="2" t="n">
        <v>2.72</v>
      </c>
      <c r="I15" s="2" t="n">
        <v>20</v>
      </c>
      <c r="J15" s="2" t="n">
        <v>886.22</v>
      </c>
      <c r="K15" s="2" t="inlineStr">
        <is>
          <t>Completed</t>
        </is>
      </c>
    </row>
    <row r="16">
      <c r="A16" s="2" t="n">
        <v>13</v>
      </c>
      <c r="B16" s="4" t="n">
        <v>46029</v>
      </c>
      <c r="C16" s="2" t="inlineStr">
        <is>
          <t>Day</t>
        </is>
      </c>
      <c r="D16" s="2" t="inlineStr">
        <is>
          <t>Line 1</t>
        </is>
      </c>
      <c r="E16" s="2" t="inlineStr">
        <is>
          <t>Paprika Chips</t>
        </is>
      </c>
      <c r="F16" s="2" t="inlineStr">
        <is>
          <t>Corrective</t>
        </is>
      </c>
      <c r="G16" s="2" t="inlineStr">
        <is>
          <t>Quality Hold</t>
        </is>
      </c>
      <c r="H16" s="2" t="n">
        <v>1.82</v>
      </c>
      <c r="I16" s="2" t="n">
        <v>6</v>
      </c>
      <c r="J16" s="2" t="n">
        <v>899.26</v>
      </c>
      <c r="K16" s="2" t="inlineStr">
        <is>
          <t>Completed</t>
        </is>
      </c>
    </row>
    <row r="17">
      <c r="A17" s="2" t="n">
        <v>14</v>
      </c>
      <c r="B17" s="4" t="n">
        <v>46029</v>
      </c>
      <c r="C17" s="2" t="inlineStr">
        <is>
          <t>Evening</t>
        </is>
      </c>
      <c r="D17" s="2" t="inlineStr">
        <is>
          <t>Line 1</t>
        </is>
      </c>
      <c r="E17" s="2" t="inlineStr">
        <is>
          <t>Salt &amp; Vinegar</t>
        </is>
      </c>
      <c r="F17" s="2" t="inlineStr">
        <is>
          <t>Corrective</t>
        </is>
      </c>
      <c r="G17" s="2" t="inlineStr">
        <is>
          <t>Packaging Machine</t>
        </is>
      </c>
      <c r="H17" s="2" t="n">
        <v>1.34</v>
      </c>
      <c r="I17" s="2" t="n">
        <v>16</v>
      </c>
      <c r="J17" s="2" t="n">
        <v>876.77</v>
      </c>
      <c r="K17" s="2" t="inlineStr">
        <is>
          <t>Completed</t>
        </is>
      </c>
    </row>
    <row r="18">
      <c r="A18" s="2" t="n">
        <v>15</v>
      </c>
      <c r="B18" s="4" t="n">
        <v>46029</v>
      </c>
      <c r="C18" s="2" t="inlineStr">
        <is>
          <t>Night</t>
        </is>
      </c>
      <c r="D18" s="2" t="inlineStr">
        <is>
          <t>Line 2</t>
        </is>
      </c>
      <c r="E18" s="2" t="inlineStr">
        <is>
          <t>Salt &amp; Vinegar</t>
        </is>
      </c>
      <c r="F18" s="2" t="inlineStr">
        <is>
          <t>Corrective</t>
        </is>
      </c>
      <c r="G18" s="2" t="inlineStr">
        <is>
          <t>Conveyor Jam</t>
        </is>
      </c>
      <c r="H18" s="2" t="n">
        <v>3.02</v>
      </c>
      <c r="I18" s="2" t="n">
        <v>13</v>
      </c>
      <c r="J18" s="2" t="n">
        <v>576.95</v>
      </c>
      <c r="K18" s="2" t="inlineStr">
        <is>
          <t>Completed</t>
        </is>
      </c>
    </row>
    <row r="19">
      <c r="A19" s="2" t="n">
        <v>16</v>
      </c>
      <c r="B19" s="4" t="n">
        <v>46030</v>
      </c>
      <c r="C19" s="2" t="inlineStr">
        <is>
          <t>Day</t>
        </is>
      </c>
      <c r="D19" s="2" t="inlineStr">
        <is>
          <t>Line 2</t>
        </is>
      </c>
      <c r="E19" s="2" t="inlineStr">
        <is>
          <t>Salt &amp; Vinegar</t>
        </is>
      </c>
      <c r="F19" s="2" t="inlineStr">
        <is>
          <t>Corrective</t>
        </is>
      </c>
      <c r="G19" s="2" t="inlineStr">
        <is>
          <t>Quality Hold</t>
        </is>
      </c>
      <c r="H19" s="2" t="n">
        <v>1.78</v>
      </c>
      <c r="I19" s="2" t="n">
        <v>21</v>
      </c>
      <c r="J19" s="2" t="n">
        <v>547.35</v>
      </c>
      <c r="K19" s="2" t="inlineStr">
        <is>
          <t>Completed</t>
        </is>
      </c>
    </row>
    <row r="20">
      <c r="A20" s="2" t="n">
        <v>17</v>
      </c>
      <c r="B20" s="4" t="n">
        <v>46030</v>
      </c>
      <c r="C20" s="2" t="inlineStr">
        <is>
          <t>Evening</t>
        </is>
      </c>
      <c r="D20" s="2" t="inlineStr">
        <is>
          <t>Line 1</t>
        </is>
      </c>
      <c r="E20" s="2" t="inlineStr">
        <is>
          <t>Classic Chips</t>
        </is>
      </c>
      <c r="F20" s="2" t="inlineStr">
        <is>
          <t>Corrective</t>
        </is>
      </c>
      <c r="G20" s="2" t="inlineStr">
        <is>
          <t>Fryer Temperature</t>
        </is>
      </c>
      <c r="H20" s="2" t="n">
        <v>3.1</v>
      </c>
      <c r="I20" s="2" t="n">
        <v>5</v>
      </c>
      <c r="J20" s="2" t="n">
        <v>404.43</v>
      </c>
      <c r="K20" s="2" t="inlineStr">
        <is>
          <t>Completed</t>
        </is>
      </c>
    </row>
    <row r="21">
      <c r="A21" s="2" t="n">
        <v>18</v>
      </c>
      <c r="B21" s="4" t="n">
        <v>46031</v>
      </c>
      <c r="C21" s="2" t="inlineStr">
        <is>
          <t>Day</t>
        </is>
      </c>
      <c r="D21" s="2" t="inlineStr">
        <is>
          <t>Line 2</t>
        </is>
      </c>
      <c r="E21" s="2" t="inlineStr">
        <is>
          <t>Paprika Chips</t>
        </is>
      </c>
      <c r="F21" s="2" t="inlineStr">
        <is>
          <t>Preventive</t>
        </is>
      </c>
      <c r="G21" s="2" t="inlineStr">
        <is>
          <t>Planned Maintenance</t>
        </is>
      </c>
      <c r="H21" s="2" t="n">
        <v>3.03</v>
      </c>
      <c r="I21" s="2" t="n">
        <v>16</v>
      </c>
      <c r="J21" s="2" t="n">
        <v>228.87</v>
      </c>
      <c r="K21" s="2" t="inlineStr">
        <is>
          <t>Completed</t>
        </is>
      </c>
    </row>
    <row r="22">
      <c r="A22" s="2" t="n">
        <v>19</v>
      </c>
      <c r="B22" s="4" t="n">
        <v>46032</v>
      </c>
      <c r="C22" s="2" t="inlineStr">
        <is>
          <t>Evening</t>
        </is>
      </c>
      <c r="D22" s="2" t="inlineStr">
        <is>
          <t>Line 1</t>
        </is>
      </c>
      <c r="E22" s="2" t="inlineStr">
        <is>
          <t>Paprika Chips</t>
        </is>
      </c>
      <c r="F22" s="2" t="inlineStr">
        <is>
          <t>Emergency</t>
        </is>
      </c>
      <c r="G22" s="2" t="inlineStr">
        <is>
          <t>Fryer Temperature</t>
        </is>
      </c>
      <c r="H22" s="2" t="n">
        <v>0.93</v>
      </c>
      <c r="I22" s="2" t="n">
        <v>21</v>
      </c>
      <c r="J22" s="2" t="n">
        <v>772.1900000000001</v>
      </c>
      <c r="K22" s="2" t="inlineStr">
        <is>
          <t>Completed</t>
        </is>
      </c>
    </row>
    <row r="23">
      <c r="A23" s="2" t="n">
        <v>20</v>
      </c>
      <c r="B23" s="4" t="n">
        <v>46032</v>
      </c>
      <c r="C23" s="2" t="inlineStr">
        <is>
          <t>Night</t>
        </is>
      </c>
      <c r="D23" s="2" t="inlineStr">
        <is>
          <t>Line 2</t>
        </is>
      </c>
      <c r="E23" s="2" t="inlineStr">
        <is>
          <t>Salt &amp; Vinegar</t>
        </is>
      </c>
      <c r="F23" s="2" t="inlineStr">
        <is>
          <t>Corrective</t>
        </is>
      </c>
      <c r="G23" s="2" t="inlineStr">
        <is>
          <t>Conveyor Jam</t>
        </is>
      </c>
      <c r="H23" s="2" t="n">
        <v>1.53</v>
      </c>
      <c r="I23" s="2" t="n">
        <v>12</v>
      </c>
      <c r="J23" s="2" t="n">
        <v>811</v>
      </c>
      <c r="K23" s="2" t="inlineStr">
        <is>
          <t>Completed</t>
        </is>
      </c>
    </row>
    <row r="24">
      <c r="A24" s="2" t="n">
        <v>21</v>
      </c>
      <c r="B24" s="4" t="n">
        <v>46033</v>
      </c>
      <c r="C24" s="2" t="inlineStr">
        <is>
          <t>Day</t>
        </is>
      </c>
      <c r="D24" s="2" t="inlineStr">
        <is>
          <t>Line 1</t>
        </is>
      </c>
      <c r="E24" s="2" t="inlineStr">
        <is>
          <t>Classic Chips</t>
        </is>
      </c>
      <c r="F24" s="2" t="inlineStr">
        <is>
          <t>Corrective</t>
        </is>
      </c>
      <c r="G24" s="2" t="inlineStr">
        <is>
          <t>Packaging Machine</t>
        </is>
      </c>
      <c r="H24" s="2" t="n">
        <v>3.69</v>
      </c>
      <c r="I24" s="2" t="n">
        <v>18</v>
      </c>
      <c r="J24" s="2" t="n">
        <v>877.85</v>
      </c>
      <c r="K24" s="2" t="inlineStr">
        <is>
          <t>Follow-up Required</t>
        </is>
      </c>
    </row>
    <row r="25">
      <c r="A25" s="2" t="n">
        <v>22</v>
      </c>
      <c r="B25" s="4" t="n">
        <v>46033</v>
      </c>
      <c r="C25" s="2" t="inlineStr">
        <is>
          <t>Evening</t>
        </is>
      </c>
      <c r="D25" s="2" t="inlineStr">
        <is>
          <t>Line 2</t>
        </is>
      </c>
      <c r="E25" s="2" t="inlineStr">
        <is>
          <t>Paprika Chips</t>
        </is>
      </c>
      <c r="F25" s="2" t="inlineStr">
        <is>
          <t>Emergency</t>
        </is>
      </c>
      <c r="G25" s="2" t="inlineStr">
        <is>
          <t>Packaging Machine</t>
        </is>
      </c>
      <c r="H25" s="2" t="n">
        <v>1.78</v>
      </c>
      <c r="I25" s="2" t="n">
        <v>13</v>
      </c>
      <c r="J25" s="2" t="n">
        <v>1587.76</v>
      </c>
      <c r="K25" s="2" t="inlineStr">
        <is>
          <t>Completed</t>
        </is>
      </c>
    </row>
    <row r="26">
      <c r="A26" s="2" t="n">
        <v>23</v>
      </c>
      <c r="B26" s="4" t="n">
        <v>46034</v>
      </c>
      <c r="C26" s="2" t="inlineStr">
        <is>
          <t>Night</t>
        </is>
      </c>
      <c r="D26" s="2" t="inlineStr">
        <is>
          <t>Line 2</t>
        </is>
      </c>
      <c r="E26" s="2" t="inlineStr">
        <is>
          <t>Classic Chips</t>
        </is>
      </c>
      <c r="F26" s="2" t="inlineStr">
        <is>
          <t>Corrective</t>
        </is>
      </c>
      <c r="G26" s="2" t="inlineStr">
        <is>
          <t>Conveyor Jam</t>
        </is>
      </c>
      <c r="H26" s="2" t="n">
        <v>1.81</v>
      </c>
      <c r="I26" s="2" t="n">
        <v>9</v>
      </c>
      <c r="J26" s="2" t="n">
        <v>671.16</v>
      </c>
      <c r="K26" s="2" t="inlineStr">
        <is>
          <t>Completed</t>
        </is>
      </c>
    </row>
    <row r="27">
      <c r="A27" s="2" t="n">
        <v>24</v>
      </c>
      <c r="B27" s="4" t="n">
        <v>46035</v>
      </c>
      <c r="C27" s="2" t="inlineStr">
        <is>
          <t>Day</t>
        </is>
      </c>
      <c r="D27" s="2" t="inlineStr">
        <is>
          <t>Line 1</t>
        </is>
      </c>
      <c r="E27" s="2" t="inlineStr">
        <is>
          <t>Classic Chips</t>
        </is>
      </c>
      <c r="F27" s="2" t="inlineStr">
        <is>
          <t>Emergency</t>
        </is>
      </c>
      <c r="G27" s="2" t="inlineStr">
        <is>
          <t>Conveyor Jam</t>
        </is>
      </c>
      <c r="H27" s="2" t="n">
        <v>2.73</v>
      </c>
      <c r="I27" s="2" t="n">
        <v>4</v>
      </c>
      <c r="J27" s="2" t="n">
        <v>901.05</v>
      </c>
      <c r="K27" s="2" t="inlineStr">
        <is>
          <t>Completed</t>
        </is>
      </c>
    </row>
    <row r="28">
      <c r="A28" s="2" t="n">
        <v>25</v>
      </c>
      <c r="B28" s="4" t="n">
        <v>46036</v>
      </c>
      <c r="C28" s="2" t="inlineStr">
        <is>
          <t>Day</t>
        </is>
      </c>
      <c r="D28" s="2" t="inlineStr">
        <is>
          <t>Line 2</t>
        </is>
      </c>
      <c r="E28" s="2" t="inlineStr">
        <is>
          <t>Salt &amp; Vinegar</t>
        </is>
      </c>
      <c r="F28" s="2" t="inlineStr">
        <is>
          <t>Corrective</t>
        </is>
      </c>
      <c r="G28" s="2" t="inlineStr">
        <is>
          <t>Fryer Temperature</t>
        </is>
      </c>
      <c r="H28" s="2" t="n">
        <v>2.06</v>
      </c>
      <c r="I28" s="2" t="n">
        <v>11</v>
      </c>
      <c r="J28" s="2" t="n">
        <v>878.72</v>
      </c>
      <c r="K28" s="2" t="inlineStr">
        <is>
          <t>Completed</t>
        </is>
      </c>
    </row>
    <row r="29">
      <c r="A29" s="2" t="n">
        <v>26</v>
      </c>
      <c r="B29" s="4" t="n">
        <v>46037</v>
      </c>
      <c r="C29" s="2" t="inlineStr">
        <is>
          <t>Evening</t>
        </is>
      </c>
      <c r="D29" s="2" t="inlineStr">
        <is>
          <t>Line 1</t>
        </is>
      </c>
      <c r="E29" s="2" t="inlineStr">
        <is>
          <t>Classic Chips</t>
        </is>
      </c>
      <c r="F29" s="2" t="inlineStr">
        <is>
          <t>Corrective</t>
        </is>
      </c>
      <c r="G29" s="2" t="inlineStr">
        <is>
          <t>Packaging Machine</t>
        </is>
      </c>
      <c r="H29" s="2" t="n">
        <v>3.13</v>
      </c>
      <c r="I29" s="2" t="n">
        <v>11</v>
      </c>
      <c r="J29" s="2" t="n">
        <v>872.89</v>
      </c>
      <c r="K29" s="2" t="inlineStr">
        <is>
          <t>Completed</t>
        </is>
      </c>
    </row>
    <row r="30">
      <c r="A30" s="2" t="n">
        <v>27</v>
      </c>
      <c r="B30" s="4" t="n">
        <v>46037</v>
      </c>
      <c r="C30" s="2" t="inlineStr">
        <is>
          <t>Night</t>
        </is>
      </c>
      <c r="D30" s="2" t="inlineStr">
        <is>
          <t>Line 2</t>
        </is>
      </c>
      <c r="E30" s="2" t="inlineStr">
        <is>
          <t>Classic Chips</t>
        </is>
      </c>
      <c r="F30" s="2" t="inlineStr">
        <is>
          <t>Preventive</t>
        </is>
      </c>
      <c r="G30" s="2" t="inlineStr">
        <is>
          <t>Planned Maintenance</t>
        </is>
      </c>
      <c r="H30" s="2" t="n">
        <v>3.04</v>
      </c>
      <c r="I30" s="2" t="n">
        <v>8</v>
      </c>
      <c r="J30" s="2" t="n">
        <v>254.57</v>
      </c>
      <c r="K30" s="2" t="inlineStr">
        <is>
          <t>Completed</t>
        </is>
      </c>
    </row>
    <row r="31">
      <c r="A31" s="2" t="n">
        <v>28</v>
      </c>
      <c r="B31" s="4" t="n">
        <v>46038</v>
      </c>
      <c r="C31" s="2" t="inlineStr">
        <is>
          <t>Day</t>
        </is>
      </c>
      <c r="D31" s="2" t="inlineStr">
        <is>
          <t>Line 1</t>
        </is>
      </c>
      <c r="E31" s="2" t="inlineStr">
        <is>
          <t>Salt &amp; Vinegar</t>
        </is>
      </c>
      <c r="F31" s="2" t="inlineStr">
        <is>
          <t>Corrective</t>
        </is>
      </c>
      <c r="G31" s="2" t="inlineStr">
        <is>
          <t>Conveyor Jam</t>
        </is>
      </c>
      <c r="H31" s="2" t="n">
        <v>3.56</v>
      </c>
      <c r="I31" s="2" t="n">
        <v>5</v>
      </c>
      <c r="J31" s="2" t="n">
        <v>478.06</v>
      </c>
      <c r="K31" s="2" t="inlineStr">
        <is>
          <t>Completed</t>
        </is>
      </c>
    </row>
    <row r="32">
      <c r="A32" s="2" t="n">
        <v>29</v>
      </c>
      <c r="B32" s="4" t="n">
        <v>46038</v>
      </c>
      <c r="C32" s="2" t="inlineStr">
        <is>
          <t>Evening</t>
        </is>
      </c>
      <c r="D32" s="2" t="inlineStr">
        <is>
          <t>Line 1</t>
        </is>
      </c>
      <c r="E32" s="2" t="inlineStr">
        <is>
          <t>Classic Chips</t>
        </is>
      </c>
      <c r="F32" s="2" t="inlineStr">
        <is>
          <t>Emergency</t>
        </is>
      </c>
      <c r="G32" s="2" t="inlineStr">
        <is>
          <t>Quality Hold</t>
        </is>
      </c>
      <c r="H32" s="2" t="n">
        <v>0.84</v>
      </c>
      <c r="I32" s="2" t="n">
        <v>16</v>
      </c>
      <c r="J32" s="2" t="n">
        <v>702.45</v>
      </c>
      <c r="K32" s="2" t="inlineStr">
        <is>
          <t>Completed</t>
        </is>
      </c>
    </row>
    <row r="33">
      <c r="A33" s="2" t="n">
        <v>30</v>
      </c>
      <c r="B33" s="4" t="n">
        <v>46039</v>
      </c>
      <c r="C33" s="2" t="inlineStr">
        <is>
          <t>Day</t>
        </is>
      </c>
      <c r="D33" s="2" t="inlineStr">
        <is>
          <t>Line 1</t>
        </is>
      </c>
      <c r="E33" s="2" t="inlineStr">
        <is>
          <t>Classic Chips</t>
        </is>
      </c>
      <c r="F33" s="2" t="inlineStr">
        <is>
          <t>Corrective</t>
        </is>
      </c>
      <c r="G33" s="2" t="inlineStr">
        <is>
          <t>Conveyor Jam</t>
        </is>
      </c>
      <c r="H33" s="2" t="n">
        <v>0.67</v>
      </c>
      <c r="I33" s="2" t="n">
        <v>10</v>
      </c>
      <c r="J33" s="2" t="n">
        <v>516.72</v>
      </c>
      <c r="K33" s="2" t="inlineStr">
        <is>
          <t>Completed</t>
        </is>
      </c>
    </row>
    <row r="34">
      <c r="A34" s="2" t="n">
        <v>31</v>
      </c>
      <c r="B34" s="4" t="n">
        <v>46039</v>
      </c>
      <c r="C34" s="2" t="inlineStr">
        <is>
          <t>Night</t>
        </is>
      </c>
      <c r="D34" s="2" t="inlineStr">
        <is>
          <t>Line 2</t>
        </is>
      </c>
      <c r="E34" s="2" t="inlineStr">
        <is>
          <t>Classic Chips</t>
        </is>
      </c>
      <c r="F34" s="2" t="inlineStr">
        <is>
          <t>Corrective</t>
        </is>
      </c>
      <c r="G34" s="2" t="inlineStr">
        <is>
          <t>Conveyor Jam</t>
        </is>
      </c>
      <c r="H34" s="2" t="n">
        <v>3.35</v>
      </c>
      <c r="I34" s="2" t="n">
        <v>9</v>
      </c>
      <c r="J34" s="2" t="n">
        <v>801.97</v>
      </c>
      <c r="K34" s="2" t="inlineStr">
        <is>
          <t>Completed</t>
        </is>
      </c>
    </row>
    <row r="35">
      <c r="A35" s="2" t="n">
        <v>32</v>
      </c>
      <c r="B35" s="4" t="n">
        <v>46040</v>
      </c>
      <c r="C35" s="2" t="inlineStr">
        <is>
          <t>Day</t>
        </is>
      </c>
      <c r="D35" s="2" t="inlineStr">
        <is>
          <t>Line 2</t>
        </is>
      </c>
      <c r="E35" s="2" t="inlineStr">
        <is>
          <t>Classic Chips</t>
        </is>
      </c>
      <c r="F35" s="2" t="inlineStr">
        <is>
          <t>Corrective</t>
        </is>
      </c>
      <c r="G35" s="2" t="inlineStr">
        <is>
          <t>Quality Hold</t>
        </is>
      </c>
      <c r="H35" s="2" t="n">
        <v>2.24</v>
      </c>
      <c r="I35" s="2" t="n">
        <v>9</v>
      </c>
      <c r="J35" s="2" t="n">
        <v>408.07</v>
      </c>
      <c r="K35" s="2" t="inlineStr">
        <is>
          <t>Completed</t>
        </is>
      </c>
    </row>
    <row r="36">
      <c r="A36" s="2" t="n">
        <v>33</v>
      </c>
      <c r="B36" s="4" t="n">
        <v>46040</v>
      </c>
      <c r="C36" s="2" t="inlineStr">
        <is>
          <t>Evening</t>
        </is>
      </c>
      <c r="D36" s="2" t="inlineStr">
        <is>
          <t>Line 1</t>
        </is>
      </c>
      <c r="E36" s="2" t="inlineStr">
        <is>
          <t>Paprika Chips</t>
        </is>
      </c>
      <c r="F36" s="2" t="inlineStr">
        <is>
          <t>Corrective</t>
        </is>
      </c>
      <c r="G36" s="2" t="inlineStr">
        <is>
          <t>Raw Material Shortage</t>
        </is>
      </c>
      <c r="H36" s="2" t="n">
        <v>2.71</v>
      </c>
      <c r="I36" s="2" t="n">
        <v>4</v>
      </c>
      <c r="J36" s="2" t="n">
        <v>726.1900000000001</v>
      </c>
      <c r="K36" s="2" t="inlineStr">
        <is>
          <t>Follow-up Required</t>
        </is>
      </c>
    </row>
    <row r="37">
      <c r="A37" s="2" t="n">
        <v>34</v>
      </c>
      <c r="B37" s="4" t="n">
        <v>46041</v>
      </c>
      <c r="C37" s="2" t="inlineStr">
        <is>
          <t>Night</t>
        </is>
      </c>
      <c r="D37" s="2" t="inlineStr">
        <is>
          <t>Line 2</t>
        </is>
      </c>
      <c r="E37" s="2" t="inlineStr">
        <is>
          <t>Classic Chips</t>
        </is>
      </c>
      <c r="F37" s="2" t="inlineStr">
        <is>
          <t>Emergency</t>
        </is>
      </c>
      <c r="G37" s="2" t="inlineStr">
        <is>
          <t>Electrical Fault</t>
        </is>
      </c>
      <c r="H37" s="2" t="n">
        <v>1.89</v>
      </c>
      <c r="I37" s="2" t="n">
        <v>17</v>
      </c>
      <c r="J37" s="2" t="n">
        <v>1576.12</v>
      </c>
      <c r="K37" s="2" t="inlineStr">
        <is>
          <t>Completed</t>
        </is>
      </c>
    </row>
    <row r="38">
      <c r="A38" s="2" t="n">
        <v>35</v>
      </c>
      <c r="B38" s="4" t="n">
        <v>46043</v>
      </c>
      <c r="C38" s="2" t="inlineStr">
        <is>
          <t>Day</t>
        </is>
      </c>
      <c r="D38" s="2" t="inlineStr">
        <is>
          <t>Line 2</t>
        </is>
      </c>
      <c r="E38" s="2" t="inlineStr">
        <is>
          <t>Salt &amp; Vinegar</t>
        </is>
      </c>
      <c r="F38" s="2" t="inlineStr">
        <is>
          <t>Corrective</t>
        </is>
      </c>
      <c r="G38" s="2" t="inlineStr">
        <is>
          <t>Packaging Machine</t>
        </is>
      </c>
      <c r="H38" s="2" t="n">
        <v>3.56</v>
      </c>
      <c r="I38" s="2" t="n">
        <v>18</v>
      </c>
      <c r="J38" s="2" t="n">
        <v>394.72</v>
      </c>
      <c r="K38" s="2" t="inlineStr">
        <is>
          <t>Completed</t>
        </is>
      </c>
    </row>
    <row r="39">
      <c r="A39" s="2" t="n">
        <v>36</v>
      </c>
      <c r="B39" s="4" t="n">
        <v>46043</v>
      </c>
      <c r="C39" s="2" t="inlineStr">
        <is>
          <t>Night</t>
        </is>
      </c>
      <c r="D39" s="2" t="inlineStr">
        <is>
          <t>Line 1</t>
        </is>
      </c>
      <c r="E39" s="2" t="inlineStr">
        <is>
          <t>Paprika Chips</t>
        </is>
      </c>
      <c r="F39" s="2" t="inlineStr">
        <is>
          <t>Preventive</t>
        </is>
      </c>
      <c r="G39" s="2" t="inlineStr">
        <is>
          <t>Planned Maintenance</t>
        </is>
      </c>
      <c r="H39" s="2" t="n">
        <v>2.16</v>
      </c>
      <c r="I39" s="2" t="n">
        <v>17</v>
      </c>
      <c r="J39" s="2" t="n">
        <v>165.27</v>
      </c>
      <c r="K39" s="2" t="inlineStr">
        <is>
          <t>Completed</t>
        </is>
      </c>
    </row>
    <row r="40">
      <c r="A40" s="2" t="n">
        <v>37</v>
      </c>
      <c r="B40" s="4" t="n">
        <v>46044</v>
      </c>
      <c r="C40" s="2" t="inlineStr">
        <is>
          <t>Day</t>
        </is>
      </c>
      <c r="D40" s="2" t="inlineStr">
        <is>
          <t>Line 1</t>
        </is>
      </c>
      <c r="E40" s="2" t="inlineStr">
        <is>
          <t>Classic Chips</t>
        </is>
      </c>
      <c r="F40" s="2" t="inlineStr">
        <is>
          <t>Corrective</t>
        </is>
      </c>
      <c r="G40" s="2" t="inlineStr">
        <is>
          <t>Quality Hold</t>
        </is>
      </c>
      <c r="H40" s="2" t="n">
        <v>3.51</v>
      </c>
      <c r="I40" s="2" t="n">
        <v>3</v>
      </c>
      <c r="J40" s="2" t="n">
        <v>316.11</v>
      </c>
      <c r="K40" s="2" t="inlineStr">
        <is>
          <t>Follow-up Required</t>
        </is>
      </c>
    </row>
    <row r="41">
      <c r="A41" s="2" t="n">
        <v>38</v>
      </c>
      <c r="B41" s="4" t="n">
        <v>46045</v>
      </c>
      <c r="C41" s="2" t="inlineStr">
        <is>
          <t>Day</t>
        </is>
      </c>
      <c r="D41" s="2" t="inlineStr">
        <is>
          <t>Line 1</t>
        </is>
      </c>
      <c r="E41" s="2" t="inlineStr">
        <is>
          <t>Classic Chips</t>
        </is>
      </c>
      <c r="F41" s="2" t="inlineStr">
        <is>
          <t>Emergency</t>
        </is>
      </c>
      <c r="G41" s="2" t="inlineStr">
        <is>
          <t>Conveyor Jam</t>
        </is>
      </c>
      <c r="H41" s="2" t="n">
        <v>3.46</v>
      </c>
      <c r="I41" s="2" t="n">
        <v>3</v>
      </c>
      <c r="J41" s="2" t="n">
        <v>766.25</v>
      </c>
      <c r="K41" s="2" t="inlineStr">
        <is>
          <t>Completed</t>
        </is>
      </c>
    </row>
    <row r="42">
      <c r="A42" s="2" t="n">
        <v>39</v>
      </c>
      <c r="B42" s="4" t="n">
        <v>46045</v>
      </c>
      <c r="C42" s="2" t="inlineStr">
        <is>
          <t>Night</t>
        </is>
      </c>
      <c r="D42" s="2" t="inlineStr">
        <is>
          <t>Line 1</t>
        </is>
      </c>
      <c r="E42" s="2" t="inlineStr">
        <is>
          <t>Paprika Chips</t>
        </is>
      </c>
      <c r="F42" s="2" t="inlineStr">
        <is>
          <t>Corrective</t>
        </is>
      </c>
      <c r="G42" s="2" t="inlineStr">
        <is>
          <t>Electrical Fault</t>
        </is>
      </c>
      <c r="H42" s="2" t="n">
        <v>0.67</v>
      </c>
      <c r="I42" s="2" t="n">
        <v>13</v>
      </c>
      <c r="J42" s="2" t="n">
        <v>430.85</v>
      </c>
      <c r="K42" s="2" t="inlineStr">
        <is>
          <t>Completed</t>
        </is>
      </c>
    </row>
    <row r="43">
      <c r="A43" s="2" t="n">
        <v>40</v>
      </c>
      <c r="B43" s="4" t="n">
        <v>46046</v>
      </c>
      <c r="C43" s="2" t="inlineStr">
        <is>
          <t>Day</t>
        </is>
      </c>
      <c r="D43" s="2" t="inlineStr">
        <is>
          <t>Line 2</t>
        </is>
      </c>
      <c r="E43" s="2" t="inlineStr">
        <is>
          <t>Classic Chips</t>
        </is>
      </c>
      <c r="F43" s="2" t="inlineStr">
        <is>
          <t>Emergency</t>
        </is>
      </c>
      <c r="G43" s="2" t="inlineStr">
        <is>
          <t>Conveyor Jam</t>
        </is>
      </c>
      <c r="H43" s="2" t="n">
        <v>1.16</v>
      </c>
      <c r="I43" s="2" t="n">
        <v>11</v>
      </c>
      <c r="J43" s="2" t="n">
        <v>1533.81</v>
      </c>
      <c r="K43" s="2" t="inlineStr">
        <is>
          <t>Completed</t>
        </is>
      </c>
    </row>
    <row r="44">
      <c r="A44" s="2" t="n">
        <v>41</v>
      </c>
      <c r="B44" s="4" t="n">
        <v>46046</v>
      </c>
      <c r="C44" s="2" t="inlineStr">
        <is>
          <t>Night</t>
        </is>
      </c>
      <c r="D44" s="2" t="inlineStr">
        <is>
          <t>Line 2</t>
        </is>
      </c>
      <c r="E44" s="2" t="inlineStr">
        <is>
          <t>Classic Chips</t>
        </is>
      </c>
      <c r="F44" s="2" t="inlineStr">
        <is>
          <t>Preventive</t>
        </is>
      </c>
      <c r="G44" s="2" t="inlineStr">
        <is>
          <t>Planned Maintenance</t>
        </is>
      </c>
      <c r="H44" s="2" t="n">
        <v>2.98</v>
      </c>
      <c r="I44" s="2" t="n">
        <v>19</v>
      </c>
      <c r="J44" s="2" t="n">
        <v>258.44</v>
      </c>
      <c r="K44" s="2" t="inlineStr">
        <is>
          <t>Follow-up Required</t>
        </is>
      </c>
    </row>
    <row r="45">
      <c r="A45" s="2" t="n">
        <v>42</v>
      </c>
      <c r="B45" s="4" t="n">
        <v>46047</v>
      </c>
      <c r="C45" s="2" t="inlineStr">
        <is>
          <t>Day</t>
        </is>
      </c>
      <c r="D45" s="2" t="inlineStr">
        <is>
          <t>Line 2</t>
        </is>
      </c>
      <c r="E45" s="2" t="inlineStr">
        <is>
          <t>Salt &amp; Vinegar</t>
        </is>
      </c>
      <c r="F45" s="2" t="inlineStr">
        <is>
          <t>Corrective</t>
        </is>
      </c>
      <c r="G45" s="2" t="inlineStr">
        <is>
          <t>Conveyor Jam</t>
        </is>
      </c>
      <c r="H45" s="2" t="n">
        <v>2.91</v>
      </c>
      <c r="I45" s="2" t="n">
        <v>11</v>
      </c>
      <c r="J45" s="2" t="n">
        <v>752.4400000000001</v>
      </c>
      <c r="K45" s="2" t="inlineStr">
        <is>
          <t>Completed</t>
        </is>
      </c>
    </row>
    <row r="46">
      <c r="A46" s="2" t="n">
        <v>43</v>
      </c>
      <c r="B46" s="4" t="n">
        <v>46048</v>
      </c>
      <c r="C46" s="2" t="inlineStr">
        <is>
          <t>Day</t>
        </is>
      </c>
      <c r="D46" s="2" t="inlineStr">
        <is>
          <t>Line 1</t>
        </is>
      </c>
      <c r="E46" s="2" t="inlineStr">
        <is>
          <t>Classic Chips</t>
        </is>
      </c>
      <c r="F46" s="2" t="inlineStr">
        <is>
          <t>Corrective</t>
        </is>
      </c>
      <c r="G46" s="2" t="inlineStr">
        <is>
          <t>Fryer Temperature</t>
        </is>
      </c>
      <c r="H46" s="2" t="n">
        <v>1.57</v>
      </c>
      <c r="I46" s="2" t="n">
        <v>14</v>
      </c>
      <c r="J46" s="2" t="n">
        <v>589.1900000000001</v>
      </c>
      <c r="K46" s="2" t="inlineStr">
        <is>
          <t>Completed</t>
        </is>
      </c>
    </row>
    <row r="47">
      <c r="A47" s="2" t="n">
        <v>44</v>
      </c>
      <c r="B47" s="4" t="n">
        <v>46048</v>
      </c>
      <c r="C47" s="2" t="inlineStr">
        <is>
          <t>Evening</t>
        </is>
      </c>
      <c r="D47" s="2" t="inlineStr">
        <is>
          <t>Line 2</t>
        </is>
      </c>
      <c r="E47" s="2" t="inlineStr">
        <is>
          <t>Classic Chips</t>
        </is>
      </c>
      <c r="F47" s="2" t="inlineStr">
        <is>
          <t>Emergency</t>
        </is>
      </c>
      <c r="G47" s="2" t="inlineStr">
        <is>
          <t>Conveyor Jam</t>
        </is>
      </c>
      <c r="H47" s="2" t="n">
        <v>2.87</v>
      </c>
      <c r="I47" s="2" t="n">
        <v>11</v>
      </c>
      <c r="J47" s="2" t="n">
        <v>1322.46</v>
      </c>
      <c r="K47" s="2" t="inlineStr">
        <is>
          <t>Completed</t>
        </is>
      </c>
    </row>
    <row r="48">
      <c r="A48" s="2" t="n">
        <v>45</v>
      </c>
      <c r="B48" s="4" t="n">
        <v>46048</v>
      </c>
      <c r="C48" s="2" t="inlineStr">
        <is>
          <t>Night</t>
        </is>
      </c>
      <c r="D48" s="2" t="inlineStr">
        <is>
          <t>Line 1</t>
        </is>
      </c>
      <c r="E48" s="2" t="inlineStr">
        <is>
          <t>Paprika Chips</t>
        </is>
      </c>
      <c r="F48" s="2" t="inlineStr">
        <is>
          <t>Emergency</t>
        </is>
      </c>
      <c r="G48" s="2" t="inlineStr">
        <is>
          <t>Packaging Machine</t>
        </is>
      </c>
      <c r="H48" s="2" t="n">
        <v>1.48</v>
      </c>
      <c r="I48" s="2" t="n">
        <v>20</v>
      </c>
      <c r="J48" s="2" t="n">
        <v>1035.59</v>
      </c>
      <c r="K48" s="2" t="inlineStr">
        <is>
          <t>Completed</t>
        </is>
      </c>
    </row>
    <row r="49">
      <c r="A49" s="2" t="n">
        <v>46</v>
      </c>
      <c r="B49" s="4" t="n">
        <v>46049</v>
      </c>
      <c r="C49" s="2" t="inlineStr">
        <is>
          <t>Evening</t>
        </is>
      </c>
      <c r="D49" s="2" t="inlineStr">
        <is>
          <t>Line 2</t>
        </is>
      </c>
      <c r="E49" s="2" t="inlineStr">
        <is>
          <t>Classic Chips</t>
        </is>
      </c>
      <c r="F49" s="2" t="inlineStr">
        <is>
          <t>Corrective</t>
        </is>
      </c>
      <c r="G49" s="2" t="inlineStr">
        <is>
          <t>Quality Hold</t>
        </is>
      </c>
      <c r="H49" s="2" t="n">
        <v>2.05</v>
      </c>
      <c r="I49" s="2" t="n">
        <v>5</v>
      </c>
      <c r="J49" s="2" t="n">
        <v>503.72</v>
      </c>
      <c r="K49" s="2" t="inlineStr">
        <is>
          <t>Completed</t>
        </is>
      </c>
    </row>
    <row r="50">
      <c r="A50" s="2" t="n">
        <v>47</v>
      </c>
      <c r="B50" s="4" t="n">
        <v>46050</v>
      </c>
      <c r="C50" s="2" t="inlineStr">
        <is>
          <t>Evening</t>
        </is>
      </c>
      <c r="D50" s="2" t="inlineStr">
        <is>
          <t>Line 1</t>
        </is>
      </c>
      <c r="E50" s="2" t="inlineStr">
        <is>
          <t>Salt &amp; Vinegar</t>
        </is>
      </c>
      <c r="F50" s="2" t="inlineStr">
        <is>
          <t>Emergency</t>
        </is>
      </c>
      <c r="G50" s="2" t="inlineStr">
        <is>
          <t>Fryer Temperature</t>
        </is>
      </c>
      <c r="H50" s="2" t="n">
        <v>3.55</v>
      </c>
      <c r="I50" s="2" t="n">
        <v>9</v>
      </c>
      <c r="J50" s="2" t="n">
        <v>1532.6</v>
      </c>
      <c r="K50" s="2" t="inlineStr">
        <is>
          <t>Completed</t>
        </is>
      </c>
    </row>
    <row r="51">
      <c r="A51" s="2" t="n">
        <v>48</v>
      </c>
      <c r="B51" s="4" t="n">
        <v>46051</v>
      </c>
      <c r="C51" s="2" t="inlineStr">
        <is>
          <t>Day</t>
        </is>
      </c>
      <c r="D51" s="2" t="inlineStr">
        <is>
          <t>Line 2</t>
        </is>
      </c>
      <c r="E51" s="2" t="inlineStr">
        <is>
          <t>Salt &amp; Vinegar</t>
        </is>
      </c>
      <c r="F51" s="2" t="inlineStr">
        <is>
          <t>Corrective</t>
        </is>
      </c>
      <c r="G51" s="2" t="inlineStr">
        <is>
          <t>Packaging Machine</t>
        </is>
      </c>
      <c r="H51" s="2" t="n">
        <v>0.77</v>
      </c>
      <c r="I51" s="2" t="n">
        <v>15</v>
      </c>
      <c r="J51" s="2" t="n">
        <v>680.41</v>
      </c>
      <c r="K51" s="2" t="inlineStr">
        <is>
          <t>Completed</t>
        </is>
      </c>
    </row>
    <row r="52">
      <c r="A52" s="2" t="n">
        <v>49</v>
      </c>
      <c r="B52" s="4" t="n">
        <v>46052</v>
      </c>
      <c r="C52" s="2" t="inlineStr">
        <is>
          <t>Day</t>
        </is>
      </c>
      <c r="D52" s="2" t="inlineStr">
        <is>
          <t>Line 1</t>
        </is>
      </c>
      <c r="E52" s="2" t="inlineStr">
        <is>
          <t>Classic Chips</t>
        </is>
      </c>
      <c r="F52" s="2" t="inlineStr">
        <is>
          <t>Corrective</t>
        </is>
      </c>
      <c r="G52" s="2" t="inlineStr">
        <is>
          <t>Packaging Machine</t>
        </is>
      </c>
      <c r="H52" s="2" t="n">
        <v>2.81</v>
      </c>
      <c r="I52" s="2" t="n">
        <v>6</v>
      </c>
      <c r="J52" s="2" t="n">
        <v>489.22</v>
      </c>
      <c r="K52" s="2" t="inlineStr">
        <is>
          <t>Completed</t>
        </is>
      </c>
    </row>
    <row r="53">
      <c r="A53" s="2" t="n">
        <v>50</v>
      </c>
      <c r="B53" s="4" t="n">
        <v>46052</v>
      </c>
      <c r="C53" s="2" t="inlineStr">
        <is>
          <t>Evening</t>
        </is>
      </c>
      <c r="D53" s="2" t="inlineStr">
        <is>
          <t>Line 2</t>
        </is>
      </c>
      <c r="E53" s="2" t="inlineStr">
        <is>
          <t>Classic Chips</t>
        </is>
      </c>
      <c r="F53" s="2" t="inlineStr">
        <is>
          <t>Corrective</t>
        </is>
      </c>
      <c r="G53" s="2" t="inlineStr">
        <is>
          <t>Conveyor Jam</t>
        </is>
      </c>
      <c r="H53" s="2" t="n">
        <v>3.12</v>
      </c>
      <c r="I53" s="2" t="n">
        <v>12</v>
      </c>
      <c r="J53" s="2" t="n">
        <v>778.1</v>
      </c>
      <c r="K53" s="2" t="inlineStr">
        <is>
          <t>Completed</t>
        </is>
      </c>
    </row>
    <row r="54">
      <c r="A54" s="2" t="n">
        <v>51</v>
      </c>
      <c r="B54" s="4" t="n">
        <v>46052</v>
      </c>
      <c r="C54" s="2" t="inlineStr">
        <is>
          <t>Night</t>
        </is>
      </c>
      <c r="D54" s="2" t="inlineStr">
        <is>
          <t>Line 1</t>
        </is>
      </c>
      <c r="E54" s="2" t="inlineStr">
        <is>
          <t>Classic Chips</t>
        </is>
      </c>
      <c r="F54" s="2" t="inlineStr">
        <is>
          <t>Corrective</t>
        </is>
      </c>
      <c r="G54" s="2" t="inlineStr">
        <is>
          <t>Packaging Machine</t>
        </is>
      </c>
      <c r="H54" s="2" t="n">
        <v>0.87</v>
      </c>
      <c r="I54" s="2" t="n">
        <v>11</v>
      </c>
      <c r="J54" s="2" t="n">
        <v>503.42</v>
      </c>
      <c r="K54" s="2" t="inlineStr">
        <is>
          <t>Completed</t>
        </is>
      </c>
    </row>
    <row r="55">
      <c r="A55" s="2" t="n">
        <v>52</v>
      </c>
      <c r="B55" s="4" t="n">
        <v>46053</v>
      </c>
      <c r="C55" s="2" t="inlineStr">
        <is>
          <t>Evening</t>
        </is>
      </c>
      <c r="D55" s="2" t="inlineStr">
        <is>
          <t>Line 2</t>
        </is>
      </c>
      <c r="E55" s="2" t="inlineStr">
        <is>
          <t>Classic Chips</t>
        </is>
      </c>
      <c r="F55" s="2" t="inlineStr">
        <is>
          <t>Corrective</t>
        </is>
      </c>
      <c r="G55" s="2" t="inlineStr">
        <is>
          <t>Packaging Machine</t>
        </is>
      </c>
      <c r="H55" s="2" t="n">
        <v>1.56</v>
      </c>
      <c r="I55" s="2" t="n">
        <v>12</v>
      </c>
      <c r="J55" s="2" t="n">
        <v>780.3099999999999</v>
      </c>
      <c r="K55" s="2" t="inlineStr">
        <is>
          <t>Completed</t>
        </is>
      </c>
    </row>
    <row r="56">
      <c r="A56" s="2" t="n">
        <v>53</v>
      </c>
      <c r="B56" s="4" t="n">
        <v>46053</v>
      </c>
      <c r="C56" s="2" t="inlineStr">
        <is>
          <t>Night</t>
        </is>
      </c>
      <c r="D56" s="2" t="inlineStr">
        <is>
          <t>Line 1</t>
        </is>
      </c>
      <c r="E56" s="2" t="inlineStr">
        <is>
          <t>Classic Chips</t>
        </is>
      </c>
      <c r="F56" s="2" t="inlineStr">
        <is>
          <t>Corrective</t>
        </is>
      </c>
      <c r="G56" s="2" t="inlineStr">
        <is>
          <t>Fryer Temperature</t>
        </is>
      </c>
      <c r="H56" s="2" t="n">
        <v>1.64</v>
      </c>
      <c r="I56" s="2" t="n">
        <v>3</v>
      </c>
      <c r="J56" s="2" t="n">
        <v>749.65</v>
      </c>
      <c r="K56" s="2" t="inlineStr">
        <is>
          <t>Completed</t>
        </is>
      </c>
    </row>
    <row r="57">
      <c r="A57" s="2" t="n">
        <v>54</v>
      </c>
      <c r="B57" s="4" t="n">
        <v>46054</v>
      </c>
      <c r="C57" s="2" t="inlineStr">
        <is>
          <t>Evening</t>
        </is>
      </c>
      <c r="D57" s="2" t="inlineStr">
        <is>
          <t>Line 1</t>
        </is>
      </c>
      <c r="E57" s="2" t="inlineStr">
        <is>
          <t>Classic Chips</t>
        </is>
      </c>
      <c r="F57" s="2" t="inlineStr">
        <is>
          <t>Emergency</t>
        </is>
      </c>
      <c r="G57" s="2" t="inlineStr">
        <is>
          <t>Conveyor Jam</t>
        </is>
      </c>
      <c r="H57" s="2" t="n">
        <v>1.27</v>
      </c>
      <c r="I57" s="2" t="n">
        <v>8</v>
      </c>
      <c r="J57" s="2" t="n">
        <v>981.87</v>
      </c>
      <c r="K57" s="2" t="inlineStr">
        <is>
          <t>Completed</t>
        </is>
      </c>
    </row>
    <row r="58">
      <c r="A58" s="2" t="n">
        <v>55</v>
      </c>
      <c r="B58" s="4" t="n">
        <v>46054</v>
      </c>
      <c r="C58" s="2" t="inlineStr">
        <is>
          <t>Night</t>
        </is>
      </c>
      <c r="D58" s="2" t="inlineStr">
        <is>
          <t>Line 2</t>
        </is>
      </c>
      <c r="E58" s="2" t="inlineStr">
        <is>
          <t>Salt &amp; Vinegar</t>
        </is>
      </c>
      <c r="F58" s="2" t="inlineStr">
        <is>
          <t>Preventive</t>
        </is>
      </c>
      <c r="G58" s="2" t="inlineStr">
        <is>
          <t>Planned Maintenance</t>
        </is>
      </c>
      <c r="H58" s="2" t="n">
        <v>4.81</v>
      </c>
      <c r="I58" s="2" t="n">
        <v>5</v>
      </c>
      <c r="J58" s="2" t="n">
        <v>158.81</v>
      </c>
      <c r="K58" s="2" t="inlineStr">
        <is>
          <t>Completed</t>
        </is>
      </c>
    </row>
    <row r="59">
      <c r="A59" s="2" t="n">
        <v>56</v>
      </c>
      <c r="B59" s="4" t="n">
        <v>46055</v>
      </c>
      <c r="C59" s="2" t="inlineStr">
        <is>
          <t>Day</t>
        </is>
      </c>
      <c r="D59" s="2" t="inlineStr">
        <is>
          <t>Line 1</t>
        </is>
      </c>
      <c r="E59" s="2" t="inlineStr">
        <is>
          <t>Classic Chips</t>
        </is>
      </c>
      <c r="F59" s="2" t="inlineStr">
        <is>
          <t>Corrective</t>
        </is>
      </c>
      <c r="G59" s="2" t="inlineStr">
        <is>
          <t>Packaging Machine</t>
        </is>
      </c>
      <c r="H59" s="2" t="n">
        <v>3.32</v>
      </c>
      <c r="I59" s="2" t="n">
        <v>5</v>
      </c>
      <c r="J59" s="2" t="n">
        <v>328.91</v>
      </c>
      <c r="K59" s="2" t="inlineStr">
        <is>
          <t>Completed</t>
        </is>
      </c>
    </row>
    <row r="60">
      <c r="A60" s="2" t="n">
        <v>57</v>
      </c>
      <c r="B60" s="4" t="n">
        <v>46055</v>
      </c>
      <c r="C60" s="2" t="inlineStr">
        <is>
          <t>Evening</t>
        </is>
      </c>
      <c r="D60" s="2" t="inlineStr">
        <is>
          <t>Line 2</t>
        </is>
      </c>
      <c r="E60" s="2" t="inlineStr">
        <is>
          <t>Classic Chips</t>
        </is>
      </c>
      <c r="F60" s="2" t="inlineStr">
        <is>
          <t>Emergency</t>
        </is>
      </c>
      <c r="G60" s="2" t="inlineStr">
        <is>
          <t>Conveyor Jam</t>
        </is>
      </c>
      <c r="H60" s="2" t="n">
        <v>1.85</v>
      </c>
      <c r="I60" s="2" t="n">
        <v>18</v>
      </c>
      <c r="J60" s="2" t="n">
        <v>869.96</v>
      </c>
      <c r="K60" s="2" t="inlineStr">
        <is>
          <t>Completed</t>
        </is>
      </c>
    </row>
    <row r="61">
      <c r="A61" s="2" t="n">
        <v>58</v>
      </c>
      <c r="B61" s="4" t="n">
        <v>46055</v>
      </c>
      <c r="C61" s="2" t="inlineStr">
        <is>
          <t>Night</t>
        </is>
      </c>
      <c r="D61" s="2" t="inlineStr">
        <is>
          <t>Line 2</t>
        </is>
      </c>
      <c r="E61" s="2" t="inlineStr">
        <is>
          <t>Paprika Chips</t>
        </is>
      </c>
      <c r="F61" s="2" t="inlineStr">
        <is>
          <t>Corrective</t>
        </is>
      </c>
      <c r="G61" s="2" t="inlineStr">
        <is>
          <t>Raw Material Shortage</t>
        </is>
      </c>
      <c r="H61" s="2" t="n">
        <v>3.49</v>
      </c>
      <c r="I61" s="2" t="n">
        <v>15</v>
      </c>
      <c r="J61" s="2" t="n">
        <v>854.77</v>
      </c>
      <c r="K61" s="2" t="inlineStr">
        <is>
          <t>Completed</t>
        </is>
      </c>
    </row>
    <row r="62">
      <c r="A62" s="2" t="n">
        <v>59</v>
      </c>
      <c r="B62" s="4" t="n">
        <v>46056</v>
      </c>
      <c r="C62" s="2" t="inlineStr">
        <is>
          <t>Evening</t>
        </is>
      </c>
      <c r="D62" s="2" t="inlineStr">
        <is>
          <t>Line 1</t>
        </is>
      </c>
      <c r="E62" s="2" t="inlineStr">
        <is>
          <t>Classic Chips</t>
        </is>
      </c>
      <c r="F62" s="2" t="inlineStr">
        <is>
          <t>Preventive</t>
        </is>
      </c>
      <c r="G62" s="2" t="inlineStr">
        <is>
          <t>Planned Maintenance</t>
        </is>
      </c>
      <c r="H62" s="2" t="n">
        <v>3.18</v>
      </c>
      <c r="I62" s="2" t="n">
        <v>14</v>
      </c>
      <c r="J62" s="2" t="n">
        <v>190.32</v>
      </c>
      <c r="K62" s="2" t="inlineStr">
        <is>
          <t>Completed</t>
        </is>
      </c>
    </row>
    <row r="63">
      <c r="A63" s="2" t="n">
        <v>60</v>
      </c>
      <c r="B63" s="4" t="n">
        <v>46058</v>
      </c>
      <c r="C63" s="2" t="inlineStr">
        <is>
          <t>Evening</t>
        </is>
      </c>
      <c r="D63" s="2" t="inlineStr">
        <is>
          <t>Line 1</t>
        </is>
      </c>
      <c r="E63" s="2" t="inlineStr">
        <is>
          <t>Salt &amp; Vinegar</t>
        </is>
      </c>
      <c r="F63" s="2" t="inlineStr">
        <is>
          <t>Emergency</t>
        </is>
      </c>
      <c r="G63" s="2" t="inlineStr">
        <is>
          <t>Electrical Fault</t>
        </is>
      </c>
      <c r="H63" s="2" t="n">
        <v>1.36</v>
      </c>
      <c r="I63" s="2" t="n">
        <v>14</v>
      </c>
      <c r="J63" s="2" t="n">
        <v>1521.01</v>
      </c>
      <c r="K63" s="2" t="inlineStr">
        <is>
          <t>Completed</t>
        </is>
      </c>
    </row>
    <row r="64">
      <c r="A64" s="2" t="n">
        <v>61</v>
      </c>
      <c r="B64" s="4" t="n">
        <v>46059</v>
      </c>
      <c r="C64" s="2" t="inlineStr">
        <is>
          <t>Day</t>
        </is>
      </c>
      <c r="D64" s="2" t="inlineStr">
        <is>
          <t>Line 2</t>
        </is>
      </c>
      <c r="E64" s="2" t="inlineStr">
        <is>
          <t>Salt &amp; Vinegar</t>
        </is>
      </c>
      <c r="F64" s="2" t="inlineStr">
        <is>
          <t>Preventive</t>
        </is>
      </c>
      <c r="G64" s="2" t="inlineStr">
        <is>
          <t>Planned Maintenance</t>
        </is>
      </c>
      <c r="H64" s="2" t="n">
        <v>4.03</v>
      </c>
      <c r="I64" s="2" t="n">
        <v>18</v>
      </c>
      <c r="J64" s="2" t="n">
        <v>158.52</v>
      </c>
      <c r="K64" s="2" t="inlineStr">
        <is>
          <t>Completed</t>
        </is>
      </c>
    </row>
    <row r="65">
      <c r="A65" s="2" t="n">
        <v>62</v>
      </c>
      <c r="B65" s="4" t="n">
        <v>46059</v>
      </c>
      <c r="C65" s="2" t="inlineStr">
        <is>
          <t>Evening</t>
        </is>
      </c>
      <c r="D65" s="2" t="inlineStr">
        <is>
          <t>Line 2</t>
        </is>
      </c>
      <c r="E65" s="2" t="inlineStr">
        <is>
          <t>Classic Chips</t>
        </is>
      </c>
      <c r="F65" s="2" t="inlineStr">
        <is>
          <t>Corrective</t>
        </is>
      </c>
      <c r="G65" s="2" t="inlineStr">
        <is>
          <t>Fryer Temperature</t>
        </is>
      </c>
      <c r="H65" s="2" t="n">
        <v>1.52</v>
      </c>
      <c r="I65" s="2" t="n">
        <v>20</v>
      </c>
      <c r="J65" s="2" t="n">
        <v>895.41</v>
      </c>
      <c r="K65" s="2" t="inlineStr">
        <is>
          <t>Completed</t>
        </is>
      </c>
    </row>
    <row r="66">
      <c r="A66" s="2" t="n">
        <v>63</v>
      </c>
      <c r="B66" s="4" t="n">
        <v>46059</v>
      </c>
      <c r="C66" s="2" t="inlineStr">
        <is>
          <t>Night</t>
        </is>
      </c>
      <c r="D66" s="2" t="inlineStr">
        <is>
          <t>Line 2</t>
        </is>
      </c>
      <c r="E66" s="2" t="inlineStr">
        <is>
          <t>Classic Chips</t>
        </is>
      </c>
      <c r="F66" s="2" t="inlineStr">
        <is>
          <t>Emergency</t>
        </is>
      </c>
      <c r="G66" s="2" t="inlineStr">
        <is>
          <t>Packaging Machine</t>
        </is>
      </c>
      <c r="H66" s="2" t="n">
        <v>0.86</v>
      </c>
      <c r="I66" s="2" t="n">
        <v>5</v>
      </c>
      <c r="J66" s="2" t="n">
        <v>1558.38</v>
      </c>
      <c r="K66" s="2" t="inlineStr">
        <is>
          <t>Completed</t>
        </is>
      </c>
    </row>
    <row r="67">
      <c r="A67" s="2" t="n">
        <v>64</v>
      </c>
      <c r="B67" s="4" t="n">
        <v>46060</v>
      </c>
      <c r="C67" s="2" t="inlineStr">
        <is>
          <t>Day</t>
        </is>
      </c>
      <c r="D67" s="2" t="inlineStr">
        <is>
          <t>Line 1</t>
        </is>
      </c>
      <c r="E67" s="2" t="inlineStr">
        <is>
          <t>Classic Chips</t>
        </is>
      </c>
      <c r="F67" s="2" t="inlineStr">
        <is>
          <t>Corrective</t>
        </is>
      </c>
      <c r="G67" s="2" t="inlineStr">
        <is>
          <t>Electrical Fault</t>
        </is>
      </c>
      <c r="H67" s="2" t="n">
        <v>3.12</v>
      </c>
      <c r="I67" s="2" t="n">
        <v>9</v>
      </c>
      <c r="J67" s="2" t="n">
        <v>421.18</v>
      </c>
      <c r="K67" s="2" t="inlineStr">
        <is>
          <t>Completed</t>
        </is>
      </c>
    </row>
    <row r="68">
      <c r="A68" s="2" t="n">
        <v>65</v>
      </c>
      <c r="B68" s="4" t="n">
        <v>46060</v>
      </c>
      <c r="C68" s="2" t="inlineStr">
        <is>
          <t>Evening</t>
        </is>
      </c>
      <c r="D68" s="2" t="inlineStr">
        <is>
          <t>Line 1</t>
        </is>
      </c>
      <c r="E68" s="2" t="inlineStr">
        <is>
          <t>Paprika Chips</t>
        </is>
      </c>
      <c r="F68" s="2" t="inlineStr">
        <is>
          <t>Corrective</t>
        </is>
      </c>
      <c r="G68" s="2" t="inlineStr">
        <is>
          <t>Raw Material Shortage</t>
        </is>
      </c>
      <c r="H68" s="2" t="n">
        <v>0.67</v>
      </c>
      <c r="I68" s="2" t="n">
        <v>5</v>
      </c>
      <c r="J68" s="2" t="n">
        <v>489.36</v>
      </c>
      <c r="K68" s="2" t="inlineStr">
        <is>
          <t>Completed</t>
        </is>
      </c>
    </row>
    <row r="69">
      <c r="A69" s="2" t="n">
        <v>66</v>
      </c>
      <c r="B69" s="4" t="n">
        <v>46061</v>
      </c>
      <c r="C69" s="2" t="inlineStr">
        <is>
          <t>Evening</t>
        </is>
      </c>
      <c r="D69" s="2" t="inlineStr">
        <is>
          <t>Line 1</t>
        </is>
      </c>
      <c r="E69" s="2" t="inlineStr">
        <is>
          <t>Paprika Chips</t>
        </is>
      </c>
      <c r="F69" s="2" t="inlineStr">
        <is>
          <t>Corrective</t>
        </is>
      </c>
      <c r="G69" s="2" t="inlineStr">
        <is>
          <t>Raw Material Shortage</t>
        </is>
      </c>
      <c r="H69" s="2" t="n">
        <v>2.16</v>
      </c>
      <c r="I69" s="2" t="n">
        <v>15</v>
      </c>
      <c r="J69" s="2" t="n">
        <v>859.4400000000001</v>
      </c>
      <c r="K69" s="2" t="inlineStr">
        <is>
          <t>Completed</t>
        </is>
      </c>
    </row>
    <row r="70">
      <c r="A70" s="2" t="n">
        <v>67</v>
      </c>
      <c r="B70" s="4" t="n">
        <v>46061</v>
      </c>
      <c r="C70" s="2" t="inlineStr">
        <is>
          <t>Night</t>
        </is>
      </c>
      <c r="D70" s="2" t="inlineStr">
        <is>
          <t>Line 2</t>
        </is>
      </c>
      <c r="E70" s="2" t="inlineStr">
        <is>
          <t>Classic Chips</t>
        </is>
      </c>
      <c r="F70" s="2" t="inlineStr">
        <is>
          <t>Corrective</t>
        </is>
      </c>
      <c r="G70" s="2" t="inlineStr">
        <is>
          <t>Raw Material Shortage</t>
        </is>
      </c>
      <c r="H70" s="2" t="n">
        <v>0.83</v>
      </c>
      <c r="I70" s="2" t="n">
        <v>7</v>
      </c>
      <c r="J70" s="2" t="n">
        <v>527.03</v>
      </c>
      <c r="K70" s="2" t="inlineStr">
        <is>
          <t>Follow-up Required</t>
        </is>
      </c>
    </row>
    <row r="71">
      <c r="A71" s="2" t="n">
        <v>68</v>
      </c>
      <c r="B71" s="4" t="n">
        <v>46062</v>
      </c>
      <c r="C71" s="2" t="inlineStr">
        <is>
          <t>Day</t>
        </is>
      </c>
      <c r="D71" s="2" t="inlineStr">
        <is>
          <t>Line 1</t>
        </is>
      </c>
      <c r="E71" s="2" t="inlineStr">
        <is>
          <t>Classic Chips</t>
        </is>
      </c>
      <c r="F71" s="2" t="inlineStr">
        <is>
          <t>Preventive</t>
        </is>
      </c>
      <c r="G71" s="2" t="inlineStr">
        <is>
          <t>Planned Maintenance</t>
        </is>
      </c>
      <c r="H71" s="2" t="n">
        <v>4.64</v>
      </c>
      <c r="I71" s="2" t="n">
        <v>12</v>
      </c>
      <c r="J71" s="2" t="n">
        <v>228.99</v>
      </c>
      <c r="K71" s="2" t="inlineStr">
        <is>
          <t>Completed</t>
        </is>
      </c>
    </row>
    <row r="72">
      <c r="A72" s="2" t="n">
        <v>69</v>
      </c>
      <c r="B72" s="4" t="n">
        <v>46062</v>
      </c>
      <c r="C72" s="2" t="inlineStr">
        <is>
          <t>Evening</t>
        </is>
      </c>
      <c r="D72" s="2" t="inlineStr">
        <is>
          <t>Line 1</t>
        </is>
      </c>
      <c r="E72" s="2" t="inlineStr">
        <is>
          <t>Paprika Chips</t>
        </is>
      </c>
      <c r="F72" s="2" t="inlineStr">
        <is>
          <t>Corrective</t>
        </is>
      </c>
      <c r="G72" s="2" t="inlineStr">
        <is>
          <t>Packaging Machine</t>
        </is>
      </c>
      <c r="H72" s="2" t="n">
        <v>2.89</v>
      </c>
      <c r="I72" s="2" t="n">
        <v>13</v>
      </c>
      <c r="J72" s="2" t="n">
        <v>721.3200000000001</v>
      </c>
      <c r="K72" s="2" t="inlineStr">
        <is>
          <t>Completed</t>
        </is>
      </c>
    </row>
    <row r="73">
      <c r="A73" s="2" t="n">
        <v>70</v>
      </c>
      <c r="B73" s="4" t="n">
        <v>46062</v>
      </c>
      <c r="C73" s="2" t="inlineStr">
        <is>
          <t>Night</t>
        </is>
      </c>
      <c r="D73" s="2" t="inlineStr">
        <is>
          <t>Line 2</t>
        </is>
      </c>
      <c r="E73" s="2" t="inlineStr">
        <is>
          <t>Classic Chips</t>
        </is>
      </c>
      <c r="F73" s="2" t="inlineStr">
        <is>
          <t>Corrective</t>
        </is>
      </c>
      <c r="G73" s="2" t="inlineStr">
        <is>
          <t>Raw Material Shortage</t>
        </is>
      </c>
      <c r="H73" s="2" t="n">
        <v>1.52</v>
      </c>
      <c r="I73" s="2" t="n">
        <v>10</v>
      </c>
      <c r="J73" s="2" t="n">
        <v>303.23</v>
      </c>
      <c r="K73" s="2" t="inlineStr">
        <is>
          <t>Completed</t>
        </is>
      </c>
    </row>
    <row r="74">
      <c r="A74" s="2" t="n">
        <v>71</v>
      </c>
      <c r="B74" s="4" t="n">
        <v>46064</v>
      </c>
      <c r="C74" s="2" t="inlineStr">
        <is>
          <t>Evening</t>
        </is>
      </c>
      <c r="D74" s="2" t="inlineStr">
        <is>
          <t>Line 1</t>
        </is>
      </c>
      <c r="E74" s="2" t="inlineStr">
        <is>
          <t>Classic Chips</t>
        </is>
      </c>
      <c r="F74" s="2" t="inlineStr">
        <is>
          <t>Corrective</t>
        </is>
      </c>
      <c r="G74" s="2" t="inlineStr">
        <is>
          <t>Packaging Machine</t>
        </is>
      </c>
      <c r="H74" s="2" t="n">
        <v>2.77</v>
      </c>
      <c r="I74" s="2" t="n">
        <v>19</v>
      </c>
      <c r="J74" s="2" t="n">
        <v>383.09</v>
      </c>
      <c r="K74" s="2" t="inlineStr">
        <is>
          <t>Completed</t>
        </is>
      </c>
    </row>
    <row r="75">
      <c r="A75" s="2" t="n">
        <v>72</v>
      </c>
      <c r="B75" s="4" t="n">
        <v>46065</v>
      </c>
      <c r="C75" s="2" t="inlineStr">
        <is>
          <t>Day</t>
        </is>
      </c>
      <c r="D75" s="2" t="inlineStr">
        <is>
          <t>Line 1</t>
        </is>
      </c>
      <c r="E75" s="2" t="inlineStr">
        <is>
          <t>Paprika Chips</t>
        </is>
      </c>
      <c r="F75" s="2" t="inlineStr">
        <is>
          <t>Corrective</t>
        </is>
      </c>
      <c r="G75" s="2" t="inlineStr">
        <is>
          <t>Conveyor Jam</t>
        </is>
      </c>
      <c r="H75" s="2" t="n">
        <v>2.14</v>
      </c>
      <c r="I75" s="2" t="n">
        <v>9</v>
      </c>
      <c r="J75" s="2" t="n">
        <v>577.55</v>
      </c>
      <c r="K75" s="2" t="inlineStr">
        <is>
          <t>Completed</t>
        </is>
      </c>
    </row>
    <row r="76">
      <c r="A76" s="2" t="n">
        <v>73</v>
      </c>
      <c r="B76" s="4" t="n">
        <v>46065</v>
      </c>
      <c r="C76" s="2" t="inlineStr">
        <is>
          <t>Evening</t>
        </is>
      </c>
      <c r="D76" s="2" t="inlineStr">
        <is>
          <t>Line 2</t>
        </is>
      </c>
      <c r="E76" s="2" t="inlineStr">
        <is>
          <t>Paprika Chips</t>
        </is>
      </c>
      <c r="F76" s="2" t="inlineStr">
        <is>
          <t>Corrective</t>
        </is>
      </c>
      <c r="G76" s="2" t="inlineStr">
        <is>
          <t>Quality Hold</t>
        </is>
      </c>
      <c r="H76" s="2" t="n">
        <v>2.87</v>
      </c>
      <c r="I76" s="2" t="n">
        <v>14</v>
      </c>
      <c r="J76" s="2" t="n">
        <v>744.8200000000001</v>
      </c>
      <c r="K76" s="2" t="inlineStr">
        <is>
          <t>Completed</t>
        </is>
      </c>
    </row>
    <row r="77">
      <c r="A77" s="2" t="n">
        <v>74</v>
      </c>
      <c r="B77" s="4" t="n">
        <v>46065</v>
      </c>
      <c r="C77" s="2" t="inlineStr">
        <is>
          <t>Night</t>
        </is>
      </c>
      <c r="D77" s="2" t="inlineStr">
        <is>
          <t>Line 2</t>
        </is>
      </c>
      <c r="E77" s="2" t="inlineStr">
        <is>
          <t>Classic Chips</t>
        </is>
      </c>
      <c r="F77" s="2" t="inlineStr">
        <is>
          <t>Emergency</t>
        </is>
      </c>
      <c r="G77" s="2" t="inlineStr">
        <is>
          <t>Fryer Temperature</t>
        </is>
      </c>
      <c r="H77" s="2" t="n">
        <v>3.67</v>
      </c>
      <c r="I77" s="2" t="n">
        <v>19</v>
      </c>
      <c r="J77" s="2" t="n">
        <v>1431.37</v>
      </c>
      <c r="K77" s="2" t="inlineStr">
        <is>
          <t>Completed</t>
        </is>
      </c>
    </row>
    <row r="78">
      <c r="A78" s="2" t="n">
        <v>75</v>
      </c>
      <c r="B78" s="4" t="n">
        <v>46066</v>
      </c>
      <c r="C78" s="2" t="inlineStr">
        <is>
          <t>Day</t>
        </is>
      </c>
      <c r="D78" s="2" t="inlineStr">
        <is>
          <t>Line 1</t>
        </is>
      </c>
      <c r="E78" s="2" t="inlineStr">
        <is>
          <t>Paprika Chips</t>
        </is>
      </c>
      <c r="F78" s="2" t="inlineStr">
        <is>
          <t>Corrective</t>
        </is>
      </c>
      <c r="G78" s="2" t="inlineStr">
        <is>
          <t>Quality Hold</t>
        </is>
      </c>
      <c r="H78" s="2" t="n">
        <v>2.32</v>
      </c>
      <c r="I78" s="2" t="n">
        <v>16</v>
      </c>
      <c r="J78" s="2" t="n">
        <v>370.42</v>
      </c>
      <c r="K78" s="2" t="inlineStr">
        <is>
          <t>Completed</t>
        </is>
      </c>
    </row>
    <row r="79">
      <c r="A79" s="2" t="n">
        <v>76</v>
      </c>
      <c r="B79" s="4" t="n">
        <v>46066</v>
      </c>
      <c r="C79" s="2" t="inlineStr">
        <is>
          <t>Evening</t>
        </is>
      </c>
      <c r="D79" s="2" t="inlineStr">
        <is>
          <t>Line 1</t>
        </is>
      </c>
      <c r="E79" s="2" t="inlineStr">
        <is>
          <t>Classic Chips</t>
        </is>
      </c>
      <c r="F79" s="2" t="inlineStr">
        <is>
          <t>Preventive</t>
        </is>
      </c>
      <c r="G79" s="2" t="inlineStr">
        <is>
          <t>Planned Maintenance</t>
        </is>
      </c>
      <c r="H79" s="2" t="n">
        <v>4.32</v>
      </c>
      <c r="I79" s="2" t="n">
        <v>12</v>
      </c>
      <c r="J79" s="2" t="n">
        <v>151.24</v>
      </c>
      <c r="K79" s="2" t="inlineStr">
        <is>
          <t>Completed</t>
        </is>
      </c>
    </row>
    <row r="80">
      <c r="A80" s="2" t="n">
        <v>77</v>
      </c>
      <c r="B80" s="4" t="n">
        <v>46066</v>
      </c>
      <c r="C80" s="2" t="inlineStr">
        <is>
          <t>Night</t>
        </is>
      </c>
      <c r="D80" s="2" t="inlineStr">
        <is>
          <t>Line 2</t>
        </is>
      </c>
      <c r="E80" s="2" t="inlineStr">
        <is>
          <t>Classic Chips</t>
        </is>
      </c>
      <c r="F80" s="2" t="inlineStr">
        <is>
          <t>Preventive</t>
        </is>
      </c>
      <c r="G80" s="2" t="inlineStr">
        <is>
          <t>Planned Maintenance</t>
        </is>
      </c>
      <c r="H80" s="2" t="n">
        <v>3.73</v>
      </c>
      <c r="I80" s="2" t="n">
        <v>10</v>
      </c>
      <c r="J80" s="2" t="n">
        <v>123.39</v>
      </c>
      <c r="K80" s="2" t="inlineStr">
        <is>
          <t>Completed</t>
        </is>
      </c>
    </row>
    <row r="81">
      <c r="A81" s="2" t="n">
        <v>78</v>
      </c>
      <c r="B81" s="4" t="n">
        <v>46067</v>
      </c>
      <c r="C81" s="2" t="inlineStr">
        <is>
          <t>Evening</t>
        </is>
      </c>
      <c r="D81" s="2" t="inlineStr">
        <is>
          <t>Line 1</t>
        </is>
      </c>
      <c r="E81" s="2" t="inlineStr">
        <is>
          <t>Classic Chips</t>
        </is>
      </c>
      <c r="F81" s="2" t="inlineStr">
        <is>
          <t>Emergency</t>
        </is>
      </c>
      <c r="G81" s="2" t="inlineStr">
        <is>
          <t>Conveyor Jam</t>
        </is>
      </c>
      <c r="H81" s="2" t="n">
        <v>1.36</v>
      </c>
      <c r="I81" s="2" t="n">
        <v>7</v>
      </c>
      <c r="J81" s="2" t="n">
        <v>1049.48</v>
      </c>
      <c r="K81" s="2" t="inlineStr">
        <is>
          <t>Completed</t>
        </is>
      </c>
    </row>
    <row r="82">
      <c r="A82" s="2" t="n">
        <v>79</v>
      </c>
      <c r="B82" s="4" t="n">
        <v>46068</v>
      </c>
      <c r="C82" s="2" t="inlineStr">
        <is>
          <t>Day</t>
        </is>
      </c>
      <c r="D82" s="2" t="inlineStr">
        <is>
          <t>Line 2</t>
        </is>
      </c>
      <c r="E82" s="2" t="inlineStr">
        <is>
          <t>Classic Chips</t>
        </is>
      </c>
      <c r="F82" s="2" t="inlineStr">
        <is>
          <t>Corrective</t>
        </is>
      </c>
      <c r="G82" s="2" t="inlineStr">
        <is>
          <t>Conveyor Jam</t>
        </is>
      </c>
      <c r="H82" s="2" t="n">
        <v>2.84</v>
      </c>
      <c r="I82" s="2" t="n">
        <v>4</v>
      </c>
      <c r="J82" s="2" t="n">
        <v>347.9</v>
      </c>
      <c r="K82" s="2" t="inlineStr">
        <is>
          <t>Completed</t>
        </is>
      </c>
    </row>
    <row r="83">
      <c r="A83" s="2" t="n">
        <v>80</v>
      </c>
      <c r="B83" s="4" t="n">
        <v>46068</v>
      </c>
      <c r="C83" s="2" t="inlineStr">
        <is>
          <t>Night</t>
        </is>
      </c>
      <c r="D83" s="2" t="inlineStr">
        <is>
          <t>Line 2</t>
        </is>
      </c>
      <c r="E83" s="2" t="inlineStr">
        <is>
          <t>Classic Chips</t>
        </is>
      </c>
      <c r="F83" s="2" t="inlineStr">
        <is>
          <t>Corrective</t>
        </is>
      </c>
      <c r="G83" s="2" t="inlineStr">
        <is>
          <t>Conveyor Jam</t>
        </is>
      </c>
      <c r="H83" s="2" t="n">
        <v>3.37</v>
      </c>
      <c r="I83" s="2" t="n">
        <v>18</v>
      </c>
      <c r="J83" s="2" t="n">
        <v>798.77</v>
      </c>
      <c r="K83" s="2" t="inlineStr">
        <is>
          <t>Completed</t>
        </is>
      </c>
    </row>
    <row r="84">
      <c r="A84" s="2" t="n">
        <v>81</v>
      </c>
      <c r="B84" s="4" t="n">
        <v>46069</v>
      </c>
      <c r="C84" s="2" t="inlineStr">
        <is>
          <t>Day</t>
        </is>
      </c>
      <c r="D84" s="2" t="inlineStr">
        <is>
          <t>Line 2</t>
        </is>
      </c>
      <c r="E84" s="2" t="inlineStr">
        <is>
          <t>Classic Chips</t>
        </is>
      </c>
      <c r="F84" s="2" t="inlineStr">
        <is>
          <t>Corrective</t>
        </is>
      </c>
      <c r="G84" s="2" t="inlineStr">
        <is>
          <t>Raw Material Shortage</t>
        </is>
      </c>
      <c r="H84" s="2" t="n">
        <v>0.52</v>
      </c>
      <c r="I84" s="2" t="n">
        <v>13</v>
      </c>
      <c r="J84" s="2" t="n">
        <v>353.02</v>
      </c>
      <c r="K84" s="2" t="inlineStr">
        <is>
          <t>Completed</t>
        </is>
      </c>
    </row>
    <row r="85">
      <c r="A85" s="2" t="n">
        <v>82</v>
      </c>
      <c r="B85" s="4" t="n">
        <v>46069</v>
      </c>
      <c r="C85" s="2" t="inlineStr">
        <is>
          <t>Evening</t>
        </is>
      </c>
      <c r="D85" s="2" t="inlineStr">
        <is>
          <t>Line 2</t>
        </is>
      </c>
      <c r="E85" s="2" t="inlineStr">
        <is>
          <t>Paprika Chips</t>
        </is>
      </c>
      <c r="F85" s="2" t="inlineStr">
        <is>
          <t>Corrective</t>
        </is>
      </c>
      <c r="G85" s="2" t="inlineStr">
        <is>
          <t>Raw Material Shortage</t>
        </is>
      </c>
      <c r="H85" s="2" t="n">
        <v>3.18</v>
      </c>
      <c r="I85" s="2" t="n">
        <v>3</v>
      </c>
      <c r="J85" s="2" t="n">
        <v>420.17</v>
      </c>
      <c r="K85" s="2" t="inlineStr">
        <is>
          <t>Completed</t>
        </is>
      </c>
    </row>
    <row r="86">
      <c r="A86" s="2" t="n">
        <v>83</v>
      </c>
      <c r="B86" s="4" t="n">
        <v>46069</v>
      </c>
      <c r="C86" s="2" t="inlineStr">
        <is>
          <t>Night</t>
        </is>
      </c>
      <c r="D86" s="2" t="inlineStr">
        <is>
          <t>Line 1</t>
        </is>
      </c>
      <c r="E86" s="2" t="inlineStr">
        <is>
          <t>Salt &amp; Vinegar</t>
        </is>
      </c>
      <c r="F86" s="2" t="inlineStr">
        <is>
          <t>Corrective</t>
        </is>
      </c>
      <c r="G86" s="2" t="inlineStr">
        <is>
          <t>Electrical Fault</t>
        </is>
      </c>
      <c r="H86" s="2" t="n">
        <v>3.68</v>
      </c>
      <c r="I86" s="2" t="n">
        <v>7</v>
      </c>
      <c r="J86" s="2" t="n">
        <v>498.54</v>
      </c>
      <c r="K86" s="2" t="inlineStr">
        <is>
          <t>Completed</t>
        </is>
      </c>
    </row>
    <row r="87">
      <c r="A87" s="2" t="n">
        <v>84</v>
      </c>
      <c r="B87" s="4" t="n">
        <v>46072</v>
      </c>
      <c r="C87" s="2" t="inlineStr">
        <is>
          <t>Night</t>
        </is>
      </c>
      <c r="D87" s="2" t="inlineStr">
        <is>
          <t>Line 1</t>
        </is>
      </c>
      <c r="E87" s="2" t="inlineStr">
        <is>
          <t>Paprika Chips</t>
        </is>
      </c>
      <c r="F87" s="2" t="inlineStr">
        <is>
          <t>Preventive</t>
        </is>
      </c>
      <c r="G87" s="2" t="inlineStr">
        <is>
          <t>Planned Maintenance</t>
        </is>
      </c>
      <c r="H87" s="2" t="n">
        <v>4.41</v>
      </c>
      <c r="I87" s="2" t="n">
        <v>19</v>
      </c>
      <c r="J87" s="2" t="n">
        <v>179.21</v>
      </c>
      <c r="K87" s="2" t="inlineStr">
        <is>
          <t>Completed</t>
        </is>
      </c>
    </row>
    <row r="88">
      <c r="A88" s="2" t="n">
        <v>85</v>
      </c>
      <c r="B88" s="4" t="n">
        <v>46073</v>
      </c>
      <c r="C88" s="2" t="inlineStr">
        <is>
          <t>Evening</t>
        </is>
      </c>
      <c r="D88" s="2" t="inlineStr">
        <is>
          <t>Line 2</t>
        </is>
      </c>
      <c r="E88" s="2" t="inlineStr">
        <is>
          <t>Salt &amp; Vinegar</t>
        </is>
      </c>
      <c r="F88" s="2" t="inlineStr">
        <is>
          <t>Corrective</t>
        </is>
      </c>
      <c r="G88" s="2" t="inlineStr">
        <is>
          <t>Conveyor Jam</t>
        </is>
      </c>
      <c r="H88" s="2" t="n">
        <v>0.6899999999999999</v>
      </c>
      <c r="I88" s="2" t="n">
        <v>15</v>
      </c>
      <c r="J88" s="2" t="n">
        <v>365.66</v>
      </c>
      <c r="K88" s="2" t="inlineStr">
        <is>
          <t>Follow-up Required</t>
        </is>
      </c>
    </row>
    <row r="89">
      <c r="A89" s="2" t="n">
        <v>86</v>
      </c>
      <c r="B89" s="4" t="n">
        <v>46073</v>
      </c>
      <c r="C89" s="2" t="inlineStr">
        <is>
          <t>Night</t>
        </is>
      </c>
      <c r="D89" s="2" t="inlineStr">
        <is>
          <t>Line 1</t>
        </is>
      </c>
      <c r="E89" s="2" t="inlineStr">
        <is>
          <t>Paprika Chips</t>
        </is>
      </c>
      <c r="F89" s="2" t="inlineStr">
        <is>
          <t>Emergency</t>
        </is>
      </c>
      <c r="G89" s="2" t="inlineStr">
        <is>
          <t>Electrical Fault</t>
        </is>
      </c>
      <c r="H89" s="2" t="n">
        <v>3.16</v>
      </c>
      <c r="I89" s="2" t="n">
        <v>11</v>
      </c>
      <c r="J89" s="2" t="n">
        <v>1399.56</v>
      </c>
      <c r="K89" s="2" t="inlineStr">
        <is>
          <t>Completed</t>
        </is>
      </c>
    </row>
    <row r="90">
      <c r="A90" s="2" t="n">
        <v>87</v>
      </c>
      <c r="B90" s="4" t="n">
        <v>46074</v>
      </c>
      <c r="C90" s="2" t="inlineStr">
        <is>
          <t>Evening</t>
        </is>
      </c>
      <c r="D90" s="2" t="inlineStr">
        <is>
          <t>Line 1</t>
        </is>
      </c>
      <c r="E90" s="2" t="inlineStr">
        <is>
          <t>Classic Chips</t>
        </is>
      </c>
      <c r="F90" s="2" t="inlineStr">
        <is>
          <t>Corrective</t>
        </is>
      </c>
      <c r="G90" s="2" t="inlineStr">
        <is>
          <t>Packaging Machine</t>
        </is>
      </c>
      <c r="H90" s="2" t="n">
        <v>1.67</v>
      </c>
      <c r="I90" s="2" t="n">
        <v>14</v>
      </c>
      <c r="J90" s="2" t="n">
        <v>518.99</v>
      </c>
      <c r="K90" s="2" t="inlineStr">
        <is>
          <t>Completed</t>
        </is>
      </c>
    </row>
    <row r="91">
      <c r="A91" s="2" t="n">
        <v>88</v>
      </c>
      <c r="B91" s="4" t="n">
        <v>46075</v>
      </c>
      <c r="C91" s="2" t="inlineStr">
        <is>
          <t>Day</t>
        </is>
      </c>
      <c r="D91" s="2" t="inlineStr">
        <is>
          <t>Line 1</t>
        </is>
      </c>
      <c r="E91" s="2" t="inlineStr">
        <is>
          <t>Classic Chips</t>
        </is>
      </c>
      <c r="F91" s="2" t="inlineStr">
        <is>
          <t>Corrective</t>
        </is>
      </c>
      <c r="G91" s="2" t="inlineStr">
        <is>
          <t>Raw Material Shortage</t>
        </is>
      </c>
      <c r="H91" s="2" t="n">
        <v>1.94</v>
      </c>
      <c r="I91" s="2" t="n">
        <v>15</v>
      </c>
      <c r="J91" s="2" t="n">
        <v>870.75</v>
      </c>
      <c r="K91" s="2" t="inlineStr">
        <is>
          <t>Completed</t>
        </is>
      </c>
    </row>
    <row r="92">
      <c r="A92" s="2" t="n">
        <v>89</v>
      </c>
      <c r="B92" s="4" t="n">
        <v>46075</v>
      </c>
      <c r="C92" s="2" t="inlineStr">
        <is>
          <t>Evening</t>
        </is>
      </c>
      <c r="D92" s="2" t="inlineStr">
        <is>
          <t>Line 1</t>
        </is>
      </c>
      <c r="E92" s="2" t="inlineStr">
        <is>
          <t>Paprika Chips</t>
        </is>
      </c>
      <c r="F92" s="2" t="inlineStr">
        <is>
          <t>Corrective</t>
        </is>
      </c>
      <c r="G92" s="2" t="inlineStr">
        <is>
          <t>Fryer Temperature</t>
        </is>
      </c>
      <c r="H92" s="2" t="n">
        <v>0.87</v>
      </c>
      <c r="I92" s="2" t="n">
        <v>9</v>
      </c>
      <c r="J92" s="2" t="n">
        <v>661.89</v>
      </c>
      <c r="K92" s="2" t="inlineStr">
        <is>
          <t>Completed</t>
        </is>
      </c>
    </row>
    <row r="93">
      <c r="A93" s="2" t="n">
        <v>90</v>
      </c>
      <c r="B93" s="4" t="n">
        <v>46075</v>
      </c>
      <c r="C93" s="2" t="inlineStr">
        <is>
          <t>Night</t>
        </is>
      </c>
      <c r="D93" s="2" t="inlineStr">
        <is>
          <t>Line 1</t>
        </is>
      </c>
      <c r="E93" s="2" t="inlineStr">
        <is>
          <t>Paprika Chips</t>
        </is>
      </c>
      <c r="F93" s="2" t="inlineStr">
        <is>
          <t>Emergency</t>
        </is>
      </c>
      <c r="G93" s="2" t="inlineStr">
        <is>
          <t>Quality Hold</t>
        </is>
      </c>
      <c r="H93" s="2" t="n">
        <v>0.52</v>
      </c>
      <c r="I93" s="2" t="n">
        <v>5</v>
      </c>
      <c r="J93" s="2" t="n">
        <v>1219.21</v>
      </c>
      <c r="K93" s="2" t="inlineStr">
        <is>
          <t>Completed</t>
        </is>
      </c>
    </row>
    <row r="94">
      <c r="A94" s="2" t="n">
        <v>91</v>
      </c>
      <c r="B94" s="4" t="n">
        <v>46076</v>
      </c>
      <c r="C94" s="2" t="inlineStr">
        <is>
          <t>Evening</t>
        </is>
      </c>
      <c r="D94" s="2" t="inlineStr">
        <is>
          <t>Line 2</t>
        </is>
      </c>
      <c r="E94" s="2" t="inlineStr">
        <is>
          <t>Classic Chips</t>
        </is>
      </c>
      <c r="F94" s="2" t="inlineStr">
        <is>
          <t>Preventive</t>
        </is>
      </c>
      <c r="G94" s="2" t="inlineStr">
        <is>
          <t>Planned Maintenance</t>
        </is>
      </c>
      <c r="H94" s="2" t="n">
        <v>2.19</v>
      </c>
      <c r="I94" s="2" t="n">
        <v>16</v>
      </c>
      <c r="J94" s="2" t="n">
        <v>286.5</v>
      </c>
      <c r="K94" s="2" t="inlineStr">
        <is>
          <t>Completed</t>
        </is>
      </c>
    </row>
    <row r="95">
      <c r="A95" s="2" t="n">
        <v>92</v>
      </c>
      <c r="B95" s="4" t="n">
        <v>46077</v>
      </c>
      <c r="C95" s="2" t="inlineStr">
        <is>
          <t>Evening</t>
        </is>
      </c>
      <c r="D95" s="2" t="inlineStr">
        <is>
          <t>Line 1</t>
        </is>
      </c>
      <c r="E95" s="2" t="inlineStr">
        <is>
          <t>Paprika Chips</t>
        </is>
      </c>
      <c r="F95" s="2" t="inlineStr">
        <is>
          <t>Preventive</t>
        </is>
      </c>
      <c r="G95" s="2" t="inlineStr">
        <is>
          <t>Planned Maintenance</t>
        </is>
      </c>
      <c r="H95" s="2" t="n">
        <v>4.68</v>
      </c>
      <c r="I95" s="2" t="n">
        <v>20</v>
      </c>
      <c r="J95" s="2" t="n">
        <v>117.81</v>
      </c>
      <c r="K95" s="2" t="inlineStr">
        <is>
          <t>Completed</t>
        </is>
      </c>
    </row>
    <row r="96">
      <c r="A96" s="2" t="n">
        <v>93</v>
      </c>
      <c r="B96" s="4" t="n">
        <v>46078</v>
      </c>
      <c r="C96" s="2" t="inlineStr">
        <is>
          <t>Day</t>
        </is>
      </c>
      <c r="D96" s="2" t="inlineStr">
        <is>
          <t>Line 2</t>
        </is>
      </c>
      <c r="E96" s="2" t="inlineStr">
        <is>
          <t>Salt &amp; Vinegar</t>
        </is>
      </c>
      <c r="F96" s="2" t="inlineStr">
        <is>
          <t>Preventive</t>
        </is>
      </c>
      <c r="G96" s="2" t="inlineStr">
        <is>
          <t>Planned Maintenance</t>
        </is>
      </c>
      <c r="H96" s="2" t="n">
        <v>4.75</v>
      </c>
      <c r="I96" s="2" t="n">
        <v>11</v>
      </c>
      <c r="J96" s="2" t="n">
        <v>189.67</v>
      </c>
      <c r="K96" s="2" t="inlineStr">
        <is>
          <t>Completed</t>
        </is>
      </c>
    </row>
    <row r="97">
      <c r="A97" s="2" t="n">
        <v>94</v>
      </c>
      <c r="B97" s="4" t="n">
        <v>46078</v>
      </c>
      <c r="C97" s="2" t="inlineStr">
        <is>
          <t>Night</t>
        </is>
      </c>
      <c r="D97" s="2" t="inlineStr">
        <is>
          <t>Line 1</t>
        </is>
      </c>
      <c r="E97" s="2" t="inlineStr">
        <is>
          <t>Salt &amp; Vinegar</t>
        </is>
      </c>
      <c r="F97" s="2" t="inlineStr">
        <is>
          <t>Preventive</t>
        </is>
      </c>
      <c r="G97" s="2" t="inlineStr">
        <is>
          <t>Planned Maintenance</t>
        </is>
      </c>
      <c r="H97" s="2" t="n">
        <v>4.47</v>
      </c>
      <c r="I97" s="2" t="n">
        <v>20</v>
      </c>
      <c r="J97" s="2" t="n">
        <v>229.07</v>
      </c>
      <c r="K97" s="2" t="inlineStr">
        <is>
          <t>Completed</t>
        </is>
      </c>
    </row>
    <row r="98">
      <c r="A98" s="2" t="n">
        <v>95</v>
      </c>
      <c r="B98" s="4" t="n">
        <v>46079</v>
      </c>
      <c r="C98" s="2" t="inlineStr">
        <is>
          <t>Day</t>
        </is>
      </c>
      <c r="D98" s="2" t="inlineStr">
        <is>
          <t>Line 1</t>
        </is>
      </c>
      <c r="E98" s="2" t="inlineStr">
        <is>
          <t>Paprika Chips</t>
        </is>
      </c>
      <c r="F98" s="2" t="inlineStr">
        <is>
          <t>Emergency</t>
        </is>
      </c>
      <c r="G98" s="2" t="inlineStr">
        <is>
          <t>Raw Material Shortage</t>
        </is>
      </c>
      <c r="H98" s="2" t="n">
        <v>2.87</v>
      </c>
      <c r="I98" s="2" t="n">
        <v>13</v>
      </c>
      <c r="J98" s="2" t="n">
        <v>1219.27</v>
      </c>
      <c r="K98" s="2" t="inlineStr">
        <is>
          <t>Completed</t>
        </is>
      </c>
    </row>
    <row r="99">
      <c r="A99" s="2" t="n">
        <v>96</v>
      </c>
      <c r="B99" s="4" t="n">
        <v>46079</v>
      </c>
      <c r="C99" s="2" t="inlineStr">
        <is>
          <t>Night</t>
        </is>
      </c>
      <c r="D99" s="2" t="inlineStr">
        <is>
          <t>Line 1</t>
        </is>
      </c>
      <c r="E99" s="2" t="inlineStr">
        <is>
          <t>Classic Chips</t>
        </is>
      </c>
      <c r="F99" s="2" t="inlineStr">
        <is>
          <t>Corrective</t>
        </is>
      </c>
      <c r="G99" s="2" t="inlineStr">
        <is>
          <t>Conveyor Jam</t>
        </is>
      </c>
      <c r="H99" s="2" t="n">
        <v>3.73</v>
      </c>
      <c r="I99" s="2" t="n">
        <v>20</v>
      </c>
      <c r="J99" s="2" t="n">
        <v>544.12</v>
      </c>
      <c r="K99" s="2" t="inlineStr">
        <is>
          <t>Completed</t>
        </is>
      </c>
    </row>
    <row r="100">
      <c r="A100" s="2" t="n">
        <v>97</v>
      </c>
      <c r="B100" s="4" t="n">
        <v>46080</v>
      </c>
      <c r="C100" s="2" t="inlineStr">
        <is>
          <t>Day</t>
        </is>
      </c>
      <c r="D100" s="2" t="inlineStr">
        <is>
          <t>Line 1</t>
        </is>
      </c>
      <c r="E100" s="2" t="inlineStr">
        <is>
          <t>Paprika Chips</t>
        </is>
      </c>
      <c r="F100" s="2" t="inlineStr">
        <is>
          <t>Corrective</t>
        </is>
      </c>
      <c r="G100" s="2" t="inlineStr">
        <is>
          <t>Packaging Machine</t>
        </is>
      </c>
      <c r="H100" s="2" t="n">
        <v>2.35</v>
      </c>
      <c r="I100" s="2" t="n">
        <v>3</v>
      </c>
      <c r="J100" s="2" t="n">
        <v>786.99</v>
      </c>
      <c r="K100" s="2" t="inlineStr">
        <is>
          <t>Completed</t>
        </is>
      </c>
    </row>
    <row r="101">
      <c r="A101" s="2" t="n">
        <v>98</v>
      </c>
      <c r="B101" s="4" t="n">
        <v>46080</v>
      </c>
      <c r="C101" s="2" t="inlineStr">
        <is>
          <t>Evening</t>
        </is>
      </c>
      <c r="D101" s="2" t="inlineStr">
        <is>
          <t>Line 1</t>
        </is>
      </c>
      <c r="E101" s="2" t="inlineStr">
        <is>
          <t>Classic Chips</t>
        </is>
      </c>
      <c r="F101" s="2" t="inlineStr">
        <is>
          <t>Corrective</t>
        </is>
      </c>
      <c r="G101" s="2" t="inlineStr">
        <is>
          <t>Conveyor Jam</t>
        </is>
      </c>
      <c r="H101" s="2" t="n">
        <v>0.55</v>
      </c>
      <c r="I101" s="2" t="n">
        <v>6</v>
      </c>
      <c r="J101" s="2" t="n">
        <v>774.46</v>
      </c>
      <c r="K101" s="2" t="inlineStr">
        <is>
          <t>Completed</t>
        </is>
      </c>
    </row>
    <row r="102">
      <c r="A102" s="2" t="n">
        <v>99</v>
      </c>
      <c r="B102" s="4" t="n">
        <v>46080</v>
      </c>
      <c r="C102" s="2" t="inlineStr">
        <is>
          <t>Night</t>
        </is>
      </c>
      <c r="D102" s="2" t="inlineStr">
        <is>
          <t>Line 2</t>
        </is>
      </c>
      <c r="E102" s="2" t="inlineStr">
        <is>
          <t>Salt &amp; Vinegar</t>
        </is>
      </c>
      <c r="F102" s="2" t="inlineStr">
        <is>
          <t>Corrective</t>
        </is>
      </c>
      <c r="G102" s="2" t="inlineStr">
        <is>
          <t>Electrical Fault</t>
        </is>
      </c>
      <c r="H102" s="2" t="n">
        <v>2.41</v>
      </c>
      <c r="I102" s="2" t="n">
        <v>6</v>
      </c>
      <c r="J102" s="2" t="n">
        <v>512.5599999999999</v>
      </c>
      <c r="K102" s="2" t="inlineStr">
        <is>
          <t>Completed</t>
        </is>
      </c>
    </row>
    <row r="103">
      <c r="A103" s="2" t="n">
        <v>100</v>
      </c>
      <c r="B103" s="4" t="n">
        <v>46081</v>
      </c>
      <c r="C103" s="2" t="inlineStr">
        <is>
          <t>Day</t>
        </is>
      </c>
      <c r="D103" s="2" t="inlineStr">
        <is>
          <t>Line 1</t>
        </is>
      </c>
      <c r="E103" s="2" t="inlineStr">
        <is>
          <t>Classic Chips</t>
        </is>
      </c>
      <c r="F103" s="2" t="inlineStr">
        <is>
          <t>Preventive</t>
        </is>
      </c>
      <c r="G103" s="2" t="inlineStr">
        <is>
          <t>Planned Maintenance</t>
        </is>
      </c>
      <c r="H103" s="2" t="n">
        <v>3.25</v>
      </c>
      <c r="I103" s="2" t="n">
        <v>3</v>
      </c>
      <c r="J103" s="2" t="n">
        <v>146.05</v>
      </c>
      <c r="K103" s="2" t="inlineStr">
        <is>
          <t>Completed</t>
        </is>
      </c>
    </row>
    <row r="104">
      <c r="A104" s="2" t="n">
        <v>101</v>
      </c>
      <c r="B104" s="4" t="n">
        <v>46081</v>
      </c>
      <c r="C104" s="2" t="inlineStr">
        <is>
          <t>Evening</t>
        </is>
      </c>
      <c r="D104" s="2" t="inlineStr">
        <is>
          <t>Line 1</t>
        </is>
      </c>
      <c r="E104" s="2" t="inlineStr">
        <is>
          <t>Salt &amp; Vinegar</t>
        </is>
      </c>
      <c r="F104" s="2" t="inlineStr">
        <is>
          <t>Corrective</t>
        </is>
      </c>
      <c r="G104" s="2" t="inlineStr">
        <is>
          <t>Electrical Fault</t>
        </is>
      </c>
      <c r="H104" s="2" t="n">
        <v>3.21</v>
      </c>
      <c r="I104" s="2" t="n">
        <v>14</v>
      </c>
      <c r="J104" s="2" t="n">
        <v>656.01</v>
      </c>
      <c r="K104" s="2" t="inlineStr">
        <is>
          <t>Completed</t>
        </is>
      </c>
    </row>
    <row r="105">
      <c r="A105" s="2" t="n">
        <v>102</v>
      </c>
      <c r="B105" s="4" t="n">
        <v>46081</v>
      </c>
      <c r="C105" s="2" t="inlineStr">
        <is>
          <t>Night</t>
        </is>
      </c>
      <c r="D105" s="2" t="inlineStr">
        <is>
          <t>Line 1</t>
        </is>
      </c>
      <c r="E105" s="2" t="inlineStr">
        <is>
          <t>Salt &amp; Vinegar</t>
        </is>
      </c>
      <c r="F105" s="2" t="inlineStr">
        <is>
          <t>Corrective</t>
        </is>
      </c>
      <c r="G105" s="2" t="inlineStr">
        <is>
          <t>Raw Material Shortage</t>
        </is>
      </c>
      <c r="H105" s="2" t="n">
        <v>0.88</v>
      </c>
      <c r="I105" s="2" t="n">
        <v>3</v>
      </c>
      <c r="J105" s="2" t="n">
        <v>457.8</v>
      </c>
      <c r="K105" s="2" t="inlineStr">
        <is>
          <t>Completed</t>
        </is>
      </c>
    </row>
    <row r="106">
      <c r="A106" s="2" t="n">
        <v>103</v>
      </c>
      <c r="B106" s="4" t="n">
        <v>46082</v>
      </c>
      <c r="C106" s="2" t="inlineStr">
        <is>
          <t>Day</t>
        </is>
      </c>
      <c r="D106" s="2" t="inlineStr">
        <is>
          <t>Line 1</t>
        </is>
      </c>
      <c r="E106" s="2" t="inlineStr">
        <is>
          <t>Paprika Chips</t>
        </is>
      </c>
      <c r="F106" s="2" t="inlineStr">
        <is>
          <t>Corrective</t>
        </is>
      </c>
      <c r="G106" s="2" t="inlineStr">
        <is>
          <t>Quality Hold</t>
        </is>
      </c>
      <c r="H106" s="2" t="n">
        <v>0.64</v>
      </c>
      <c r="I106" s="2" t="n">
        <v>8</v>
      </c>
      <c r="J106" s="2" t="n">
        <v>473.73</v>
      </c>
      <c r="K106" s="2" t="inlineStr">
        <is>
          <t>Completed</t>
        </is>
      </c>
    </row>
    <row r="107">
      <c r="A107" s="2" t="n">
        <v>104</v>
      </c>
      <c r="B107" s="4" t="n">
        <v>46082</v>
      </c>
      <c r="C107" s="2" t="inlineStr">
        <is>
          <t>Evening</t>
        </is>
      </c>
      <c r="D107" s="2" t="inlineStr">
        <is>
          <t>Line 2</t>
        </is>
      </c>
      <c r="E107" s="2" t="inlineStr">
        <is>
          <t>Classic Chips</t>
        </is>
      </c>
      <c r="F107" s="2" t="inlineStr">
        <is>
          <t>Preventive</t>
        </is>
      </c>
      <c r="G107" s="2" t="inlineStr">
        <is>
          <t>Planned Maintenance</t>
        </is>
      </c>
      <c r="H107" s="2" t="n">
        <v>3.95</v>
      </c>
      <c r="I107" s="2" t="n">
        <v>11</v>
      </c>
      <c r="J107" s="2" t="n">
        <v>125.04</v>
      </c>
      <c r="K107" s="2" t="inlineStr">
        <is>
          <t>Completed</t>
        </is>
      </c>
    </row>
    <row r="108">
      <c r="A108" s="2" t="n">
        <v>105</v>
      </c>
      <c r="B108" s="4" t="n">
        <v>46082</v>
      </c>
      <c r="C108" s="2" t="inlineStr">
        <is>
          <t>Night</t>
        </is>
      </c>
      <c r="D108" s="2" t="inlineStr">
        <is>
          <t>Line 1</t>
        </is>
      </c>
      <c r="E108" s="2" t="inlineStr">
        <is>
          <t>Paprika Chips</t>
        </is>
      </c>
      <c r="F108" s="2" t="inlineStr">
        <is>
          <t>Corrective</t>
        </is>
      </c>
      <c r="G108" s="2" t="inlineStr">
        <is>
          <t>Packaging Machine</t>
        </is>
      </c>
      <c r="H108" s="2" t="n">
        <v>2.66</v>
      </c>
      <c r="I108" s="2" t="n">
        <v>3</v>
      </c>
      <c r="J108" s="2" t="n">
        <v>673.87</v>
      </c>
      <c r="K108" s="2" t="inlineStr">
        <is>
          <t>Completed</t>
        </is>
      </c>
    </row>
    <row r="109">
      <c r="A109" s="2" t="n">
        <v>106</v>
      </c>
      <c r="B109" s="4" t="n">
        <v>46083</v>
      </c>
      <c r="C109" s="2" t="inlineStr">
        <is>
          <t>Night</t>
        </is>
      </c>
      <c r="D109" s="2" t="inlineStr">
        <is>
          <t>Line 1</t>
        </is>
      </c>
      <c r="E109" s="2" t="inlineStr">
        <is>
          <t>Classic Chips</t>
        </is>
      </c>
      <c r="F109" s="2" t="inlineStr">
        <is>
          <t>Corrective</t>
        </is>
      </c>
      <c r="G109" s="2" t="inlineStr">
        <is>
          <t>Conveyor Jam</t>
        </is>
      </c>
      <c r="H109" s="2" t="n">
        <v>0.66</v>
      </c>
      <c r="I109" s="2" t="n">
        <v>7</v>
      </c>
      <c r="J109" s="2" t="n">
        <v>889.02</v>
      </c>
      <c r="K109" s="2" t="inlineStr">
        <is>
          <t>Completed</t>
        </is>
      </c>
    </row>
    <row r="110">
      <c r="A110" s="2" t="n">
        <v>107</v>
      </c>
      <c r="B110" s="4" t="n">
        <v>46084</v>
      </c>
      <c r="C110" s="2" t="inlineStr">
        <is>
          <t>Day</t>
        </is>
      </c>
      <c r="D110" s="2" t="inlineStr">
        <is>
          <t>Line 2</t>
        </is>
      </c>
      <c r="E110" s="2" t="inlineStr">
        <is>
          <t>Classic Chips</t>
        </is>
      </c>
      <c r="F110" s="2" t="inlineStr">
        <is>
          <t>Corrective</t>
        </is>
      </c>
      <c r="G110" s="2" t="inlineStr">
        <is>
          <t>Conveyor Jam</t>
        </is>
      </c>
      <c r="H110" s="2" t="n">
        <v>0.87</v>
      </c>
      <c r="I110" s="2" t="n">
        <v>4</v>
      </c>
      <c r="J110" s="2" t="n">
        <v>681.34</v>
      </c>
      <c r="K110" s="2" t="inlineStr">
        <is>
          <t>Completed</t>
        </is>
      </c>
    </row>
    <row r="111">
      <c r="A111" s="2" t="n">
        <v>108</v>
      </c>
      <c r="B111" s="4" t="n">
        <v>46084</v>
      </c>
      <c r="C111" s="2" t="inlineStr">
        <is>
          <t>Evening</t>
        </is>
      </c>
      <c r="D111" s="2" t="inlineStr">
        <is>
          <t>Line 2</t>
        </is>
      </c>
      <c r="E111" s="2" t="inlineStr">
        <is>
          <t>Salt &amp; Vinegar</t>
        </is>
      </c>
      <c r="F111" s="2" t="inlineStr">
        <is>
          <t>Corrective</t>
        </is>
      </c>
      <c r="G111" s="2" t="inlineStr">
        <is>
          <t>Conveyor Jam</t>
        </is>
      </c>
      <c r="H111" s="2" t="n">
        <v>1.9</v>
      </c>
      <c r="I111" s="2" t="n">
        <v>10</v>
      </c>
      <c r="J111" s="2" t="n">
        <v>370.03</v>
      </c>
      <c r="K111" s="2" t="inlineStr">
        <is>
          <t>Completed</t>
        </is>
      </c>
    </row>
    <row r="112">
      <c r="A112" s="2" t="n">
        <v>109</v>
      </c>
      <c r="B112" s="4" t="n">
        <v>46085</v>
      </c>
      <c r="C112" s="2" t="inlineStr">
        <is>
          <t>Day</t>
        </is>
      </c>
      <c r="D112" s="2" t="inlineStr">
        <is>
          <t>Line 2</t>
        </is>
      </c>
      <c r="E112" s="2" t="inlineStr">
        <is>
          <t>Paprika Chips</t>
        </is>
      </c>
      <c r="F112" s="2" t="inlineStr">
        <is>
          <t>Corrective</t>
        </is>
      </c>
      <c r="G112" s="2" t="inlineStr">
        <is>
          <t>Packaging Machine</t>
        </is>
      </c>
      <c r="H112" s="2" t="n">
        <v>2.86</v>
      </c>
      <c r="I112" s="2" t="n">
        <v>3</v>
      </c>
      <c r="J112" s="2" t="n">
        <v>397.68</v>
      </c>
      <c r="K112" s="2" t="inlineStr">
        <is>
          <t>Completed</t>
        </is>
      </c>
    </row>
    <row r="113">
      <c r="A113" s="2" t="n">
        <v>110</v>
      </c>
      <c r="B113" s="4" t="n">
        <v>46085</v>
      </c>
      <c r="C113" s="2" t="inlineStr">
        <is>
          <t>Evening</t>
        </is>
      </c>
      <c r="D113" s="2" t="inlineStr">
        <is>
          <t>Line 1</t>
        </is>
      </c>
      <c r="E113" s="2" t="inlineStr">
        <is>
          <t>Paprika Chips</t>
        </is>
      </c>
      <c r="F113" s="2" t="inlineStr">
        <is>
          <t>Preventive</t>
        </is>
      </c>
      <c r="G113" s="2" t="inlineStr">
        <is>
          <t>Planned Maintenance</t>
        </is>
      </c>
      <c r="H113" s="2" t="n">
        <v>4.73</v>
      </c>
      <c r="I113" s="2" t="n">
        <v>15</v>
      </c>
      <c r="J113" s="2" t="n">
        <v>160.24</v>
      </c>
      <c r="K113" s="2" t="inlineStr">
        <is>
          <t>Completed</t>
        </is>
      </c>
    </row>
    <row r="114">
      <c r="A114" s="2" t="n">
        <v>111</v>
      </c>
      <c r="B114" s="4" t="n">
        <v>46086</v>
      </c>
      <c r="C114" s="2" t="inlineStr">
        <is>
          <t>Day</t>
        </is>
      </c>
      <c r="D114" s="2" t="inlineStr">
        <is>
          <t>Line 1</t>
        </is>
      </c>
      <c r="E114" s="2" t="inlineStr">
        <is>
          <t>Classic Chips</t>
        </is>
      </c>
      <c r="F114" s="2" t="inlineStr">
        <is>
          <t>Corrective</t>
        </is>
      </c>
      <c r="G114" s="2" t="inlineStr">
        <is>
          <t>Quality Hold</t>
        </is>
      </c>
      <c r="H114" s="2" t="n">
        <v>1.99</v>
      </c>
      <c r="I114" s="2" t="n">
        <v>14</v>
      </c>
      <c r="J114" s="2" t="n">
        <v>429.45</v>
      </c>
      <c r="K114" s="2" t="inlineStr">
        <is>
          <t>Completed</t>
        </is>
      </c>
    </row>
    <row r="115">
      <c r="A115" s="2" t="n">
        <v>112</v>
      </c>
      <c r="B115" s="4" t="n">
        <v>46086</v>
      </c>
      <c r="C115" s="2" t="inlineStr">
        <is>
          <t>Evening</t>
        </is>
      </c>
      <c r="D115" s="2" t="inlineStr">
        <is>
          <t>Line 2</t>
        </is>
      </c>
      <c r="E115" s="2" t="inlineStr">
        <is>
          <t>Salt &amp; Vinegar</t>
        </is>
      </c>
      <c r="F115" s="2" t="inlineStr">
        <is>
          <t>Preventive</t>
        </is>
      </c>
      <c r="G115" s="2" t="inlineStr">
        <is>
          <t>Planned Maintenance</t>
        </is>
      </c>
      <c r="H115" s="2" t="n">
        <v>2.92</v>
      </c>
      <c r="I115" s="2" t="n">
        <v>16</v>
      </c>
      <c r="J115" s="2" t="n">
        <v>227</v>
      </c>
      <c r="K115" s="2" t="inlineStr">
        <is>
          <t>Completed</t>
        </is>
      </c>
    </row>
    <row r="116">
      <c r="A116" s="2" t="n">
        <v>113</v>
      </c>
      <c r="B116" s="4" t="n">
        <v>46086</v>
      </c>
      <c r="C116" s="2" t="inlineStr">
        <is>
          <t>Night</t>
        </is>
      </c>
      <c r="D116" s="2" t="inlineStr">
        <is>
          <t>Line 1</t>
        </is>
      </c>
      <c r="E116" s="2" t="inlineStr">
        <is>
          <t>Paprika Chips</t>
        </is>
      </c>
      <c r="F116" s="2" t="inlineStr">
        <is>
          <t>Corrective</t>
        </is>
      </c>
      <c r="G116" s="2" t="inlineStr">
        <is>
          <t>Electrical Fault</t>
        </is>
      </c>
      <c r="H116" s="2" t="n">
        <v>3.29</v>
      </c>
      <c r="I116" s="2" t="n">
        <v>19</v>
      </c>
      <c r="J116" s="2" t="n">
        <v>353.13</v>
      </c>
      <c r="K116" s="2" t="inlineStr">
        <is>
          <t>Completed</t>
        </is>
      </c>
    </row>
    <row r="117">
      <c r="A117" s="2" t="n">
        <v>114</v>
      </c>
      <c r="B117" s="4" t="n">
        <v>46087</v>
      </c>
      <c r="C117" s="2" t="inlineStr">
        <is>
          <t>Evening</t>
        </is>
      </c>
      <c r="D117" s="2" t="inlineStr">
        <is>
          <t>Line 2</t>
        </is>
      </c>
      <c r="E117" s="2" t="inlineStr">
        <is>
          <t>Salt &amp; Vinegar</t>
        </is>
      </c>
      <c r="F117" s="2" t="inlineStr">
        <is>
          <t>Emergency</t>
        </is>
      </c>
      <c r="G117" s="2" t="inlineStr">
        <is>
          <t>Raw Material Shortage</t>
        </is>
      </c>
      <c r="H117" s="2" t="n">
        <v>2.85</v>
      </c>
      <c r="I117" s="2" t="n">
        <v>8</v>
      </c>
      <c r="J117" s="2" t="n">
        <v>1026.47</v>
      </c>
      <c r="K117" s="2" t="inlineStr">
        <is>
          <t>Completed</t>
        </is>
      </c>
    </row>
    <row r="118">
      <c r="A118" s="2" t="n">
        <v>115</v>
      </c>
      <c r="B118" s="4" t="n">
        <v>46088</v>
      </c>
      <c r="C118" s="2" t="inlineStr">
        <is>
          <t>Evening</t>
        </is>
      </c>
      <c r="D118" s="2" t="inlineStr">
        <is>
          <t>Line 2</t>
        </is>
      </c>
      <c r="E118" s="2" t="inlineStr">
        <is>
          <t>Classic Chips</t>
        </is>
      </c>
      <c r="F118" s="2" t="inlineStr">
        <is>
          <t>Corrective</t>
        </is>
      </c>
      <c r="G118" s="2" t="inlineStr">
        <is>
          <t>Packaging Machine</t>
        </is>
      </c>
      <c r="H118" s="2" t="n">
        <v>1.48</v>
      </c>
      <c r="I118" s="2" t="n">
        <v>19</v>
      </c>
      <c r="J118" s="2" t="n">
        <v>735.87</v>
      </c>
      <c r="K118" s="2" t="inlineStr">
        <is>
          <t>Completed</t>
        </is>
      </c>
    </row>
    <row r="119">
      <c r="A119" s="2" t="n">
        <v>116</v>
      </c>
      <c r="B119" s="4" t="n">
        <v>46089</v>
      </c>
      <c r="C119" s="2" t="inlineStr">
        <is>
          <t>Night</t>
        </is>
      </c>
      <c r="D119" s="2" t="inlineStr">
        <is>
          <t>Line 1</t>
        </is>
      </c>
      <c r="E119" s="2" t="inlineStr">
        <is>
          <t>Classic Chips</t>
        </is>
      </c>
      <c r="F119" s="2" t="inlineStr">
        <is>
          <t>Emergency</t>
        </is>
      </c>
      <c r="G119" s="2" t="inlineStr">
        <is>
          <t>Packaging Machine</t>
        </is>
      </c>
      <c r="H119" s="2" t="n">
        <v>1.63</v>
      </c>
      <c r="I119" s="2" t="n">
        <v>15</v>
      </c>
      <c r="J119" s="2" t="n">
        <v>1432.21</v>
      </c>
      <c r="K119" s="2" t="inlineStr">
        <is>
          <t>Completed</t>
        </is>
      </c>
    </row>
    <row r="120">
      <c r="A120" s="2" t="n">
        <v>117</v>
      </c>
      <c r="B120" s="4" t="n">
        <v>46090</v>
      </c>
      <c r="C120" s="2" t="inlineStr">
        <is>
          <t>Evening</t>
        </is>
      </c>
      <c r="D120" s="2" t="inlineStr">
        <is>
          <t>Line 1</t>
        </is>
      </c>
      <c r="E120" s="2" t="inlineStr">
        <is>
          <t>Salt &amp; Vinegar</t>
        </is>
      </c>
      <c r="F120" s="2" t="inlineStr">
        <is>
          <t>Corrective</t>
        </is>
      </c>
      <c r="G120" s="2" t="inlineStr">
        <is>
          <t>Conveyor Jam</t>
        </is>
      </c>
      <c r="H120" s="2" t="n">
        <v>3.6</v>
      </c>
      <c r="I120" s="2" t="n">
        <v>15</v>
      </c>
      <c r="J120" s="2" t="n">
        <v>660.97</v>
      </c>
      <c r="K120" s="2" t="inlineStr">
        <is>
          <t>Completed</t>
        </is>
      </c>
    </row>
    <row r="121">
      <c r="A121" s="2" t="n">
        <v>118</v>
      </c>
      <c r="B121" s="4" t="n">
        <v>46091</v>
      </c>
      <c r="C121" s="2" t="inlineStr">
        <is>
          <t>Evening</t>
        </is>
      </c>
      <c r="D121" s="2" t="inlineStr">
        <is>
          <t>Line 2</t>
        </is>
      </c>
      <c r="E121" s="2" t="inlineStr">
        <is>
          <t>Paprika Chips</t>
        </is>
      </c>
      <c r="F121" s="2" t="inlineStr">
        <is>
          <t>Corrective</t>
        </is>
      </c>
      <c r="G121" s="2" t="inlineStr">
        <is>
          <t>Fryer Temperature</t>
        </is>
      </c>
      <c r="H121" s="2" t="n">
        <v>3.16</v>
      </c>
      <c r="I121" s="2" t="n">
        <v>7</v>
      </c>
      <c r="J121" s="2" t="n">
        <v>700.49</v>
      </c>
      <c r="K121" s="2" t="inlineStr">
        <is>
          <t>Completed</t>
        </is>
      </c>
    </row>
    <row r="122">
      <c r="A122" s="2" t="n">
        <v>119</v>
      </c>
      <c r="B122" s="4" t="n">
        <v>46091</v>
      </c>
      <c r="C122" s="2" t="inlineStr">
        <is>
          <t>Night</t>
        </is>
      </c>
      <c r="D122" s="2" t="inlineStr">
        <is>
          <t>Line 1</t>
        </is>
      </c>
      <c r="E122" s="2" t="inlineStr">
        <is>
          <t>Classic Chips</t>
        </is>
      </c>
      <c r="F122" s="2" t="inlineStr">
        <is>
          <t>Corrective</t>
        </is>
      </c>
      <c r="G122" s="2" t="inlineStr">
        <is>
          <t>Quality Hold</t>
        </is>
      </c>
      <c r="H122" s="2" t="n">
        <v>1.29</v>
      </c>
      <c r="I122" s="2" t="n">
        <v>13</v>
      </c>
      <c r="J122" s="2" t="n">
        <v>725.12</v>
      </c>
      <c r="K122" s="2" t="inlineStr">
        <is>
          <t>Follow-up Required</t>
        </is>
      </c>
    </row>
    <row r="123">
      <c r="A123" s="2" t="n">
        <v>120</v>
      </c>
      <c r="B123" s="4" t="n">
        <v>46092</v>
      </c>
      <c r="C123" s="2" t="inlineStr">
        <is>
          <t>Night</t>
        </is>
      </c>
      <c r="D123" s="2" t="inlineStr">
        <is>
          <t>Line 1</t>
        </is>
      </c>
      <c r="E123" s="2" t="inlineStr">
        <is>
          <t>Classic Chips</t>
        </is>
      </c>
      <c r="F123" s="2" t="inlineStr">
        <is>
          <t>Corrective</t>
        </is>
      </c>
      <c r="G123" s="2" t="inlineStr">
        <is>
          <t>Conveyor Jam</t>
        </is>
      </c>
      <c r="H123" s="2" t="n">
        <v>3.14</v>
      </c>
      <c r="I123" s="2" t="n">
        <v>8</v>
      </c>
      <c r="J123" s="2" t="n">
        <v>884.55</v>
      </c>
      <c r="K123" s="2" t="inlineStr">
        <is>
          <t>Completed</t>
        </is>
      </c>
    </row>
    <row r="124">
      <c r="A124" s="2" t="n">
        <v>121</v>
      </c>
      <c r="B124" s="4" t="n">
        <v>46093</v>
      </c>
      <c r="C124" s="2" t="inlineStr">
        <is>
          <t>Day</t>
        </is>
      </c>
      <c r="D124" s="2" t="inlineStr">
        <is>
          <t>Line 1</t>
        </is>
      </c>
      <c r="E124" s="2" t="inlineStr">
        <is>
          <t>Classic Chips</t>
        </is>
      </c>
      <c r="F124" s="2" t="inlineStr">
        <is>
          <t>Emergency</t>
        </is>
      </c>
      <c r="G124" s="2" t="inlineStr">
        <is>
          <t>Raw Material Shortage</t>
        </is>
      </c>
      <c r="H124" s="2" t="n">
        <v>3.52</v>
      </c>
      <c r="I124" s="2" t="n">
        <v>21</v>
      </c>
      <c r="J124" s="2" t="n">
        <v>913.0599999999999</v>
      </c>
      <c r="K124" s="2" t="inlineStr">
        <is>
          <t>Completed</t>
        </is>
      </c>
    </row>
    <row r="125">
      <c r="A125" s="2" t="n">
        <v>122</v>
      </c>
      <c r="B125" s="4" t="n">
        <v>46093</v>
      </c>
      <c r="C125" s="2" t="inlineStr">
        <is>
          <t>Evening</t>
        </is>
      </c>
      <c r="D125" s="2" t="inlineStr">
        <is>
          <t>Line 2</t>
        </is>
      </c>
      <c r="E125" s="2" t="inlineStr">
        <is>
          <t>Salt &amp; Vinegar</t>
        </is>
      </c>
      <c r="F125" s="2" t="inlineStr">
        <is>
          <t>Corrective</t>
        </is>
      </c>
      <c r="G125" s="2" t="inlineStr">
        <is>
          <t>Electrical Fault</t>
        </is>
      </c>
      <c r="H125" s="2" t="n">
        <v>2.34</v>
      </c>
      <c r="I125" s="2" t="n">
        <v>20</v>
      </c>
      <c r="J125" s="2" t="n">
        <v>733.03</v>
      </c>
      <c r="K125" s="2" t="inlineStr">
        <is>
          <t>Completed</t>
        </is>
      </c>
    </row>
    <row r="126">
      <c r="A126" s="2" t="n">
        <v>123</v>
      </c>
      <c r="B126" s="4" t="n">
        <v>46095</v>
      </c>
      <c r="C126" s="2" t="inlineStr">
        <is>
          <t>Day</t>
        </is>
      </c>
      <c r="D126" s="2" t="inlineStr">
        <is>
          <t>Line 2</t>
        </is>
      </c>
      <c r="E126" s="2" t="inlineStr">
        <is>
          <t>Classic Chips</t>
        </is>
      </c>
      <c r="F126" s="2" t="inlineStr">
        <is>
          <t>Corrective</t>
        </is>
      </c>
      <c r="G126" s="2" t="inlineStr">
        <is>
          <t>Raw Material Shortage</t>
        </is>
      </c>
      <c r="H126" s="2" t="n">
        <v>3.52</v>
      </c>
      <c r="I126" s="2" t="n">
        <v>20</v>
      </c>
      <c r="J126" s="2" t="n">
        <v>641.24</v>
      </c>
      <c r="K126" s="2" t="inlineStr">
        <is>
          <t>Completed</t>
        </is>
      </c>
    </row>
    <row r="127">
      <c r="A127" s="2" t="n">
        <v>124</v>
      </c>
      <c r="B127" s="4" t="n">
        <v>46095</v>
      </c>
      <c r="C127" s="2" t="inlineStr">
        <is>
          <t>Evening</t>
        </is>
      </c>
      <c r="D127" s="2" t="inlineStr">
        <is>
          <t>Line 2</t>
        </is>
      </c>
      <c r="E127" s="2" t="inlineStr">
        <is>
          <t>Salt &amp; Vinegar</t>
        </is>
      </c>
      <c r="F127" s="2" t="inlineStr">
        <is>
          <t>Corrective</t>
        </is>
      </c>
      <c r="G127" s="2" t="inlineStr">
        <is>
          <t>Quality Hold</t>
        </is>
      </c>
      <c r="H127" s="2" t="n">
        <v>0.53</v>
      </c>
      <c r="I127" s="2" t="n">
        <v>14</v>
      </c>
      <c r="J127" s="2" t="n">
        <v>393.21</v>
      </c>
      <c r="K127" s="2" t="inlineStr">
        <is>
          <t>Completed</t>
        </is>
      </c>
    </row>
    <row r="128">
      <c r="A128" s="2" t="n">
        <v>125</v>
      </c>
      <c r="B128" s="4" t="n">
        <v>46095</v>
      </c>
      <c r="C128" s="2" t="inlineStr">
        <is>
          <t>Night</t>
        </is>
      </c>
      <c r="D128" s="2" t="inlineStr">
        <is>
          <t>Line 1</t>
        </is>
      </c>
      <c r="E128" s="2" t="inlineStr">
        <is>
          <t>Classic Chips</t>
        </is>
      </c>
      <c r="F128" s="2" t="inlineStr">
        <is>
          <t>Corrective</t>
        </is>
      </c>
      <c r="G128" s="2" t="inlineStr">
        <is>
          <t>Packaging Machine</t>
        </is>
      </c>
      <c r="H128" s="2" t="n">
        <v>3</v>
      </c>
      <c r="I128" s="2" t="n">
        <v>16</v>
      </c>
      <c r="J128" s="2" t="n">
        <v>724.29</v>
      </c>
      <c r="K128" s="2" t="inlineStr">
        <is>
          <t>Completed</t>
        </is>
      </c>
    </row>
    <row r="129">
      <c r="A129" s="2" t="n">
        <v>126</v>
      </c>
      <c r="B129" s="4" t="n">
        <v>46096</v>
      </c>
      <c r="C129" s="2" t="inlineStr">
        <is>
          <t>Evening</t>
        </is>
      </c>
      <c r="D129" s="2" t="inlineStr">
        <is>
          <t>Line 2</t>
        </is>
      </c>
      <c r="E129" s="2" t="inlineStr">
        <is>
          <t>Salt &amp; Vinegar</t>
        </is>
      </c>
      <c r="F129" s="2" t="inlineStr">
        <is>
          <t>Corrective</t>
        </is>
      </c>
      <c r="G129" s="2" t="inlineStr">
        <is>
          <t>Raw Material Shortage</t>
        </is>
      </c>
      <c r="H129" s="2" t="n">
        <v>3.39</v>
      </c>
      <c r="I129" s="2" t="n">
        <v>11</v>
      </c>
      <c r="J129" s="2" t="n">
        <v>394.09</v>
      </c>
      <c r="K129" s="2" t="inlineStr">
        <is>
          <t>Completed</t>
        </is>
      </c>
    </row>
    <row r="130">
      <c r="A130" s="2" t="n">
        <v>127</v>
      </c>
      <c r="B130" s="4" t="n">
        <v>46096</v>
      </c>
      <c r="C130" s="2" t="inlineStr">
        <is>
          <t>Night</t>
        </is>
      </c>
      <c r="D130" s="2" t="inlineStr">
        <is>
          <t>Line 1</t>
        </is>
      </c>
      <c r="E130" s="2" t="inlineStr">
        <is>
          <t>Paprika Chips</t>
        </is>
      </c>
      <c r="F130" s="2" t="inlineStr">
        <is>
          <t>Corrective</t>
        </is>
      </c>
      <c r="G130" s="2" t="inlineStr">
        <is>
          <t>Conveyor Jam</t>
        </is>
      </c>
      <c r="H130" s="2" t="n">
        <v>1.92</v>
      </c>
      <c r="I130" s="2" t="n">
        <v>16</v>
      </c>
      <c r="J130" s="2" t="n">
        <v>736.1</v>
      </c>
      <c r="K130" s="2" t="inlineStr">
        <is>
          <t>Completed</t>
        </is>
      </c>
    </row>
    <row r="131">
      <c r="A131" s="2" t="n">
        <v>128</v>
      </c>
      <c r="B131" s="4" t="n">
        <v>46097</v>
      </c>
      <c r="C131" s="2" t="inlineStr">
        <is>
          <t>Night</t>
        </is>
      </c>
      <c r="D131" s="2" t="inlineStr">
        <is>
          <t>Line 1</t>
        </is>
      </c>
      <c r="E131" s="2" t="inlineStr">
        <is>
          <t>Classic Chips</t>
        </is>
      </c>
      <c r="F131" s="2" t="inlineStr">
        <is>
          <t>Preventive</t>
        </is>
      </c>
      <c r="G131" s="2" t="inlineStr">
        <is>
          <t>Planned Maintenance</t>
        </is>
      </c>
      <c r="H131" s="2" t="n">
        <v>2.69</v>
      </c>
      <c r="I131" s="2" t="n">
        <v>19</v>
      </c>
      <c r="J131" s="2" t="n">
        <v>229.05</v>
      </c>
      <c r="K131" s="2" t="inlineStr">
        <is>
          <t>Completed</t>
        </is>
      </c>
    </row>
    <row r="132">
      <c r="A132" s="2" t="n">
        <v>129</v>
      </c>
      <c r="B132" s="4" t="n">
        <v>46098</v>
      </c>
      <c r="C132" s="2" t="inlineStr">
        <is>
          <t>Day</t>
        </is>
      </c>
      <c r="D132" s="2" t="inlineStr">
        <is>
          <t>Line 2</t>
        </is>
      </c>
      <c r="E132" s="2" t="inlineStr">
        <is>
          <t>Classic Chips</t>
        </is>
      </c>
      <c r="F132" s="2" t="inlineStr">
        <is>
          <t>Corrective</t>
        </is>
      </c>
      <c r="G132" s="2" t="inlineStr">
        <is>
          <t>Quality Hold</t>
        </is>
      </c>
      <c r="H132" s="2" t="n">
        <v>1.48</v>
      </c>
      <c r="I132" s="2" t="n">
        <v>21</v>
      </c>
      <c r="J132" s="2" t="n">
        <v>367.9</v>
      </c>
      <c r="K132" s="2" t="inlineStr">
        <is>
          <t>Completed</t>
        </is>
      </c>
    </row>
    <row r="133">
      <c r="A133" s="2" t="n">
        <v>130</v>
      </c>
      <c r="B133" s="4" t="n">
        <v>46099</v>
      </c>
      <c r="C133" s="2" t="inlineStr">
        <is>
          <t>Evening</t>
        </is>
      </c>
      <c r="D133" s="2" t="inlineStr">
        <is>
          <t>Line 2</t>
        </is>
      </c>
      <c r="E133" s="2" t="inlineStr">
        <is>
          <t>Paprika Chips</t>
        </is>
      </c>
      <c r="F133" s="2" t="inlineStr">
        <is>
          <t>Corrective</t>
        </is>
      </c>
      <c r="G133" s="2" t="inlineStr">
        <is>
          <t>Electrical Fault</t>
        </is>
      </c>
      <c r="H133" s="2" t="n">
        <v>1.41</v>
      </c>
      <c r="I133" s="2" t="n">
        <v>14</v>
      </c>
      <c r="J133" s="2" t="n">
        <v>385.97</v>
      </c>
      <c r="K133" s="2" t="inlineStr">
        <is>
          <t>Completed</t>
        </is>
      </c>
    </row>
    <row r="134">
      <c r="A134" s="2" t="n">
        <v>131</v>
      </c>
      <c r="B134" s="4" t="n">
        <v>46100</v>
      </c>
      <c r="C134" s="2" t="inlineStr">
        <is>
          <t>Evening</t>
        </is>
      </c>
      <c r="D134" s="2" t="inlineStr">
        <is>
          <t>Line 2</t>
        </is>
      </c>
      <c r="E134" s="2" t="inlineStr">
        <is>
          <t>Salt &amp; Vinegar</t>
        </is>
      </c>
      <c r="F134" s="2" t="inlineStr">
        <is>
          <t>Corrective</t>
        </is>
      </c>
      <c r="G134" s="2" t="inlineStr">
        <is>
          <t>Conveyor Jam</t>
        </is>
      </c>
      <c r="H134" s="2" t="n">
        <v>1.7</v>
      </c>
      <c r="I134" s="2" t="n">
        <v>20</v>
      </c>
      <c r="J134" s="2" t="n">
        <v>355.45</v>
      </c>
      <c r="K134" s="2" t="inlineStr">
        <is>
          <t>Follow-up Required</t>
        </is>
      </c>
    </row>
    <row r="135">
      <c r="A135" s="2" t="n">
        <v>132</v>
      </c>
      <c r="B135" s="4" t="n">
        <v>46100</v>
      </c>
      <c r="C135" s="2" t="inlineStr">
        <is>
          <t>Night</t>
        </is>
      </c>
      <c r="D135" s="2" t="inlineStr">
        <is>
          <t>Line 1</t>
        </is>
      </c>
      <c r="E135" s="2" t="inlineStr">
        <is>
          <t>Salt &amp; Vinegar</t>
        </is>
      </c>
      <c r="F135" s="2" t="inlineStr">
        <is>
          <t>Corrective</t>
        </is>
      </c>
      <c r="G135" s="2" t="inlineStr">
        <is>
          <t>Packaging Machine</t>
        </is>
      </c>
      <c r="H135" s="2" t="n">
        <v>1.66</v>
      </c>
      <c r="I135" s="2" t="n">
        <v>5</v>
      </c>
      <c r="J135" s="2" t="n">
        <v>760.33</v>
      </c>
      <c r="K135" s="2" t="inlineStr">
        <is>
          <t>Completed</t>
        </is>
      </c>
    </row>
    <row r="136">
      <c r="A136" s="2" t="n">
        <v>133</v>
      </c>
      <c r="B136" s="4" t="n">
        <v>46101</v>
      </c>
      <c r="C136" s="2" t="inlineStr">
        <is>
          <t>Day</t>
        </is>
      </c>
      <c r="D136" s="2" t="inlineStr">
        <is>
          <t>Line 1</t>
        </is>
      </c>
      <c r="E136" s="2" t="inlineStr">
        <is>
          <t>Paprika Chips</t>
        </is>
      </c>
      <c r="F136" s="2" t="inlineStr">
        <is>
          <t>Preventive</t>
        </is>
      </c>
      <c r="G136" s="2" t="inlineStr">
        <is>
          <t>Planned Maintenance</t>
        </is>
      </c>
      <c r="H136" s="2" t="n">
        <v>2.82</v>
      </c>
      <c r="I136" s="2" t="n">
        <v>7</v>
      </c>
      <c r="J136" s="2" t="n">
        <v>104.42</v>
      </c>
      <c r="K136" s="2" t="inlineStr">
        <is>
          <t>Completed</t>
        </is>
      </c>
    </row>
    <row r="137">
      <c r="A137" s="2" t="n">
        <v>134</v>
      </c>
      <c r="B137" s="4" t="n">
        <v>46101</v>
      </c>
      <c r="C137" s="2" t="inlineStr">
        <is>
          <t>Evening</t>
        </is>
      </c>
      <c r="D137" s="2" t="inlineStr">
        <is>
          <t>Line 1</t>
        </is>
      </c>
      <c r="E137" s="2" t="inlineStr">
        <is>
          <t>Classic Chips</t>
        </is>
      </c>
      <c r="F137" s="2" t="inlineStr">
        <is>
          <t>Emergency</t>
        </is>
      </c>
      <c r="G137" s="2" t="inlineStr">
        <is>
          <t>Electrical Fault</t>
        </is>
      </c>
      <c r="H137" s="2" t="n">
        <v>2.72</v>
      </c>
      <c r="I137" s="2" t="n">
        <v>10</v>
      </c>
      <c r="J137" s="2" t="n">
        <v>1124.08</v>
      </c>
      <c r="K137" s="2" t="inlineStr">
        <is>
          <t>Completed</t>
        </is>
      </c>
    </row>
    <row r="138">
      <c r="A138" s="2" t="n">
        <v>135</v>
      </c>
      <c r="B138" s="4" t="n">
        <v>46102</v>
      </c>
      <c r="C138" s="2" t="inlineStr">
        <is>
          <t>Evening</t>
        </is>
      </c>
      <c r="D138" s="2" t="inlineStr">
        <is>
          <t>Line 2</t>
        </is>
      </c>
      <c r="E138" s="2" t="inlineStr">
        <is>
          <t>Salt &amp; Vinegar</t>
        </is>
      </c>
      <c r="F138" s="2" t="inlineStr">
        <is>
          <t>Emergency</t>
        </is>
      </c>
      <c r="G138" s="2" t="inlineStr">
        <is>
          <t>Conveyor Jam</t>
        </is>
      </c>
      <c r="H138" s="2" t="n">
        <v>3.58</v>
      </c>
      <c r="I138" s="2" t="n">
        <v>10</v>
      </c>
      <c r="J138" s="2" t="n">
        <v>948.3200000000001</v>
      </c>
      <c r="K138" s="2" t="inlineStr">
        <is>
          <t>Completed</t>
        </is>
      </c>
    </row>
    <row r="139">
      <c r="A139" s="2" t="n">
        <v>136</v>
      </c>
      <c r="B139" s="4" t="n">
        <v>46102</v>
      </c>
      <c r="C139" s="2" t="inlineStr">
        <is>
          <t>Night</t>
        </is>
      </c>
      <c r="D139" s="2" t="inlineStr">
        <is>
          <t>Line 2</t>
        </is>
      </c>
      <c r="E139" s="2" t="inlineStr">
        <is>
          <t>Classic Chips</t>
        </is>
      </c>
      <c r="F139" s="2" t="inlineStr">
        <is>
          <t>Emergency</t>
        </is>
      </c>
      <c r="G139" s="2" t="inlineStr">
        <is>
          <t>Fryer Temperature</t>
        </is>
      </c>
      <c r="H139" s="2" t="n">
        <v>2.98</v>
      </c>
      <c r="I139" s="2" t="n">
        <v>21</v>
      </c>
      <c r="J139" s="2" t="n">
        <v>1070.28</v>
      </c>
      <c r="K139" s="2" t="inlineStr">
        <is>
          <t>Completed</t>
        </is>
      </c>
    </row>
    <row r="140">
      <c r="A140" s="2" t="n">
        <v>137</v>
      </c>
      <c r="B140" s="4" t="n">
        <v>46103</v>
      </c>
      <c r="C140" s="2" t="inlineStr">
        <is>
          <t>Day</t>
        </is>
      </c>
      <c r="D140" s="2" t="inlineStr">
        <is>
          <t>Line 2</t>
        </is>
      </c>
      <c r="E140" s="2" t="inlineStr">
        <is>
          <t>Paprika Chips</t>
        </is>
      </c>
      <c r="F140" s="2" t="inlineStr">
        <is>
          <t>Corrective</t>
        </is>
      </c>
      <c r="G140" s="2" t="inlineStr">
        <is>
          <t>Packaging Machine</t>
        </is>
      </c>
      <c r="H140" s="2" t="n">
        <v>2.28</v>
      </c>
      <c r="I140" s="2" t="n">
        <v>7</v>
      </c>
      <c r="J140" s="2" t="n">
        <v>633.29</v>
      </c>
      <c r="K140" s="2" t="inlineStr">
        <is>
          <t>Completed</t>
        </is>
      </c>
    </row>
    <row r="141">
      <c r="A141" s="2" t="n">
        <v>138</v>
      </c>
      <c r="B141" s="4" t="n">
        <v>46103</v>
      </c>
      <c r="C141" s="2" t="inlineStr">
        <is>
          <t>Evening</t>
        </is>
      </c>
      <c r="D141" s="2" t="inlineStr">
        <is>
          <t>Line 2</t>
        </is>
      </c>
      <c r="E141" s="2" t="inlineStr">
        <is>
          <t>Salt &amp; Vinegar</t>
        </is>
      </c>
      <c r="F141" s="2" t="inlineStr">
        <is>
          <t>Corrective</t>
        </is>
      </c>
      <c r="G141" s="2" t="inlineStr">
        <is>
          <t>Quality Hold</t>
        </is>
      </c>
      <c r="H141" s="2" t="n">
        <v>1.45</v>
      </c>
      <c r="I141" s="2" t="n">
        <v>4</v>
      </c>
      <c r="J141" s="2" t="n">
        <v>520.76</v>
      </c>
      <c r="K141" s="2" t="inlineStr">
        <is>
          <t>Completed</t>
        </is>
      </c>
    </row>
    <row r="142">
      <c r="A142" s="2" t="n">
        <v>139</v>
      </c>
      <c r="B142" s="4" t="n">
        <v>46103</v>
      </c>
      <c r="C142" s="2" t="inlineStr">
        <is>
          <t>Night</t>
        </is>
      </c>
      <c r="D142" s="2" t="inlineStr">
        <is>
          <t>Line 2</t>
        </is>
      </c>
      <c r="E142" s="2" t="inlineStr">
        <is>
          <t>Classic Chips</t>
        </is>
      </c>
      <c r="F142" s="2" t="inlineStr">
        <is>
          <t>Corrective</t>
        </is>
      </c>
      <c r="G142" s="2" t="inlineStr">
        <is>
          <t>Conveyor Jam</t>
        </is>
      </c>
      <c r="H142" s="2" t="n">
        <v>3.19</v>
      </c>
      <c r="I142" s="2" t="n">
        <v>8</v>
      </c>
      <c r="J142" s="2" t="n">
        <v>565.67</v>
      </c>
      <c r="K142" s="2" t="inlineStr">
        <is>
          <t>Completed</t>
        </is>
      </c>
    </row>
    <row r="143">
      <c r="A143" s="2" t="n">
        <v>140</v>
      </c>
      <c r="B143" s="4" t="n">
        <v>46104</v>
      </c>
      <c r="C143" s="2" t="inlineStr">
        <is>
          <t>Day</t>
        </is>
      </c>
      <c r="D143" s="2" t="inlineStr">
        <is>
          <t>Line 2</t>
        </is>
      </c>
      <c r="E143" s="2" t="inlineStr">
        <is>
          <t>Salt &amp; Vinegar</t>
        </is>
      </c>
      <c r="F143" s="2" t="inlineStr">
        <is>
          <t>Emergency</t>
        </is>
      </c>
      <c r="G143" s="2" t="inlineStr">
        <is>
          <t>Conveyor Jam</t>
        </is>
      </c>
      <c r="H143" s="2" t="n">
        <v>0.91</v>
      </c>
      <c r="I143" s="2" t="n">
        <v>16</v>
      </c>
      <c r="J143" s="2" t="n">
        <v>871.17</v>
      </c>
      <c r="K143" s="2" t="inlineStr">
        <is>
          <t>Completed</t>
        </is>
      </c>
    </row>
    <row r="144">
      <c r="A144" s="2" t="n">
        <v>141</v>
      </c>
      <c r="B144" s="4" t="n">
        <v>46104</v>
      </c>
      <c r="C144" s="2" t="inlineStr">
        <is>
          <t>Night</t>
        </is>
      </c>
      <c r="D144" s="2" t="inlineStr">
        <is>
          <t>Line 1</t>
        </is>
      </c>
      <c r="E144" s="2" t="inlineStr">
        <is>
          <t>Salt &amp; Vinegar</t>
        </is>
      </c>
      <c r="F144" s="2" t="inlineStr">
        <is>
          <t>Corrective</t>
        </is>
      </c>
      <c r="G144" s="2" t="inlineStr">
        <is>
          <t>Raw Material Shortage</t>
        </is>
      </c>
      <c r="H144" s="2" t="n">
        <v>1.55</v>
      </c>
      <c r="I144" s="2" t="n">
        <v>4</v>
      </c>
      <c r="J144" s="2" t="n">
        <v>420.74</v>
      </c>
      <c r="K144" s="2" t="inlineStr">
        <is>
          <t>Completed</t>
        </is>
      </c>
    </row>
    <row r="145">
      <c r="A145" s="2" t="n">
        <v>142</v>
      </c>
      <c r="B145" s="4" t="n">
        <v>46105</v>
      </c>
      <c r="C145" s="2" t="inlineStr">
        <is>
          <t>Night</t>
        </is>
      </c>
      <c r="D145" s="2" t="inlineStr">
        <is>
          <t>Line 1</t>
        </is>
      </c>
      <c r="E145" s="2" t="inlineStr">
        <is>
          <t>Paprika Chips</t>
        </is>
      </c>
      <c r="F145" s="2" t="inlineStr">
        <is>
          <t>Preventive</t>
        </is>
      </c>
      <c r="G145" s="2" t="inlineStr">
        <is>
          <t>Planned Maintenance</t>
        </is>
      </c>
      <c r="H145" s="2" t="n">
        <v>3.36</v>
      </c>
      <c r="I145" s="2" t="n">
        <v>8</v>
      </c>
      <c r="J145" s="2" t="n">
        <v>234.55</v>
      </c>
      <c r="K145" s="2" t="inlineStr">
        <is>
          <t>Completed</t>
        </is>
      </c>
    </row>
    <row r="146">
      <c r="A146" s="2" t="n">
        <v>143</v>
      </c>
      <c r="B146" s="4" t="n">
        <v>46106</v>
      </c>
      <c r="C146" s="2" t="inlineStr">
        <is>
          <t>Evening</t>
        </is>
      </c>
      <c r="D146" s="2" t="inlineStr">
        <is>
          <t>Line 2</t>
        </is>
      </c>
      <c r="E146" s="2" t="inlineStr">
        <is>
          <t>Salt &amp; Vinegar</t>
        </is>
      </c>
      <c r="F146" s="2" t="inlineStr">
        <is>
          <t>Emergency</t>
        </is>
      </c>
      <c r="G146" s="2" t="inlineStr">
        <is>
          <t>Fryer Temperature</t>
        </is>
      </c>
      <c r="H146" s="2" t="n">
        <v>3.33</v>
      </c>
      <c r="I146" s="2" t="n">
        <v>15</v>
      </c>
      <c r="J146" s="2" t="n">
        <v>960.9</v>
      </c>
      <c r="K146" s="2" t="inlineStr">
        <is>
          <t>Completed</t>
        </is>
      </c>
    </row>
    <row r="147">
      <c r="A147" s="2" t="n">
        <v>144</v>
      </c>
      <c r="B147" s="4" t="n">
        <v>46107</v>
      </c>
      <c r="C147" s="2" t="inlineStr">
        <is>
          <t>Night</t>
        </is>
      </c>
      <c r="D147" s="2" t="inlineStr">
        <is>
          <t>Line 2</t>
        </is>
      </c>
      <c r="E147" s="2" t="inlineStr">
        <is>
          <t>Classic Chips</t>
        </is>
      </c>
      <c r="F147" s="2" t="inlineStr">
        <is>
          <t>Corrective</t>
        </is>
      </c>
      <c r="G147" s="2" t="inlineStr">
        <is>
          <t>Conveyor Jam</t>
        </is>
      </c>
      <c r="H147" s="2" t="n">
        <v>3.22</v>
      </c>
      <c r="I147" s="2" t="n">
        <v>4</v>
      </c>
      <c r="J147" s="2" t="n">
        <v>497.46</v>
      </c>
      <c r="K147" s="2" t="inlineStr">
        <is>
          <t>Completed</t>
        </is>
      </c>
    </row>
    <row r="148">
      <c r="A148" s="2" t="n">
        <v>145</v>
      </c>
      <c r="B148" s="4" t="n">
        <v>46108</v>
      </c>
      <c r="C148" s="2" t="inlineStr">
        <is>
          <t>Day</t>
        </is>
      </c>
      <c r="D148" s="2" t="inlineStr">
        <is>
          <t>Line 2</t>
        </is>
      </c>
      <c r="E148" s="2" t="inlineStr">
        <is>
          <t>Classic Chips</t>
        </is>
      </c>
      <c r="F148" s="2" t="inlineStr">
        <is>
          <t>Corrective</t>
        </is>
      </c>
      <c r="G148" s="2" t="inlineStr">
        <is>
          <t>Conveyor Jam</t>
        </is>
      </c>
      <c r="H148" s="2" t="n">
        <v>1.99</v>
      </c>
      <c r="I148" s="2" t="n">
        <v>19</v>
      </c>
      <c r="J148" s="2" t="n">
        <v>863.14</v>
      </c>
      <c r="K148" s="2" t="inlineStr">
        <is>
          <t>Completed</t>
        </is>
      </c>
    </row>
    <row r="149">
      <c r="A149" s="2" t="n">
        <v>146</v>
      </c>
      <c r="B149" s="4" t="n">
        <v>46108</v>
      </c>
      <c r="C149" s="2" t="inlineStr">
        <is>
          <t>Evening</t>
        </is>
      </c>
      <c r="D149" s="2" t="inlineStr">
        <is>
          <t>Line 2</t>
        </is>
      </c>
      <c r="E149" s="2" t="inlineStr">
        <is>
          <t>Salt &amp; Vinegar</t>
        </is>
      </c>
      <c r="F149" s="2" t="inlineStr">
        <is>
          <t>Preventive</t>
        </is>
      </c>
      <c r="G149" s="2" t="inlineStr">
        <is>
          <t>Planned Maintenance</t>
        </is>
      </c>
      <c r="H149" s="2" t="n">
        <v>4.14</v>
      </c>
      <c r="I149" s="2" t="n">
        <v>9</v>
      </c>
      <c r="J149" s="2" t="n">
        <v>159.37</v>
      </c>
      <c r="K149" s="2" t="inlineStr">
        <is>
          <t>Completed</t>
        </is>
      </c>
    </row>
    <row r="150">
      <c r="A150" s="2" t="n">
        <v>147</v>
      </c>
      <c r="B150" s="4" t="n">
        <v>46108</v>
      </c>
      <c r="C150" s="2" t="inlineStr">
        <is>
          <t>Night</t>
        </is>
      </c>
      <c r="D150" s="2" t="inlineStr">
        <is>
          <t>Line 1</t>
        </is>
      </c>
      <c r="E150" s="2" t="inlineStr">
        <is>
          <t>Paprika Chips</t>
        </is>
      </c>
      <c r="F150" s="2" t="inlineStr">
        <is>
          <t>Corrective</t>
        </is>
      </c>
      <c r="G150" s="2" t="inlineStr">
        <is>
          <t>Quality Hold</t>
        </is>
      </c>
      <c r="H150" s="2" t="n">
        <v>0.82</v>
      </c>
      <c r="I150" s="2" t="n">
        <v>3</v>
      </c>
      <c r="J150" s="2" t="n">
        <v>625.5700000000001</v>
      </c>
      <c r="K150" s="2" t="inlineStr">
        <is>
          <t>Completed</t>
        </is>
      </c>
    </row>
    <row r="151">
      <c r="A151" s="2" t="n">
        <v>148</v>
      </c>
      <c r="B151" s="4" t="n">
        <v>46109</v>
      </c>
      <c r="C151" s="2" t="inlineStr">
        <is>
          <t>Day</t>
        </is>
      </c>
      <c r="D151" s="2" t="inlineStr">
        <is>
          <t>Line 2</t>
        </is>
      </c>
      <c r="E151" s="2" t="inlineStr">
        <is>
          <t>Paprika Chips</t>
        </is>
      </c>
      <c r="F151" s="2" t="inlineStr">
        <is>
          <t>Corrective</t>
        </is>
      </c>
      <c r="G151" s="2" t="inlineStr">
        <is>
          <t>Conveyor Jam</t>
        </is>
      </c>
      <c r="H151" s="2" t="n">
        <v>3.09</v>
      </c>
      <c r="I151" s="2" t="n">
        <v>21</v>
      </c>
      <c r="J151" s="2" t="n">
        <v>693.8099999999999</v>
      </c>
      <c r="K151" s="2" t="inlineStr">
        <is>
          <t>Completed</t>
        </is>
      </c>
    </row>
    <row r="152">
      <c r="A152" s="2" t="n">
        <v>149</v>
      </c>
      <c r="B152" s="4" t="n">
        <v>46109</v>
      </c>
      <c r="C152" s="2" t="inlineStr">
        <is>
          <t>Evening</t>
        </is>
      </c>
      <c r="D152" s="2" t="inlineStr">
        <is>
          <t>Line 2</t>
        </is>
      </c>
      <c r="E152" s="2" t="inlineStr">
        <is>
          <t>Classic Chips</t>
        </is>
      </c>
      <c r="F152" s="2" t="inlineStr">
        <is>
          <t>Corrective</t>
        </is>
      </c>
      <c r="G152" s="2" t="inlineStr">
        <is>
          <t>Electrical Fault</t>
        </is>
      </c>
      <c r="H152" s="2" t="n">
        <v>3.33</v>
      </c>
      <c r="I152" s="2" t="n">
        <v>6</v>
      </c>
      <c r="J152" s="2" t="n">
        <v>886.76</v>
      </c>
      <c r="K152" s="2" t="inlineStr">
        <is>
          <t>Completed</t>
        </is>
      </c>
    </row>
    <row r="153">
      <c r="A153" s="2" t="n">
        <v>150</v>
      </c>
      <c r="B153" s="4" t="n">
        <v>46110</v>
      </c>
      <c r="C153" s="2" t="inlineStr">
        <is>
          <t>Day</t>
        </is>
      </c>
      <c r="D153" s="2" t="inlineStr">
        <is>
          <t>Line 2</t>
        </is>
      </c>
      <c r="E153" s="2" t="inlineStr">
        <is>
          <t>Classic Chips</t>
        </is>
      </c>
      <c r="F153" s="2" t="inlineStr">
        <is>
          <t>Corrective</t>
        </is>
      </c>
      <c r="G153" s="2" t="inlineStr">
        <is>
          <t>Packaging Machine</t>
        </is>
      </c>
      <c r="H153" s="2" t="n">
        <v>0.58</v>
      </c>
      <c r="I153" s="2" t="n">
        <v>4</v>
      </c>
      <c r="J153" s="2" t="n">
        <v>716.62</v>
      </c>
      <c r="K153" s="2" t="inlineStr">
        <is>
          <t>Follow-up Required</t>
        </is>
      </c>
    </row>
    <row r="154">
      <c r="A154" s="2" t="n">
        <v>151</v>
      </c>
      <c r="B154" s="4" t="n">
        <v>46110</v>
      </c>
      <c r="C154" s="2" t="inlineStr">
        <is>
          <t>Night</t>
        </is>
      </c>
      <c r="D154" s="2" t="inlineStr">
        <is>
          <t>Line 1</t>
        </is>
      </c>
      <c r="E154" s="2" t="inlineStr">
        <is>
          <t>Paprika Chips</t>
        </is>
      </c>
      <c r="F154" s="2" t="inlineStr">
        <is>
          <t>Emergency</t>
        </is>
      </c>
      <c r="G154" s="2" t="inlineStr">
        <is>
          <t>Quality Hold</t>
        </is>
      </c>
      <c r="H154" s="2" t="n">
        <v>2.89</v>
      </c>
      <c r="I154" s="2" t="n">
        <v>12</v>
      </c>
      <c r="J154" s="2" t="n">
        <v>857.48</v>
      </c>
      <c r="K154" s="2" t="inlineStr">
        <is>
          <t>Completed</t>
        </is>
      </c>
    </row>
    <row r="155">
      <c r="A155" s="2" t="n">
        <v>152</v>
      </c>
      <c r="B155" s="4" t="n">
        <v>46111</v>
      </c>
      <c r="C155" s="2" t="inlineStr">
        <is>
          <t>Evening</t>
        </is>
      </c>
      <c r="D155" s="2" t="inlineStr">
        <is>
          <t>Line 2</t>
        </is>
      </c>
      <c r="E155" s="2" t="inlineStr">
        <is>
          <t>Classic Chips</t>
        </is>
      </c>
      <c r="F155" s="2" t="inlineStr">
        <is>
          <t>Preventive</t>
        </is>
      </c>
      <c r="G155" s="2" t="inlineStr">
        <is>
          <t>Planned Maintenance</t>
        </is>
      </c>
      <c r="H155" s="2" t="n">
        <v>4.2</v>
      </c>
      <c r="I155" s="2" t="n">
        <v>12</v>
      </c>
      <c r="J155" s="2" t="n">
        <v>174.2</v>
      </c>
      <c r="K155" s="2" t="inlineStr">
        <is>
          <t>Completed</t>
        </is>
      </c>
    </row>
    <row r="156">
      <c r="A156" s="2" t="n">
        <v>153</v>
      </c>
      <c r="B156" s="4" t="n">
        <v>46111</v>
      </c>
      <c r="C156" s="2" t="inlineStr">
        <is>
          <t>Night</t>
        </is>
      </c>
      <c r="D156" s="2" t="inlineStr">
        <is>
          <t>Line 2</t>
        </is>
      </c>
      <c r="E156" s="2" t="inlineStr">
        <is>
          <t>Salt &amp; Vinegar</t>
        </is>
      </c>
      <c r="F156" s="2" t="inlineStr">
        <is>
          <t>Emergency</t>
        </is>
      </c>
      <c r="G156" s="2" t="inlineStr">
        <is>
          <t>Packaging Machine</t>
        </is>
      </c>
      <c r="H156" s="2" t="n">
        <v>1.55</v>
      </c>
      <c r="I156" s="2" t="n">
        <v>14</v>
      </c>
      <c r="J156" s="2" t="n">
        <v>1538.1</v>
      </c>
      <c r="K156" s="2" t="inlineStr">
        <is>
          <t>Follow-up Required</t>
        </is>
      </c>
    </row>
    <row r="157">
      <c r="A157" s="2" t="n">
        <v>154</v>
      </c>
      <c r="B157" s="4" t="n">
        <v>46112</v>
      </c>
      <c r="C157" s="2" t="inlineStr">
        <is>
          <t>Evening</t>
        </is>
      </c>
      <c r="D157" s="2" t="inlineStr">
        <is>
          <t>Line 1</t>
        </is>
      </c>
      <c r="E157" s="2" t="inlineStr">
        <is>
          <t>Paprika Chips</t>
        </is>
      </c>
      <c r="F157" s="2" t="inlineStr">
        <is>
          <t>Corrective</t>
        </is>
      </c>
      <c r="G157" s="2" t="inlineStr">
        <is>
          <t>Packaging Machine</t>
        </is>
      </c>
      <c r="H157" s="2" t="n">
        <v>1.13</v>
      </c>
      <c r="I157" s="2" t="n">
        <v>10</v>
      </c>
      <c r="J157" s="2" t="n">
        <v>305.48</v>
      </c>
      <c r="K157" s="2" t="inlineStr">
        <is>
          <t>Completed</t>
        </is>
      </c>
    </row>
    <row r="158">
      <c r="A158" s="2" t="n">
        <v>155</v>
      </c>
      <c r="B158" s="4" t="n">
        <v>46112</v>
      </c>
      <c r="C158" s="2" t="inlineStr">
        <is>
          <t>Night</t>
        </is>
      </c>
      <c r="D158" s="2" t="inlineStr">
        <is>
          <t>Line 1</t>
        </is>
      </c>
      <c r="E158" s="2" t="inlineStr">
        <is>
          <t>Classic Chips</t>
        </is>
      </c>
      <c r="F158" s="2" t="inlineStr">
        <is>
          <t>Corrective</t>
        </is>
      </c>
      <c r="G158" s="2" t="inlineStr">
        <is>
          <t>Packaging Machine</t>
        </is>
      </c>
      <c r="H158" s="2" t="n">
        <v>2.14</v>
      </c>
      <c r="I158" s="2" t="n">
        <v>13</v>
      </c>
      <c r="J158" s="2" t="n">
        <v>884.62</v>
      </c>
      <c r="K158" s="2" t="inlineStr">
        <is>
          <t>Completed</t>
        </is>
      </c>
    </row>
    <row r="159">
      <c r="A159" s="2" t="n">
        <v>156</v>
      </c>
      <c r="B159" s="4" t="n">
        <v>46113</v>
      </c>
      <c r="C159" s="2" t="inlineStr">
        <is>
          <t>Day</t>
        </is>
      </c>
      <c r="D159" s="2" t="inlineStr">
        <is>
          <t>Line 2</t>
        </is>
      </c>
      <c r="E159" s="2" t="inlineStr">
        <is>
          <t>Classic Chips</t>
        </is>
      </c>
      <c r="F159" s="2" t="inlineStr">
        <is>
          <t>Preventive</t>
        </is>
      </c>
      <c r="G159" s="2" t="inlineStr">
        <is>
          <t>Planned Maintenance</t>
        </is>
      </c>
      <c r="H159" s="2" t="n">
        <v>4.37</v>
      </c>
      <c r="I159" s="2" t="n">
        <v>21</v>
      </c>
      <c r="J159" s="2" t="n">
        <v>161.25</v>
      </c>
      <c r="K159" s="2" t="inlineStr">
        <is>
          <t>Completed</t>
        </is>
      </c>
    </row>
    <row r="160">
      <c r="A160" s="2" t="n">
        <v>157</v>
      </c>
      <c r="B160" s="4" t="n">
        <v>46113</v>
      </c>
      <c r="C160" s="2" t="inlineStr">
        <is>
          <t>Evening</t>
        </is>
      </c>
      <c r="D160" s="2" t="inlineStr">
        <is>
          <t>Line 1</t>
        </is>
      </c>
      <c r="E160" s="2" t="inlineStr">
        <is>
          <t>Salt &amp; Vinegar</t>
        </is>
      </c>
      <c r="F160" s="2" t="inlineStr">
        <is>
          <t>Corrective</t>
        </is>
      </c>
      <c r="G160" s="2" t="inlineStr">
        <is>
          <t>Packaging Machine</t>
        </is>
      </c>
      <c r="H160" s="2" t="n">
        <v>3.46</v>
      </c>
      <c r="I160" s="2" t="n">
        <v>13</v>
      </c>
      <c r="J160" s="2" t="n">
        <v>707.59</v>
      </c>
      <c r="K160" s="2" t="inlineStr">
        <is>
          <t>Completed</t>
        </is>
      </c>
    </row>
    <row r="161">
      <c r="A161" s="2" t="n">
        <v>158</v>
      </c>
      <c r="B161" s="4" t="n">
        <v>46114</v>
      </c>
      <c r="C161" s="2" t="inlineStr">
        <is>
          <t>Day</t>
        </is>
      </c>
      <c r="D161" s="2" t="inlineStr">
        <is>
          <t>Line 2</t>
        </is>
      </c>
      <c r="E161" s="2" t="inlineStr">
        <is>
          <t>Classic Chips</t>
        </is>
      </c>
      <c r="F161" s="2" t="inlineStr">
        <is>
          <t>Corrective</t>
        </is>
      </c>
      <c r="G161" s="2" t="inlineStr">
        <is>
          <t>Conveyor Jam</t>
        </is>
      </c>
      <c r="H161" s="2" t="n">
        <v>1.41</v>
      </c>
      <c r="I161" s="2" t="n">
        <v>10</v>
      </c>
      <c r="J161" s="2" t="n">
        <v>413.92</v>
      </c>
      <c r="K161" s="2" t="inlineStr">
        <is>
          <t>Completed</t>
        </is>
      </c>
    </row>
    <row r="162">
      <c r="A162" s="2" t="n">
        <v>159</v>
      </c>
      <c r="B162" s="4" t="n">
        <v>46114</v>
      </c>
      <c r="C162" s="2" t="inlineStr">
        <is>
          <t>Evening</t>
        </is>
      </c>
      <c r="D162" s="2" t="inlineStr">
        <is>
          <t>Line 1</t>
        </is>
      </c>
      <c r="E162" s="2" t="inlineStr">
        <is>
          <t>Salt &amp; Vinegar</t>
        </is>
      </c>
      <c r="F162" s="2" t="inlineStr">
        <is>
          <t>Corrective</t>
        </is>
      </c>
      <c r="G162" s="2" t="inlineStr">
        <is>
          <t>Quality Hold</t>
        </is>
      </c>
      <c r="H162" s="2" t="n">
        <v>0.6899999999999999</v>
      </c>
      <c r="I162" s="2" t="n">
        <v>6</v>
      </c>
      <c r="J162" s="2" t="n">
        <v>678.16</v>
      </c>
      <c r="K162" s="2" t="inlineStr">
        <is>
          <t>Completed</t>
        </is>
      </c>
    </row>
    <row r="163">
      <c r="A163" s="2" t="n">
        <v>160</v>
      </c>
      <c r="B163" s="4" t="n">
        <v>46114</v>
      </c>
      <c r="C163" s="2" t="inlineStr">
        <is>
          <t>Night</t>
        </is>
      </c>
      <c r="D163" s="2" t="inlineStr">
        <is>
          <t>Line 1</t>
        </is>
      </c>
      <c r="E163" s="2" t="inlineStr">
        <is>
          <t>Classic Chips</t>
        </is>
      </c>
      <c r="F163" s="2" t="inlineStr">
        <is>
          <t>Preventive</t>
        </is>
      </c>
      <c r="G163" s="2" t="inlineStr">
        <is>
          <t>Planned Maintenance</t>
        </is>
      </c>
      <c r="H163" s="2" t="n">
        <v>4.59</v>
      </c>
      <c r="I163" s="2" t="n">
        <v>5</v>
      </c>
      <c r="J163" s="2" t="n">
        <v>220.39</v>
      </c>
      <c r="K163" s="2" t="inlineStr">
        <is>
          <t>Completed</t>
        </is>
      </c>
    </row>
    <row r="164">
      <c r="A164" s="2" t="n">
        <v>161</v>
      </c>
      <c r="B164" s="4" t="n">
        <v>46115</v>
      </c>
      <c r="C164" s="2" t="inlineStr">
        <is>
          <t>Day</t>
        </is>
      </c>
      <c r="D164" s="2" t="inlineStr">
        <is>
          <t>Line 1</t>
        </is>
      </c>
      <c r="E164" s="2" t="inlineStr">
        <is>
          <t>Salt &amp; Vinegar</t>
        </is>
      </c>
      <c r="F164" s="2" t="inlineStr">
        <is>
          <t>Corrective</t>
        </is>
      </c>
      <c r="G164" s="2" t="inlineStr">
        <is>
          <t>Raw Material Shortage</t>
        </is>
      </c>
      <c r="H164" s="2" t="n">
        <v>0.52</v>
      </c>
      <c r="I164" s="2" t="n">
        <v>6</v>
      </c>
      <c r="J164" s="2" t="n">
        <v>401.14</v>
      </c>
      <c r="K164" s="2" t="inlineStr">
        <is>
          <t>Completed</t>
        </is>
      </c>
    </row>
    <row r="165">
      <c r="A165" s="2" t="n">
        <v>162</v>
      </c>
      <c r="B165" s="4" t="n">
        <v>46115</v>
      </c>
      <c r="C165" s="2" t="inlineStr">
        <is>
          <t>Evening</t>
        </is>
      </c>
      <c r="D165" s="2" t="inlineStr">
        <is>
          <t>Line 2</t>
        </is>
      </c>
      <c r="E165" s="2" t="inlineStr">
        <is>
          <t>Classic Chips</t>
        </is>
      </c>
      <c r="F165" s="2" t="inlineStr">
        <is>
          <t>Corrective</t>
        </is>
      </c>
      <c r="G165" s="2" t="inlineStr">
        <is>
          <t>Fryer Temperature</t>
        </is>
      </c>
      <c r="H165" s="2" t="n">
        <v>3.63</v>
      </c>
      <c r="I165" s="2" t="n">
        <v>5</v>
      </c>
      <c r="J165" s="2" t="n">
        <v>717.91</v>
      </c>
      <c r="K165" s="2" t="inlineStr">
        <is>
          <t>Completed</t>
        </is>
      </c>
    </row>
    <row r="166">
      <c r="A166" s="2" t="n">
        <v>163</v>
      </c>
      <c r="B166" s="4" t="n">
        <v>46116</v>
      </c>
      <c r="C166" s="2" t="inlineStr">
        <is>
          <t>Day</t>
        </is>
      </c>
      <c r="D166" s="2" t="inlineStr">
        <is>
          <t>Line 2</t>
        </is>
      </c>
      <c r="E166" s="2" t="inlineStr">
        <is>
          <t>Classic Chips</t>
        </is>
      </c>
      <c r="F166" s="2" t="inlineStr">
        <is>
          <t>Corrective</t>
        </is>
      </c>
      <c r="G166" s="2" t="inlineStr">
        <is>
          <t>Raw Material Shortage</t>
        </is>
      </c>
      <c r="H166" s="2" t="n">
        <v>1.17</v>
      </c>
      <c r="I166" s="2" t="n">
        <v>10</v>
      </c>
      <c r="J166" s="2" t="n">
        <v>755.89</v>
      </c>
      <c r="K166" s="2" t="inlineStr">
        <is>
          <t>Completed</t>
        </is>
      </c>
    </row>
    <row r="167">
      <c r="A167" s="2" t="n">
        <v>164</v>
      </c>
      <c r="B167" s="4" t="n">
        <v>46116</v>
      </c>
      <c r="C167" s="2" t="inlineStr">
        <is>
          <t>Evening</t>
        </is>
      </c>
      <c r="D167" s="2" t="inlineStr">
        <is>
          <t>Line 2</t>
        </is>
      </c>
      <c r="E167" s="2" t="inlineStr">
        <is>
          <t>Paprika Chips</t>
        </is>
      </c>
      <c r="F167" s="2" t="inlineStr">
        <is>
          <t>Preventive</t>
        </is>
      </c>
      <c r="G167" s="2" t="inlineStr">
        <is>
          <t>Planned Maintenance</t>
        </is>
      </c>
      <c r="H167" s="2" t="n">
        <v>2.99</v>
      </c>
      <c r="I167" s="2" t="n">
        <v>6</v>
      </c>
      <c r="J167" s="2" t="n">
        <v>210.2</v>
      </c>
      <c r="K167" s="2" t="inlineStr">
        <is>
          <t>Completed</t>
        </is>
      </c>
    </row>
    <row r="168">
      <c r="A168" s="2" t="n">
        <v>165</v>
      </c>
      <c r="B168" s="4" t="n">
        <v>46116</v>
      </c>
      <c r="C168" s="2" t="inlineStr">
        <is>
          <t>Night</t>
        </is>
      </c>
      <c r="D168" s="2" t="inlineStr">
        <is>
          <t>Line 1</t>
        </is>
      </c>
      <c r="E168" s="2" t="inlineStr">
        <is>
          <t>Classic Chips</t>
        </is>
      </c>
      <c r="F168" s="2" t="inlineStr">
        <is>
          <t>Corrective</t>
        </is>
      </c>
      <c r="G168" s="2" t="inlineStr">
        <is>
          <t>Conveyor Jam</t>
        </is>
      </c>
      <c r="H168" s="2" t="n">
        <v>1.6</v>
      </c>
      <c r="I168" s="2" t="n">
        <v>13</v>
      </c>
      <c r="J168" s="2" t="n">
        <v>327.14</v>
      </c>
      <c r="K168" s="2" t="inlineStr">
        <is>
          <t>Completed</t>
        </is>
      </c>
    </row>
    <row r="169">
      <c r="A169" s="2" t="n">
        <v>166</v>
      </c>
      <c r="B169" s="4" t="n">
        <v>46117</v>
      </c>
      <c r="C169" s="2" t="inlineStr">
        <is>
          <t>Day</t>
        </is>
      </c>
      <c r="D169" s="2" t="inlineStr">
        <is>
          <t>Line 2</t>
        </is>
      </c>
      <c r="E169" s="2" t="inlineStr">
        <is>
          <t>Paprika Chips</t>
        </is>
      </c>
      <c r="F169" s="2" t="inlineStr">
        <is>
          <t>Corrective</t>
        </is>
      </c>
      <c r="G169" s="2" t="inlineStr">
        <is>
          <t>Electrical Fault</t>
        </is>
      </c>
      <c r="H169" s="2" t="n">
        <v>1.63</v>
      </c>
      <c r="I169" s="2" t="n">
        <v>14</v>
      </c>
      <c r="J169" s="2" t="n">
        <v>510.75</v>
      </c>
      <c r="K169" s="2" t="inlineStr">
        <is>
          <t>Completed</t>
        </is>
      </c>
    </row>
    <row r="170">
      <c r="A170" s="2" t="n">
        <v>167</v>
      </c>
      <c r="B170" s="4" t="n">
        <v>46117</v>
      </c>
      <c r="C170" s="2" t="inlineStr">
        <is>
          <t>Evening</t>
        </is>
      </c>
      <c r="D170" s="2" t="inlineStr">
        <is>
          <t>Line 1</t>
        </is>
      </c>
      <c r="E170" s="2" t="inlineStr">
        <is>
          <t>Salt &amp; Vinegar</t>
        </is>
      </c>
      <c r="F170" s="2" t="inlineStr">
        <is>
          <t>Emergency</t>
        </is>
      </c>
      <c r="G170" s="2" t="inlineStr">
        <is>
          <t>Raw Material Shortage</t>
        </is>
      </c>
      <c r="H170" s="2" t="n">
        <v>1.95</v>
      </c>
      <c r="I170" s="2" t="n">
        <v>7</v>
      </c>
      <c r="J170" s="2" t="n">
        <v>956.6</v>
      </c>
      <c r="K170" s="2" t="inlineStr">
        <is>
          <t>Completed</t>
        </is>
      </c>
    </row>
    <row r="171">
      <c r="A171" s="2" t="n">
        <v>168</v>
      </c>
      <c r="B171" s="4" t="n">
        <v>46118</v>
      </c>
      <c r="C171" s="2" t="inlineStr">
        <is>
          <t>Day</t>
        </is>
      </c>
      <c r="D171" s="2" t="inlineStr">
        <is>
          <t>Line 2</t>
        </is>
      </c>
      <c r="E171" s="2" t="inlineStr">
        <is>
          <t>Classic Chips</t>
        </is>
      </c>
      <c r="F171" s="2" t="inlineStr">
        <is>
          <t>Corrective</t>
        </is>
      </c>
      <c r="G171" s="2" t="inlineStr">
        <is>
          <t>Fryer Temperature</t>
        </is>
      </c>
      <c r="H171" s="2" t="n">
        <v>0.66</v>
      </c>
      <c r="I171" s="2" t="n">
        <v>12</v>
      </c>
      <c r="J171" s="2" t="n">
        <v>797.3</v>
      </c>
      <c r="K171" s="2" t="inlineStr">
        <is>
          <t>Completed</t>
        </is>
      </c>
    </row>
    <row r="172">
      <c r="A172" s="2" t="n">
        <v>169</v>
      </c>
      <c r="B172" s="4" t="n">
        <v>46118</v>
      </c>
      <c r="C172" s="2" t="inlineStr">
        <is>
          <t>Evening</t>
        </is>
      </c>
      <c r="D172" s="2" t="inlineStr">
        <is>
          <t>Line 1</t>
        </is>
      </c>
      <c r="E172" s="2" t="inlineStr">
        <is>
          <t>Classic Chips</t>
        </is>
      </c>
      <c r="F172" s="2" t="inlineStr">
        <is>
          <t>Corrective</t>
        </is>
      </c>
      <c r="G172" s="2" t="inlineStr">
        <is>
          <t>Electrical Fault</t>
        </is>
      </c>
      <c r="H172" s="2" t="n">
        <v>2.09</v>
      </c>
      <c r="I172" s="2" t="n">
        <v>16</v>
      </c>
      <c r="J172" s="2" t="n">
        <v>560.5</v>
      </c>
      <c r="K172" s="2" t="inlineStr">
        <is>
          <t>Completed</t>
        </is>
      </c>
    </row>
    <row r="173">
      <c r="A173" s="2" t="n">
        <v>170</v>
      </c>
      <c r="B173" s="4" t="n">
        <v>46118</v>
      </c>
      <c r="C173" s="2" t="inlineStr">
        <is>
          <t>Night</t>
        </is>
      </c>
      <c r="D173" s="2" t="inlineStr">
        <is>
          <t>Line 1</t>
        </is>
      </c>
      <c r="E173" s="2" t="inlineStr">
        <is>
          <t>Salt &amp; Vinegar</t>
        </is>
      </c>
      <c r="F173" s="2" t="inlineStr">
        <is>
          <t>Corrective</t>
        </is>
      </c>
      <c r="G173" s="2" t="inlineStr">
        <is>
          <t>Packaging Machine</t>
        </is>
      </c>
      <c r="H173" s="2" t="n">
        <v>1.01</v>
      </c>
      <c r="I173" s="2" t="n">
        <v>11</v>
      </c>
      <c r="J173" s="2" t="n">
        <v>892.78</v>
      </c>
      <c r="K173" s="2" t="inlineStr">
        <is>
          <t>Completed</t>
        </is>
      </c>
    </row>
    <row r="174">
      <c r="A174" s="2" t="n">
        <v>171</v>
      </c>
      <c r="B174" s="4" t="n">
        <v>46119</v>
      </c>
      <c r="C174" s="2" t="inlineStr">
        <is>
          <t>Night</t>
        </is>
      </c>
      <c r="D174" s="2" t="inlineStr">
        <is>
          <t>Line 2</t>
        </is>
      </c>
      <c r="E174" s="2" t="inlineStr">
        <is>
          <t>Paprika Chips</t>
        </is>
      </c>
      <c r="F174" s="2" t="inlineStr">
        <is>
          <t>Emergency</t>
        </is>
      </c>
      <c r="G174" s="2" t="inlineStr">
        <is>
          <t>Quality Hold</t>
        </is>
      </c>
      <c r="H174" s="2" t="n">
        <v>2.49</v>
      </c>
      <c r="I174" s="2" t="n">
        <v>9</v>
      </c>
      <c r="J174" s="2" t="n">
        <v>1318.93</v>
      </c>
      <c r="K174" s="2" t="inlineStr">
        <is>
          <t>Completed</t>
        </is>
      </c>
    </row>
    <row r="175">
      <c r="A175" s="2" t="n">
        <v>172</v>
      </c>
      <c r="B175" s="4" t="n">
        <v>46120</v>
      </c>
      <c r="C175" s="2" t="inlineStr">
        <is>
          <t>Night</t>
        </is>
      </c>
      <c r="D175" s="2" t="inlineStr">
        <is>
          <t>Line 1</t>
        </is>
      </c>
      <c r="E175" s="2" t="inlineStr">
        <is>
          <t>Paprika Chips</t>
        </is>
      </c>
      <c r="F175" s="2" t="inlineStr">
        <is>
          <t>Preventive</t>
        </is>
      </c>
      <c r="G175" s="2" t="inlineStr">
        <is>
          <t>Planned Maintenance</t>
        </is>
      </c>
      <c r="H175" s="2" t="n">
        <v>4.71</v>
      </c>
      <c r="I175" s="2" t="n">
        <v>7</v>
      </c>
      <c r="J175" s="2" t="n">
        <v>158.43</v>
      </c>
      <c r="K175" s="2" t="inlineStr">
        <is>
          <t>Follow-up Required</t>
        </is>
      </c>
    </row>
    <row r="176">
      <c r="A176" s="2" t="n">
        <v>173</v>
      </c>
      <c r="B176" s="4" t="n">
        <v>46121</v>
      </c>
      <c r="C176" s="2" t="inlineStr">
        <is>
          <t>Day</t>
        </is>
      </c>
      <c r="D176" s="2" t="inlineStr">
        <is>
          <t>Line 2</t>
        </is>
      </c>
      <c r="E176" s="2" t="inlineStr">
        <is>
          <t>Classic Chips</t>
        </is>
      </c>
      <c r="F176" s="2" t="inlineStr">
        <is>
          <t>Corrective</t>
        </is>
      </c>
      <c r="G176" s="2" t="inlineStr">
        <is>
          <t>Raw Material Shortage</t>
        </is>
      </c>
      <c r="H176" s="2" t="n">
        <v>2.85</v>
      </c>
      <c r="I176" s="2" t="n">
        <v>13</v>
      </c>
      <c r="J176" s="2" t="n">
        <v>796.61</v>
      </c>
      <c r="K176" s="2" t="inlineStr">
        <is>
          <t>Completed</t>
        </is>
      </c>
    </row>
    <row r="177">
      <c r="A177" s="2" t="n">
        <v>174</v>
      </c>
      <c r="B177" s="4" t="n">
        <v>46121</v>
      </c>
      <c r="C177" s="2" t="inlineStr">
        <is>
          <t>Evening</t>
        </is>
      </c>
      <c r="D177" s="2" t="inlineStr">
        <is>
          <t>Line 2</t>
        </is>
      </c>
      <c r="E177" s="2" t="inlineStr">
        <is>
          <t>Classic Chips</t>
        </is>
      </c>
      <c r="F177" s="2" t="inlineStr">
        <is>
          <t>Corrective</t>
        </is>
      </c>
      <c r="G177" s="2" t="inlineStr">
        <is>
          <t>Fryer Temperature</t>
        </is>
      </c>
      <c r="H177" s="2" t="n">
        <v>3.73</v>
      </c>
      <c r="I177" s="2" t="n">
        <v>3</v>
      </c>
      <c r="J177" s="2" t="n">
        <v>595</v>
      </c>
      <c r="K177" s="2" t="inlineStr">
        <is>
          <t>Follow-up Required</t>
        </is>
      </c>
    </row>
    <row r="178">
      <c r="A178" s="2" t="n">
        <v>175</v>
      </c>
      <c r="B178" s="4" t="n">
        <v>46121</v>
      </c>
      <c r="C178" s="2" t="inlineStr">
        <is>
          <t>Night</t>
        </is>
      </c>
      <c r="D178" s="2" t="inlineStr">
        <is>
          <t>Line 1</t>
        </is>
      </c>
      <c r="E178" s="2" t="inlineStr">
        <is>
          <t>Paprika Chips</t>
        </is>
      </c>
      <c r="F178" s="2" t="inlineStr">
        <is>
          <t>Corrective</t>
        </is>
      </c>
      <c r="G178" s="2" t="inlineStr">
        <is>
          <t>Packaging Machine</t>
        </is>
      </c>
      <c r="H178" s="2" t="n">
        <v>1.7</v>
      </c>
      <c r="I178" s="2" t="n">
        <v>14</v>
      </c>
      <c r="J178" s="2" t="n">
        <v>899.97</v>
      </c>
      <c r="K178" s="2" t="inlineStr">
        <is>
          <t>Completed</t>
        </is>
      </c>
    </row>
    <row r="179">
      <c r="A179" s="2" t="n">
        <v>176</v>
      </c>
      <c r="B179" s="4" t="n">
        <v>46122</v>
      </c>
      <c r="C179" s="2" t="inlineStr">
        <is>
          <t>Day</t>
        </is>
      </c>
      <c r="D179" s="2" t="inlineStr">
        <is>
          <t>Line 2</t>
        </is>
      </c>
      <c r="E179" s="2" t="inlineStr">
        <is>
          <t>Salt &amp; Vinegar</t>
        </is>
      </c>
      <c r="F179" s="2" t="inlineStr">
        <is>
          <t>Corrective</t>
        </is>
      </c>
      <c r="G179" s="2" t="inlineStr">
        <is>
          <t>Raw Material Shortage</t>
        </is>
      </c>
      <c r="H179" s="2" t="n">
        <v>1.99</v>
      </c>
      <c r="I179" s="2" t="n">
        <v>11</v>
      </c>
      <c r="J179" s="2" t="n">
        <v>339.02</v>
      </c>
      <c r="K179" s="2" t="inlineStr">
        <is>
          <t>Completed</t>
        </is>
      </c>
    </row>
    <row r="180">
      <c r="A180" s="2" t="n">
        <v>177</v>
      </c>
      <c r="B180" s="4" t="n">
        <v>46122</v>
      </c>
      <c r="C180" s="2" t="inlineStr">
        <is>
          <t>Evening</t>
        </is>
      </c>
      <c r="D180" s="2" t="inlineStr">
        <is>
          <t>Line 1</t>
        </is>
      </c>
      <c r="E180" s="2" t="inlineStr">
        <is>
          <t>Paprika Chips</t>
        </is>
      </c>
      <c r="F180" s="2" t="inlineStr">
        <is>
          <t>Corrective</t>
        </is>
      </c>
      <c r="G180" s="2" t="inlineStr">
        <is>
          <t>Conveyor Jam</t>
        </is>
      </c>
      <c r="H180" s="2" t="n">
        <v>2.89</v>
      </c>
      <c r="I180" s="2" t="n">
        <v>10</v>
      </c>
      <c r="J180" s="2" t="n">
        <v>718.61</v>
      </c>
      <c r="K180" s="2" t="inlineStr">
        <is>
          <t>Follow-up Required</t>
        </is>
      </c>
    </row>
    <row r="181">
      <c r="A181" s="2" t="n">
        <v>178</v>
      </c>
      <c r="B181" s="4" t="n">
        <v>46122</v>
      </c>
      <c r="C181" s="2" t="inlineStr">
        <is>
          <t>Night</t>
        </is>
      </c>
      <c r="D181" s="2" t="inlineStr">
        <is>
          <t>Line 1</t>
        </is>
      </c>
      <c r="E181" s="2" t="inlineStr">
        <is>
          <t>Paprika Chips</t>
        </is>
      </c>
      <c r="F181" s="2" t="inlineStr">
        <is>
          <t>Corrective</t>
        </is>
      </c>
      <c r="G181" s="2" t="inlineStr">
        <is>
          <t>Electrical Fault</t>
        </is>
      </c>
      <c r="H181" s="2" t="n">
        <v>0.9</v>
      </c>
      <c r="I181" s="2" t="n">
        <v>5</v>
      </c>
      <c r="J181" s="2" t="n">
        <v>863.3099999999999</v>
      </c>
      <c r="K181" s="2" t="inlineStr">
        <is>
          <t>Completed</t>
        </is>
      </c>
    </row>
    <row r="182">
      <c r="A182" s="2" t="n">
        <v>179</v>
      </c>
      <c r="B182" s="4" t="n">
        <v>46123</v>
      </c>
      <c r="C182" s="2" t="inlineStr">
        <is>
          <t>Day</t>
        </is>
      </c>
      <c r="D182" s="2" t="inlineStr">
        <is>
          <t>Line 2</t>
        </is>
      </c>
      <c r="E182" s="2" t="inlineStr">
        <is>
          <t>Paprika Chips</t>
        </is>
      </c>
      <c r="F182" s="2" t="inlineStr">
        <is>
          <t>Corrective</t>
        </is>
      </c>
      <c r="G182" s="2" t="inlineStr">
        <is>
          <t>Packaging Machine</t>
        </is>
      </c>
      <c r="H182" s="2" t="n">
        <v>3.59</v>
      </c>
      <c r="I182" s="2" t="n">
        <v>17</v>
      </c>
      <c r="J182" s="2" t="n">
        <v>501.2</v>
      </c>
      <c r="K182" s="2" t="inlineStr">
        <is>
          <t>Completed</t>
        </is>
      </c>
    </row>
    <row r="183">
      <c r="A183" s="2" t="n">
        <v>180</v>
      </c>
      <c r="B183" s="4" t="n">
        <v>46123</v>
      </c>
      <c r="C183" s="2" t="inlineStr">
        <is>
          <t>Night</t>
        </is>
      </c>
      <c r="D183" s="2" t="inlineStr">
        <is>
          <t>Line 2</t>
        </is>
      </c>
      <c r="E183" s="2" t="inlineStr">
        <is>
          <t>Paprika Chips</t>
        </is>
      </c>
      <c r="F183" s="2" t="inlineStr">
        <is>
          <t>Preventive</t>
        </is>
      </c>
      <c r="G183" s="2" t="inlineStr">
        <is>
          <t>Planned Maintenance</t>
        </is>
      </c>
      <c r="H183" s="2" t="n">
        <v>3.33</v>
      </c>
      <c r="I183" s="2" t="n">
        <v>6</v>
      </c>
      <c r="J183" s="2" t="n">
        <v>126.49</v>
      </c>
      <c r="K183" s="2" t="inlineStr">
        <is>
          <t>Completed</t>
        </is>
      </c>
    </row>
    <row r="184">
      <c r="A184" s="2" t="n">
        <v>181</v>
      </c>
      <c r="B184" s="4" t="n">
        <v>46124</v>
      </c>
      <c r="C184" s="2" t="inlineStr">
        <is>
          <t>Day</t>
        </is>
      </c>
      <c r="D184" s="2" t="inlineStr">
        <is>
          <t>Line 2</t>
        </is>
      </c>
      <c r="E184" s="2" t="inlineStr">
        <is>
          <t>Salt &amp; Vinegar</t>
        </is>
      </c>
      <c r="F184" s="2" t="inlineStr">
        <is>
          <t>Corrective</t>
        </is>
      </c>
      <c r="G184" s="2" t="inlineStr">
        <is>
          <t>Electrical Fault</t>
        </is>
      </c>
      <c r="H184" s="2" t="n">
        <v>2.4</v>
      </c>
      <c r="I184" s="2" t="n">
        <v>18</v>
      </c>
      <c r="J184" s="2" t="n">
        <v>583.01</v>
      </c>
      <c r="K184" s="2" t="inlineStr">
        <is>
          <t>Completed</t>
        </is>
      </c>
    </row>
    <row r="185">
      <c r="A185" s="2" t="n">
        <v>182</v>
      </c>
      <c r="B185" s="4" t="n">
        <v>46124</v>
      </c>
      <c r="C185" s="2" t="inlineStr">
        <is>
          <t>Night</t>
        </is>
      </c>
      <c r="D185" s="2" t="inlineStr">
        <is>
          <t>Line 2</t>
        </is>
      </c>
      <c r="E185" s="2" t="inlineStr">
        <is>
          <t>Paprika Chips</t>
        </is>
      </c>
      <c r="F185" s="2" t="inlineStr">
        <is>
          <t>Corrective</t>
        </is>
      </c>
      <c r="G185" s="2" t="inlineStr">
        <is>
          <t>Fryer Temperature</t>
        </is>
      </c>
      <c r="H185" s="2" t="n">
        <v>0.5600000000000001</v>
      </c>
      <c r="I185" s="2" t="n">
        <v>5</v>
      </c>
      <c r="J185" s="2" t="n">
        <v>450.2</v>
      </c>
      <c r="K185" s="2" t="inlineStr">
        <is>
          <t>Completed</t>
        </is>
      </c>
    </row>
    <row r="186">
      <c r="A186" s="2" t="n">
        <v>183</v>
      </c>
      <c r="B186" s="4" t="n">
        <v>46125</v>
      </c>
      <c r="C186" s="2" t="inlineStr">
        <is>
          <t>Day</t>
        </is>
      </c>
      <c r="D186" s="2" t="inlineStr">
        <is>
          <t>Line 1</t>
        </is>
      </c>
      <c r="E186" s="2" t="inlineStr">
        <is>
          <t>Classic Chips</t>
        </is>
      </c>
      <c r="F186" s="2" t="inlineStr">
        <is>
          <t>Corrective</t>
        </is>
      </c>
      <c r="G186" s="2" t="inlineStr">
        <is>
          <t>Fryer Temperature</t>
        </is>
      </c>
      <c r="H186" s="2" t="n">
        <v>1.38</v>
      </c>
      <c r="I186" s="2" t="n">
        <v>16</v>
      </c>
      <c r="J186" s="2" t="n">
        <v>675.66</v>
      </c>
      <c r="K186" s="2" t="inlineStr">
        <is>
          <t>Completed</t>
        </is>
      </c>
    </row>
    <row r="187">
      <c r="A187" s="2" t="n">
        <v>184</v>
      </c>
      <c r="B187" s="4" t="n">
        <v>46125</v>
      </c>
      <c r="C187" s="2" t="inlineStr">
        <is>
          <t>Evening</t>
        </is>
      </c>
      <c r="D187" s="2" t="inlineStr">
        <is>
          <t>Line 1</t>
        </is>
      </c>
      <c r="E187" s="2" t="inlineStr">
        <is>
          <t>Classic Chips</t>
        </is>
      </c>
      <c r="F187" s="2" t="inlineStr">
        <is>
          <t>Preventive</t>
        </is>
      </c>
      <c r="G187" s="2" t="inlineStr">
        <is>
          <t>Planned Maintenance</t>
        </is>
      </c>
      <c r="H187" s="2" t="n">
        <v>3.15</v>
      </c>
      <c r="I187" s="2" t="n">
        <v>7</v>
      </c>
      <c r="J187" s="2" t="n">
        <v>177.66</v>
      </c>
      <c r="K187" s="2" t="inlineStr">
        <is>
          <t>Completed</t>
        </is>
      </c>
    </row>
    <row r="188">
      <c r="A188" s="2" t="n">
        <v>185</v>
      </c>
      <c r="B188" s="4" t="n">
        <v>46126</v>
      </c>
      <c r="C188" s="2" t="inlineStr">
        <is>
          <t>Day</t>
        </is>
      </c>
      <c r="D188" s="2" t="inlineStr">
        <is>
          <t>Line 2</t>
        </is>
      </c>
      <c r="E188" s="2" t="inlineStr">
        <is>
          <t>Paprika Chips</t>
        </is>
      </c>
      <c r="F188" s="2" t="inlineStr">
        <is>
          <t>Preventive</t>
        </is>
      </c>
      <c r="G188" s="2" t="inlineStr">
        <is>
          <t>Planned Maintenance</t>
        </is>
      </c>
      <c r="H188" s="2" t="n">
        <v>3.8</v>
      </c>
      <c r="I188" s="2" t="n">
        <v>12</v>
      </c>
      <c r="J188" s="2" t="n">
        <v>167.52</v>
      </c>
      <c r="K188" s="2" t="inlineStr">
        <is>
          <t>Completed</t>
        </is>
      </c>
    </row>
    <row r="189">
      <c r="A189" s="2" t="n">
        <v>186</v>
      </c>
      <c r="B189" s="4" t="n">
        <v>46126</v>
      </c>
      <c r="C189" s="2" t="inlineStr">
        <is>
          <t>Night</t>
        </is>
      </c>
      <c r="D189" s="2" t="inlineStr">
        <is>
          <t>Line 1</t>
        </is>
      </c>
      <c r="E189" s="2" t="inlineStr">
        <is>
          <t>Paprika Chips</t>
        </is>
      </c>
      <c r="F189" s="2" t="inlineStr">
        <is>
          <t>Corrective</t>
        </is>
      </c>
      <c r="G189" s="2" t="inlineStr">
        <is>
          <t>Raw Material Shortage</t>
        </is>
      </c>
      <c r="H189" s="2" t="n">
        <v>2.96</v>
      </c>
      <c r="I189" s="2" t="n">
        <v>18</v>
      </c>
      <c r="J189" s="2" t="n">
        <v>486.15</v>
      </c>
      <c r="K189" s="2" t="inlineStr">
        <is>
          <t>Follow-up Required</t>
        </is>
      </c>
    </row>
    <row r="190">
      <c r="A190" s="2" t="n">
        <v>187</v>
      </c>
      <c r="B190" s="4" t="n">
        <v>46127</v>
      </c>
      <c r="C190" s="2" t="inlineStr">
        <is>
          <t>Evening</t>
        </is>
      </c>
      <c r="D190" s="2" t="inlineStr">
        <is>
          <t>Line 2</t>
        </is>
      </c>
      <c r="E190" s="2" t="inlineStr">
        <is>
          <t>Classic Chips</t>
        </is>
      </c>
      <c r="F190" s="2" t="inlineStr">
        <is>
          <t>Corrective</t>
        </is>
      </c>
      <c r="G190" s="2" t="inlineStr">
        <is>
          <t>Quality Hold</t>
        </is>
      </c>
      <c r="H190" s="2" t="n">
        <v>3.31</v>
      </c>
      <c r="I190" s="2" t="n">
        <v>7</v>
      </c>
      <c r="J190" s="2" t="n">
        <v>533.54</v>
      </c>
      <c r="K190" s="2" t="inlineStr">
        <is>
          <t>Follow-up Required</t>
        </is>
      </c>
    </row>
    <row r="191">
      <c r="A191" s="2" t="n">
        <v>188</v>
      </c>
      <c r="B191" s="4" t="n">
        <v>46127</v>
      </c>
      <c r="C191" s="2" t="inlineStr">
        <is>
          <t>Night</t>
        </is>
      </c>
      <c r="D191" s="2" t="inlineStr">
        <is>
          <t>Line 2</t>
        </is>
      </c>
      <c r="E191" s="2" t="inlineStr">
        <is>
          <t>Salt &amp; Vinegar</t>
        </is>
      </c>
      <c r="F191" s="2" t="inlineStr">
        <is>
          <t>Corrective</t>
        </is>
      </c>
      <c r="G191" s="2" t="inlineStr">
        <is>
          <t>Conveyor Jam</t>
        </is>
      </c>
      <c r="H191" s="2" t="n">
        <v>0.58</v>
      </c>
      <c r="I191" s="2" t="n">
        <v>19</v>
      </c>
      <c r="J191" s="2" t="n">
        <v>739</v>
      </c>
      <c r="K191" s="2" t="inlineStr">
        <is>
          <t>Completed</t>
        </is>
      </c>
    </row>
    <row r="192">
      <c r="A192" s="2" t="n">
        <v>189</v>
      </c>
      <c r="B192" s="4" t="n">
        <v>46128</v>
      </c>
      <c r="C192" s="2" t="inlineStr">
        <is>
          <t>Night</t>
        </is>
      </c>
      <c r="D192" s="2" t="inlineStr">
        <is>
          <t>Line 1</t>
        </is>
      </c>
      <c r="E192" s="2" t="inlineStr">
        <is>
          <t>Salt &amp; Vinegar</t>
        </is>
      </c>
      <c r="F192" s="2" t="inlineStr">
        <is>
          <t>Corrective</t>
        </is>
      </c>
      <c r="G192" s="2" t="inlineStr">
        <is>
          <t>Raw Material Shortage</t>
        </is>
      </c>
      <c r="H192" s="2" t="n">
        <v>0.95</v>
      </c>
      <c r="I192" s="2" t="n">
        <v>21</v>
      </c>
      <c r="J192" s="2" t="n">
        <v>412.01</v>
      </c>
      <c r="K192" s="2" t="inlineStr">
        <is>
          <t>Completed</t>
        </is>
      </c>
    </row>
    <row r="193">
      <c r="A193" s="2" t="n">
        <v>190</v>
      </c>
      <c r="B193" s="4" t="n">
        <v>46129</v>
      </c>
      <c r="C193" s="2" t="inlineStr">
        <is>
          <t>Day</t>
        </is>
      </c>
      <c r="D193" s="2" t="inlineStr">
        <is>
          <t>Line 2</t>
        </is>
      </c>
      <c r="E193" s="2" t="inlineStr">
        <is>
          <t>Salt &amp; Vinegar</t>
        </is>
      </c>
      <c r="F193" s="2" t="inlineStr">
        <is>
          <t>Corrective</t>
        </is>
      </c>
      <c r="G193" s="2" t="inlineStr">
        <is>
          <t>Quality Hold</t>
        </is>
      </c>
      <c r="H193" s="2" t="n">
        <v>1.48</v>
      </c>
      <c r="I193" s="2" t="n">
        <v>17</v>
      </c>
      <c r="J193" s="2" t="n">
        <v>773.08</v>
      </c>
      <c r="K193" s="2" t="inlineStr">
        <is>
          <t>Completed</t>
        </is>
      </c>
    </row>
    <row r="194">
      <c r="A194" s="2" t="n">
        <v>191</v>
      </c>
      <c r="B194" s="4" t="n">
        <v>46129</v>
      </c>
      <c r="C194" s="2" t="inlineStr">
        <is>
          <t>Evening</t>
        </is>
      </c>
      <c r="D194" s="2" t="inlineStr">
        <is>
          <t>Line 1</t>
        </is>
      </c>
      <c r="E194" s="2" t="inlineStr">
        <is>
          <t>Classic Chips</t>
        </is>
      </c>
      <c r="F194" s="2" t="inlineStr">
        <is>
          <t>Corrective</t>
        </is>
      </c>
      <c r="G194" s="2" t="inlineStr">
        <is>
          <t>Conveyor Jam</t>
        </is>
      </c>
      <c r="H194" s="2" t="n">
        <v>2.86</v>
      </c>
      <c r="I194" s="2" t="n">
        <v>3</v>
      </c>
      <c r="J194" s="2" t="n">
        <v>884.58</v>
      </c>
      <c r="K194" s="2" t="inlineStr">
        <is>
          <t>Completed</t>
        </is>
      </c>
    </row>
    <row r="195">
      <c r="A195" s="2" t="n">
        <v>192</v>
      </c>
      <c r="B195" s="4" t="n">
        <v>46129</v>
      </c>
      <c r="C195" s="2" t="inlineStr">
        <is>
          <t>Night</t>
        </is>
      </c>
      <c r="D195" s="2" t="inlineStr">
        <is>
          <t>Line 1</t>
        </is>
      </c>
      <c r="E195" s="2" t="inlineStr">
        <is>
          <t>Paprika Chips</t>
        </is>
      </c>
      <c r="F195" s="2" t="inlineStr">
        <is>
          <t>Corrective</t>
        </is>
      </c>
      <c r="G195" s="2" t="inlineStr">
        <is>
          <t>Electrical Fault</t>
        </is>
      </c>
      <c r="H195" s="2" t="n">
        <v>2.81</v>
      </c>
      <c r="I195" s="2" t="n">
        <v>6</v>
      </c>
      <c r="J195" s="2" t="n">
        <v>437.85</v>
      </c>
      <c r="K195" s="2" t="inlineStr">
        <is>
          <t>Follow-up Required</t>
        </is>
      </c>
    </row>
    <row r="196">
      <c r="A196" s="2" t="n">
        <v>193</v>
      </c>
      <c r="B196" s="4" t="n">
        <v>46130</v>
      </c>
      <c r="C196" s="2" t="inlineStr">
        <is>
          <t>Day</t>
        </is>
      </c>
      <c r="D196" s="2" t="inlineStr">
        <is>
          <t>Line 2</t>
        </is>
      </c>
      <c r="E196" s="2" t="inlineStr">
        <is>
          <t>Classic Chips</t>
        </is>
      </c>
      <c r="F196" s="2" t="inlineStr">
        <is>
          <t>Corrective</t>
        </is>
      </c>
      <c r="G196" s="2" t="inlineStr">
        <is>
          <t>Packaging Machine</t>
        </is>
      </c>
      <c r="H196" s="2" t="n">
        <v>3.09</v>
      </c>
      <c r="I196" s="2" t="n">
        <v>19</v>
      </c>
      <c r="J196" s="2" t="n">
        <v>899.65</v>
      </c>
      <c r="K196" s="2" t="inlineStr">
        <is>
          <t>Completed</t>
        </is>
      </c>
    </row>
    <row r="197">
      <c r="A197" s="2" t="n">
        <v>194</v>
      </c>
      <c r="B197" s="4" t="n">
        <v>46131</v>
      </c>
      <c r="C197" s="2" t="inlineStr">
        <is>
          <t>Evening</t>
        </is>
      </c>
      <c r="D197" s="2" t="inlineStr">
        <is>
          <t>Line 1</t>
        </is>
      </c>
      <c r="E197" s="2" t="inlineStr">
        <is>
          <t>Salt &amp; Vinegar</t>
        </is>
      </c>
      <c r="F197" s="2" t="inlineStr">
        <is>
          <t>Corrective</t>
        </is>
      </c>
      <c r="G197" s="2" t="inlineStr">
        <is>
          <t>Raw Material Shortage</t>
        </is>
      </c>
      <c r="H197" s="2" t="n">
        <v>1.66</v>
      </c>
      <c r="I197" s="2" t="n">
        <v>16</v>
      </c>
      <c r="J197" s="2" t="n">
        <v>501.58</v>
      </c>
      <c r="K197" s="2" t="inlineStr">
        <is>
          <t>Follow-up Required</t>
        </is>
      </c>
    </row>
    <row r="198">
      <c r="A198" s="2" t="n">
        <v>195</v>
      </c>
      <c r="B198" s="4" t="n">
        <v>46131</v>
      </c>
      <c r="C198" s="2" t="inlineStr">
        <is>
          <t>Night</t>
        </is>
      </c>
      <c r="D198" s="2" t="inlineStr">
        <is>
          <t>Line 2</t>
        </is>
      </c>
      <c r="E198" s="2" t="inlineStr">
        <is>
          <t>Paprika Chips</t>
        </is>
      </c>
      <c r="F198" s="2" t="inlineStr">
        <is>
          <t>Corrective</t>
        </is>
      </c>
      <c r="G198" s="2" t="inlineStr">
        <is>
          <t>Packaging Machine</t>
        </is>
      </c>
      <c r="H198" s="2" t="n">
        <v>3.15</v>
      </c>
      <c r="I198" s="2" t="n">
        <v>15</v>
      </c>
      <c r="J198" s="2" t="n">
        <v>762.53</v>
      </c>
      <c r="K198" s="2" t="inlineStr">
        <is>
          <t>Completed</t>
        </is>
      </c>
    </row>
    <row r="199">
      <c r="A199" s="2" t="n">
        <v>196</v>
      </c>
      <c r="B199" s="4" t="n">
        <v>46132</v>
      </c>
      <c r="C199" s="2" t="inlineStr">
        <is>
          <t>Day</t>
        </is>
      </c>
      <c r="D199" s="2" t="inlineStr">
        <is>
          <t>Line 2</t>
        </is>
      </c>
      <c r="E199" s="2" t="inlineStr">
        <is>
          <t>Classic Chips</t>
        </is>
      </c>
      <c r="F199" s="2" t="inlineStr">
        <is>
          <t>Corrective</t>
        </is>
      </c>
      <c r="G199" s="2" t="inlineStr">
        <is>
          <t>Fryer Temperature</t>
        </is>
      </c>
      <c r="H199" s="2" t="n">
        <v>0.51</v>
      </c>
      <c r="I199" s="2" t="n">
        <v>6</v>
      </c>
      <c r="J199" s="2" t="n">
        <v>733.83</v>
      </c>
      <c r="K199" s="2" t="inlineStr">
        <is>
          <t>Completed</t>
        </is>
      </c>
    </row>
    <row r="200">
      <c r="A200" s="2" t="n">
        <v>197</v>
      </c>
      <c r="B200" s="4" t="n">
        <v>46132</v>
      </c>
      <c r="C200" s="2" t="inlineStr">
        <is>
          <t>Evening</t>
        </is>
      </c>
      <c r="D200" s="2" t="inlineStr">
        <is>
          <t>Line 1</t>
        </is>
      </c>
      <c r="E200" s="2" t="inlineStr">
        <is>
          <t>Classic Chips</t>
        </is>
      </c>
      <c r="F200" s="2" t="inlineStr">
        <is>
          <t>Corrective</t>
        </is>
      </c>
      <c r="G200" s="2" t="inlineStr">
        <is>
          <t>Packaging Machine</t>
        </is>
      </c>
      <c r="H200" s="2" t="n">
        <v>2.85</v>
      </c>
      <c r="I200" s="2" t="n">
        <v>15</v>
      </c>
      <c r="J200" s="2" t="n">
        <v>367.78</v>
      </c>
      <c r="K200" s="2" t="inlineStr">
        <is>
          <t>Completed</t>
        </is>
      </c>
    </row>
    <row r="201">
      <c r="A201" s="2" t="n">
        <v>198</v>
      </c>
      <c r="B201" s="4" t="n">
        <v>46133</v>
      </c>
      <c r="C201" s="2" t="inlineStr">
        <is>
          <t>Day</t>
        </is>
      </c>
      <c r="D201" s="2" t="inlineStr">
        <is>
          <t>Line 2</t>
        </is>
      </c>
      <c r="E201" s="2" t="inlineStr">
        <is>
          <t>Salt &amp; Vinegar</t>
        </is>
      </c>
      <c r="F201" s="2" t="inlineStr">
        <is>
          <t>Emergency</t>
        </is>
      </c>
      <c r="G201" s="2" t="inlineStr">
        <is>
          <t>Quality Hold</t>
        </is>
      </c>
      <c r="H201" s="2" t="n">
        <v>2.7</v>
      </c>
      <c r="I201" s="2" t="n">
        <v>5</v>
      </c>
      <c r="J201" s="2" t="n">
        <v>1488.2</v>
      </c>
      <c r="K201" s="2" t="inlineStr">
        <is>
          <t>Completed</t>
        </is>
      </c>
    </row>
    <row r="202">
      <c r="A202" s="2" t="n">
        <v>199</v>
      </c>
      <c r="B202" s="4" t="n">
        <v>46133</v>
      </c>
      <c r="C202" s="2" t="inlineStr">
        <is>
          <t>Evening</t>
        </is>
      </c>
      <c r="D202" s="2" t="inlineStr">
        <is>
          <t>Line 1</t>
        </is>
      </c>
      <c r="E202" s="2" t="inlineStr">
        <is>
          <t>Paprika Chips</t>
        </is>
      </c>
      <c r="F202" s="2" t="inlineStr">
        <is>
          <t>Preventive</t>
        </is>
      </c>
      <c r="G202" s="2" t="inlineStr">
        <is>
          <t>Planned Maintenance</t>
        </is>
      </c>
      <c r="H202" s="2" t="n">
        <v>3.05</v>
      </c>
      <c r="I202" s="2" t="n">
        <v>19</v>
      </c>
      <c r="J202" s="2" t="n">
        <v>150.94</v>
      </c>
      <c r="K202" s="2" t="inlineStr">
        <is>
          <t>Completed</t>
        </is>
      </c>
    </row>
    <row r="203">
      <c r="A203" s="2" t="n">
        <v>200</v>
      </c>
      <c r="B203" s="4" t="n">
        <v>46134</v>
      </c>
      <c r="C203" s="2" t="inlineStr">
        <is>
          <t>Night</t>
        </is>
      </c>
      <c r="D203" s="2" t="inlineStr">
        <is>
          <t>Line 2</t>
        </is>
      </c>
      <c r="E203" s="2" t="inlineStr">
        <is>
          <t>Paprika Chips</t>
        </is>
      </c>
      <c r="F203" s="2" t="inlineStr">
        <is>
          <t>Preventive</t>
        </is>
      </c>
      <c r="G203" s="2" t="inlineStr">
        <is>
          <t>Planned Maintenance</t>
        </is>
      </c>
      <c r="H203" s="2" t="n">
        <v>4.49</v>
      </c>
      <c r="I203" s="2" t="n">
        <v>12</v>
      </c>
      <c r="J203" s="2" t="n">
        <v>209.98</v>
      </c>
      <c r="K203" s="2" t="inlineStr">
        <is>
          <t>Follow-up Required</t>
        </is>
      </c>
    </row>
    <row r="204">
      <c r="A204" s="2" t="n">
        <v>201</v>
      </c>
      <c r="B204" s="4" t="n">
        <v>46135</v>
      </c>
      <c r="C204" s="2" t="inlineStr">
        <is>
          <t>Day</t>
        </is>
      </c>
      <c r="D204" s="2" t="inlineStr">
        <is>
          <t>Line 2</t>
        </is>
      </c>
      <c r="E204" s="2" t="inlineStr">
        <is>
          <t>Paprika Chips</t>
        </is>
      </c>
      <c r="F204" s="2" t="inlineStr">
        <is>
          <t>Preventive</t>
        </is>
      </c>
      <c r="G204" s="2" t="inlineStr">
        <is>
          <t>Planned Maintenance</t>
        </is>
      </c>
      <c r="H204" s="2" t="n">
        <v>4.97</v>
      </c>
      <c r="I204" s="2" t="n">
        <v>11</v>
      </c>
      <c r="J204" s="2" t="n">
        <v>208.46</v>
      </c>
      <c r="K204" s="2" t="inlineStr">
        <is>
          <t>Completed</t>
        </is>
      </c>
    </row>
    <row r="205">
      <c r="A205" s="2" t="n">
        <v>202</v>
      </c>
      <c r="B205" s="4" t="n">
        <v>46135</v>
      </c>
      <c r="C205" s="2" t="inlineStr">
        <is>
          <t>Night</t>
        </is>
      </c>
      <c r="D205" s="2" t="inlineStr">
        <is>
          <t>Line 1</t>
        </is>
      </c>
      <c r="E205" s="2" t="inlineStr">
        <is>
          <t>Salt &amp; Vinegar</t>
        </is>
      </c>
      <c r="F205" s="2" t="inlineStr">
        <is>
          <t>Emergency</t>
        </is>
      </c>
      <c r="G205" s="2" t="inlineStr">
        <is>
          <t>Conveyor Jam</t>
        </is>
      </c>
      <c r="H205" s="2" t="n">
        <v>2.96</v>
      </c>
      <c r="I205" s="2" t="n">
        <v>4</v>
      </c>
      <c r="J205" s="2" t="n">
        <v>884.48</v>
      </c>
      <c r="K205" s="2" t="inlineStr">
        <is>
          <t>Completed</t>
        </is>
      </c>
    </row>
    <row r="206">
      <c r="A206" s="2" t="n">
        <v>203</v>
      </c>
      <c r="B206" s="4" t="n">
        <v>46136</v>
      </c>
      <c r="C206" s="2" t="inlineStr">
        <is>
          <t>Day</t>
        </is>
      </c>
      <c r="D206" s="2" t="inlineStr">
        <is>
          <t>Line 2</t>
        </is>
      </c>
      <c r="E206" s="2" t="inlineStr">
        <is>
          <t>Salt &amp; Vinegar</t>
        </is>
      </c>
      <c r="F206" s="2" t="inlineStr">
        <is>
          <t>Corrective</t>
        </is>
      </c>
      <c r="G206" s="2" t="inlineStr">
        <is>
          <t>Conveyor Jam</t>
        </is>
      </c>
      <c r="H206" s="2" t="n">
        <v>2.58</v>
      </c>
      <c r="I206" s="2" t="n">
        <v>16</v>
      </c>
      <c r="J206" s="2" t="n">
        <v>600.51</v>
      </c>
      <c r="K206" s="2" t="inlineStr">
        <is>
          <t>Completed</t>
        </is>
      </c>
    </row>
    <row r="207">
      <c r="A207" s="2" t="n">
        <v>204</v>
      </c>
      <c r="B207" s="4" t="n">
        <v>46136</v>
      </c>
      <c r="C207" s="2" t="inlineStr">
        <is>
          <t>Night</t>
        </is>
      </c>
      <c r="D207" s="2" t="inlineStr">
        <is>
          <t>Line 1</t>
        </is>
      </c>
      <c r="E207" s="2" t="inlineStr">
        <is>
          <t>Paprika Chips</t>
        </is>
      </c>
      <c r="F207" s="2" t="inlineStr">
        <is>
          <t>Corrective</t>
        </is>
      </c>
      <c r="G207" s="2" t="inlineStr">
        <is>
          <t>Conveyor Jam</t>
        </is>
      </c>
      <c r="H207" s="2" t="n">
        <v>2.99</v>
      </c>
      <c r="I207" s="2" t="n">
        <v>7</v>
      </c>
      <c r="J207" s="2" t="n">
        <v>436.59</v>
      </c>
      <c r="K207" s="2" t="inlineStr">
        <is>
          <t>Completed</t>
        </is>
      </c>
    </row>
    <row r="208">
      <c r="A208" s="2" t="n">
        <v>205</v>
      </c>
      <c r="B208" s="4" t="n">
        <v>46137</v>
      </c>
      <c r="C208" s="2" t="inlineStr">
        <is>
          <t>Day</t>
        </is>
      </c>
      <c r="D208" s="2" t="inlineStr">
        <is>
          <t>Line 1</t>
        </is>
      </c>
      <c r="E208" s="2" t="inlineStr">
        <is>
          <t>Paprika Chips</t>
        </is>
      </c>
      <c r="F208" s="2" t="inlineStr">
        <is>
          <t>Corrective</t>
        </is>
      </c>
      <c r="G208" s="2" t="inlineStr">
        <is>
          <t>Electrical Fault</t>
        </is>
      </c>
      <c r="H208" s="2" t="n">
        <v>2.95</v>
      </c>
      <c r="I208" s="2" t="n">
        <v>4</v>
      </c>
      <c r="J208" s="2" t="n">
        <v>724.55</v>
      </c>
      <c r="K208" s="2" t="inlineStr">
        <is>
          <t>Completed</t>
        </is>
      </c>
    </row>
    <row r="209">
      <c r="A209" s="2" t="n">
        <v>206</v>
      </c>
      <c r="B209" s="4" t="n">
        <v>46137</v>
      </c>
      <c r="C209" s="2" t="inlineStr">
        <is>
          <t>Evening</t>
        </is>
      </c>
      <c r="D209" s="2" t="inlineStr">
        <is>
          <t>Line 1</t>
        </is>
      </c>
      <c r="E209" s="2" t="inlineStr">
        <is>
          <t>Paprika Chips</t>
        </is>
      </c>
      <c r="F209" s="2" t="inlineStr">
        <is>
          <t>Preventive</t>
        </is>
      </c>
      <c r="G209" s="2" t="inlineStr">
        <is>
          <t>Planned Maintenance</t>
        </is>
      </c>
      <c r="H209" s="2" t="n">
        <v>4.93</v>
      </c>
      <c r="I209" s="2" t="n">
        <v>9</v>
      </c>
      <c r="J209" s="2" t="n">
        <v>169.46</v>
      </c>
      <c r="K209" s="2" t="inlineStr">
        <is>
          <t>Completed</t>
        </is>
      </c>
    </row>
    <row r="210">
      <c r="A210" s="2" t="n">
        <v>207</v>
      </c>
      <c r="B210" s="4" t="n">
        <v>46137</v>
      </c>
      <c r="C210" s="2" t="inlineStr">
        <is>
          <t>Night</t>
        </is>
      </c>
      <c r="D210" s="2" t="inlineStr">
        <is>
          <t>Line 2</t>
        </is>
      </c>
      <c r="E210" s="2" t="inlineStr">
        <is>
          <t>Classic Chips</t>
        </is>
      </c>
      <c r="F210" s="2" t="inlineStr">
        <is>
          <t>Corrective</t>
        </is>
      </c>
      <c r="G210" s="2" t="inlineStr">
        <is>
          <t>Electrical Fault</t>
        </is>
      </c>
      <c r="H210" s="2" t="n">
        <v>2.66</v>
      </c>
      <c r="I210" s="2" t="n">
        <v>7</v>
      </c>
      <c r="J210" s="2" t="n">
        <v>594.73</v>
      </c>
      <c r="K210" s="2" t="inlineStr">
        <is>
          <t>Completed</t>
        </is>
      </c>
    </row>
    <row r="211">
      <c r="A211" s="2" t="n">
        <v>208</v>
      </c>
      <c r="B211" s="4" t="n">
        <v>46138</v>
      </c>
      <c r="C211" s="2" t="inlineStr">
        <is>
          <t>Night</t>
        </is>
      </c>
      <c r="D211" s="2" t="inlineStr">
        <is>
          <t>Line 1</t>
        </is>
      </c>
      <c r="E211" s="2" t="inlineStr">
        <is>
          <t>Paprika Chips</t>
        </is>
      </c>
      <c r="F211" s="2" t="inlineStr">
        <is>
          <t>Corrective</t>
        </is>
      </c>
      <c r="G211" s="2" t="inlineStr">
        <is>
          <t>Raw Material Shortage</t>
        </is>
      </c>
      <c r="H211" s="2" t="n">
        <v>2.72</v>
      </c>
      <c r="I211" s="2" t="n">
        <v>8</v>
      </c>
      <c r="J211" s="2" t="n">
        <v>484.78</v>
      </c>
      <c r="K211" s="2" t="inlineStr">
        <is>
          <t>Follow-up Required</t>
        </is>
      </c>
    </row>
    <row r="212">
      <c r="A212" s="2" t="n">
        <v>209</v>
      </c>
      <c r="B212" s="4" t="n">
        <v>46139</v>
      </c>
      <c r="C212" s="2" t="inlineStr">
        <is>
          <t>Day</t>
        </is>
      </c>
      <c r="D212" s="2" t="inlineStr">
        <is>
          <t>Line 1</t>
        </is>
      </c>
      <c r="E212" s="2" t="inlineStr">
        <is>
          <t>Paprika Chips</t>
        </is>
      </c>
      <c r="F212" s="2" t="inlineStr">
        <is>
          <t>Corrective</t>
        </is>
      </c>
      <c r="G212" s="2" t="inlineStr">
        <is>
          <t>Electrical Fault</t>
        </is>
      </c>
      <c r="H212" s="2" t="n">
        <v>0.6</v>
      </c>
      <c r="I212" s="2" t="n">
        <v>20</v>
      </c>
      <c r="J212" s="2" t="n">
        <v>691.48</v>
      </c>
      <c r="K212" s="2" t="inlineStr">
        <is>
          <t>Completed</t>
        </is>
      </c>
    </row>
    <row r="213">
      <c r="A213" s="2" t="n">
        <v>210</v>
      </c>
      <c r="B213" s="4" t="n">
        <v>46139</v>
      </c>
      <c r="C213" s="2" t="inlineStr">
        <is>
          <t>Evening</t>
        </is>
      </c>
      <c r="D213" s="2" t="inlineStr">
        <is>
          <t>Line 2</t>
        </is>
      </c>
      <c r="E213" s="2" t="inlineStr">
        <is>
          <t>Salt &amp; Vinegar</t>
        </is>
      </c>
      <c r="F213" s="2" t="inlineStr">
        <is>
          <t>Corrective</t>
        </is>
      </c>
      <c r="G213" s="2" t="inlineStr">
        <is>
          <t>Electrical Fault</t>
        </is>
      </c>
      <c r="H213" s="2" t="n">
        <v>0.86</v>
      </c>
      <c r="I213" s="2" t="n">
        <v>13</v>
      </c>
      <c r="J213" s="2" t="n">
        <v>750.3099999999999</v>
      </c>
      <c r="K213" s="2" t="inlineStr">
        <is>
          <t>Completed</t>
        </is>
      </c>
    </row>
    <row r="214">
      <c r="A214" s="2" t="n">
        <v>211</v>
      </c>
      <c r="B214" s="4" t="n">
        <v>46139</v>
      </c>
      <c r="C214" s="2" t="inlineStr">
        <is>
          <t>Night</t>
        </is>
      </c>
      <c r="D214" s="2" t="inlineStr">
        <is>
          <t>Line 1</t>
        </is>
      </c>
      <c r="E214" s="2" t="inlineStr">
        <is>
          <t>Salt &amp; Vinegar</t>
        </is>
      </c>
      <c r="F214" s="2" t="inlineStr">
        <is>
          <t>Preventive</t>
        </is>
      </c>
      <c r="G214" s="2" t="inlineStr">
        <is>
          <t>Planned Maintenance</t>
        </is>
      </c>
      <c r="H214" s="2" t="n">
        <v>3.25</v>
      </c>
      <c r="I214" s="2" t="n">
        <v>16</v>
      </c>
      <c r="J214" s="2" t="n">
        <v>206.34</v>
      </c>
      <c r="K214" s="2" t="inlineStr">
        <is>
          <t>Completed</t>
        </is>
      </c>
    </row>
    <row r="215">
      <c r="A215" s="2" t="n">
        <v>212</v>
      </c>
      <c r="B215" s="4" t="n">
        <v>46140</v>
      </c>
      <c r="C215" s="2" t="inlineStr">
        <is>
          <t>Day</t>
        </is>
      </c>
      <c r="D215" s="2" t="inlineStr">
        <is>
          <t>Line 2</t>
        </is>
      </c>
      <c r="E215" s="2" t="inlineStr">
        <is>
          <t>Classic Chips</t>
        </is>
      </c>
      <c r="F215" s="2" t="inlineStr">
        <is>
          <t>Preventive</t>
        </is>
      </c>
      <c r="G215" s="2" t="inlineStr">
        <is>
          <t>Planned Maintenance</t>
        </is>
      </c>
      <c r="H215" s="2" t="n">
        <v>3.69</v>
      </c>
      <c r="I215" s="2" t="n">
        <v>7</v>
      </c>
      <c r="J215" s="2" t="n">
        <v>131.84</v>
      </c>
      <c r="K215" s="2" t="inlineStr">
        <is>
          <t>Completed</t>
        </is>
      </c>
    </row>
    <row r="216">
      <c r="A216" s="2" t="n">
        <v>213</v>
      </c>
      <c r="B216" s="4" t="n">
        <v>46141</v>
      </c>
      <c r="C216" s="2" t="inlineStr">
        <is>
          <t>Evening</t>
        </is>
      </c>
      <c r="D216" s="2" t="inlineStr">
        <is>
          <t>Line 1</t>
        </is>
      </c>
      <c r="E216" s="2" t="inlineStr">
        <is>
          <t>Classic Chips</t>
        </is>
      </c>
      <c r="F216" s="2" t="inlineStr">
        <is>
          <t>Preventive</t>
        </is>
      </c>
      <c r="G216" s="2" t="inlineStr">
        <is>
          <t>Planned Maintenance</t>
        </is>
      </c>
      <c r="H216" s="2" t="n">
        <v>3.4</v>
      </c>
      <c r="I216" s="2" t="n">
        <v>9</v>
      </c>
      <c r="J216" s="2" t="n">
        <v>169.94</v>
      </c>
      <c r="K216" s="2" t="inlineStr">
        <is>
          <t>Completed</t>
        </is>
      </c>
    </row>
    <row r="217">
      <c r="A217" s="2" t="n">
        <v>214</v>
      </c>
      <c r="B217" s="4" t="n">
        <v>46141</v>
      </c>
      <c r="C217" s="2" t="inlineStr">
        <is>
          <t>Night</t>
        </is>
      </c>
      <c r="D217" s="2" t="inlineStr">
        <is>
          <t>Line 2</t>
        </is>
      </c>
      <c r="E217" s="2" t="inlineStr">
        <is>
          <t>Paprika Chips</t>
        </is>
      </c>
      <c r="F217" s="2" t="inlineStr">
        <is>
          <t>Corrective</t>
        </is>
      </c>
      <c r="G217" s="2" t="inlineStr">
        <is>
          <t>Raw Material Shortage</t>
        </is>
      </c>
      <c r="H217" s="2" t="n">
        <v>0.96</v>
      </c>
      <c r="I217" s="2" t="n">
        <v>14</v>
      </c>
      <c r="J217" s="2" t="n">
        <v>357.52</v>
      </c>
      <c r="K217" s="2" t="inlineStr">
        <is>
          <t>Completed</t>
        </is>
      </c>
    </row>
    <row r="218">
      <c r="A218" s="2" t="n">
        <v>215</v>
      </c>
      <c r="B218" s="4" t="n">
        <v>46142</v>
      </c>
      <c r="C218" s="2" t="inlineStr">
        <is>
          <t>Day</t>
        </is>
      </c>
      <c r="D218" s="2" t="inlineStr">
        <is>
          <t>Line 1</t>
        </is>
      </c>
      <c r="E218" s="2" t="inlineStr">
        <is>
          <t>Classic Chips</t>
        </is>
      </c>
      <c r="F218" s="2" t="inlineStr">
        <is>
          <t>Corrective</t>
        </is>
      </c>
      <c r="G218" s="2" t="inlineStr">
        <is>
          <t>Conveyor Jam</t>
        </is>
      </c>
      <c r="H218" s="2" t="n">
        <v>0.97</v>
      </c>
      <c r="I218" s="2" t="n">
        <v>20</v>
      </c>
      <c r="J218" s="2" t="n">
        <v>876.41</v>
      </c>
      <c r="K218" s="2" t="inlineStr">
        <is>
          <t>Completed</t>
        </is>
      </c>
    </row>
    <row r="219">
      <c r="A219" s="2" t="n">
        <v>216</v>
      </c>
      <c r="B219" s="4" t="n">
        <v>46142</v>
      </c>
      <c r="C219" s="2" t="inlineStr">
        <is>
          <t>Evening</t>
        </is>
      </c>
      <c r="D219" s="2" t="inlineStr">
        <is>
          <t>Line 2</t>
        </is>
      </c>
      <c r="E219" s="2" t="inlineStr">
        <is>
          <t>Classic Chips</t>
        </is>
      </c>
      <c r="F219" s="2" t="inlineStr">
        <is>
          <t>Corrective</t>
        </is>
      </c>
      <c r="G219" s="2" t="inlineStr">
        <is>
          <t>Conveyor Jam</t>
        </is>
      </c>
      <c r="H219" s="2" t="n">
        <v>2.59</v>
      </c>
      <c r="I219" s="2" t="n">
        <v>12</v>
      </c>
      <c r="J219" s="2" t="n">
        <v>318.9</v>
      </c>
      <c r="K219" s="2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FOOD MANUFACTURING PRODUCTION &amp; MAINTENANCE PROJECT</t>
        </is>
      </c>
      <c r="B1" s="2" t="n"/>
    </row>
    <row r="2">
      <c r="A2" s="2" t="n"/>
      <c r="B2" s="2" t="n"/>
    </row>
    <row r="3">
      <c r="A3" s="3" t="inlineStr">
        <is>
          <t>Scenario</t>
        </is>
      </c>
      <c r="B3" s="2" t="inlineStr">
        <is>
          <t>You are a Production Engineer supporting a potato chips manufacturing plant.</t>
        </is>
      </c>
    </row>
    <row r="4">
      <c r="A4" s="3" t="inlineStr">
        <is>
          <t>Goal</t>
        </is>
      </c>
      <c r="B4" s="2" t="inlineStr">
        <is>
          <t>Improve output, equipment reliability, quality and maintenance effectiveness.</t>
        </is>
      </c>
    </row>
    <row r="5">
      <c r="A5" s="3" t="inlineStr">
        <is>
          <t>Step 1</t>
        </is>
      </c>
      <c r="B5" s="2" t="inlineStr">
        <is>
          <t>Review the data grain, dimensions, measures and maintenance events.</t>
        </is>
      </c>
    </row>
    <row r="6">
      <c r="A6" s="3" t="inlineStr">
        <is>
          <t>Step 2</t>
        </is>
      </c>
      <c r="B6" s="2" t="inlineStr">
        <is>
          <t>Perform data-quality checks: duplicates, missing values, ranges and unusual process values.</t>
        </is>
      </c>
    </row>
    <row r="7">
      <c r="A7" s="3" t="inlineStr">
        <is>
          <t>Step 3</t>
        </is>
      </c>
      <c r="B7" s="2" t="inlineStr">
        <is>
          <t>Calculate OEE = Availability × Performance × Quality and explain each component.</t>
        </is>
      </c>
    </row>
    <row r="8">
      <c r="A8" s="3" t="inlineStr">
        <is>
          <t>Step 4</t>
        </is>
      </c>
      <c r="B8" s="2" t="inlineStr">
        <is>
          <t>Compare OEE, output, downtime and rejects by production line.</t>
        </is>
      </c>
    </row>
    <row r="9">
      <c r="A9" s="3" t="inlineStr">
        <is>
          <t>Step 5</t>
        </is>
      </c>
      <c r="B9" s="2" t="inlineStr">
        <is>
          <t>Compare Day, Evening and Night shifts.</t>
        </is>
      </c>
    </row>
    <row r="10">
      <c r="A10" s="3" t="inlineStr">
        <is>
          <t>Step 6</t>
        </is>
      </c>
      <c r="B10" s="2" t="inlineStr">
        <is>
          <t>Compare products for output, rejects, material yield and energy/kg.</t>
        </is>
      </c>
    </row>
    <row r="11">
      <c r="A11" s="3" t="inlineStr">
        <is>
          <t>Step 7</t>
        </is>
      </c>
      <c r="B11" s="2" t="inlineStr">
        <is>
          <t>Build a Pareto analysis of downtime reasons.</t>
        </is>
      </c>
    </row>
    <row r="12">
      <c r="A12" s="3" t="inlineStr">
        <is>
          <t>Step 8</t>
        </is>
      </c>
      <c r="B12" s="2" t="inlineStr">
        <is>
          <t>Compare Preventive, Corrective and Emergency maintenance.</t>
        </is>
      </c>
    </row>
    <row r="13">
      <c r="A13" s="3" t="inlineStr">
        <is>
          <t>Step 9</t>
        </is>
      </c>
      <c r="B13" s="2" t="inlineStr">
        <is>
          <t>Calculate MTTR and MTBF from the maintenance log using clearly stated assumptions.</t>
        </is>
      </c>
    </row>
    <row r="14">
      <c r="A14" s="3" t="inlineStr">
        <is>
          <t>Step 10</t>
        </is>
      </c>
      <c r="B14" s="2" t="inlineStr">
        <is>
          <t>Identify the main reliability and production-loss areas.</t>
        </is>
      </c>
    </row>
    <row r="15">
      <c r="A15" s="3" t="inlineStr">
        <is>
          <t>Step 11</t>
        </is>
      </c>
      <c r="B15" s="2" t="inlineStr">
        <is>
          <t>Build a management dashboard.</t>
        </is>
      </c>
    </row>
    <row r="16">
      <c r="A16" s="3" t="inlineStr">
        <is>
          <t>Step 12</t>
        </is>
      </c>
      <c r="B16" s="2" t="inlineStr">
        <is>
          <t>Write 5 evidence-based findings and 5 improvement recommendations.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KPI CALCULATION LAYER</t>
        </is>
      </c>
      <c r="B1" s="2" t="n"/>
    </row>
    <row r="2">
      <c r="A2" s="2" t="n"/>
      <c r="B2" s="2" t="n"/>
    </row>
    <row r="3">
      <c r="A3" s="3" t="inlineStr">
        <is>
          <t>Total Target (kg)</t>
        </is>
      </c>
      <c r="B3" s="3">
        <f>SUM(Production_Data!F5:F364)</f>
        <v/>
      </c>
    </row>
    <row r="4">
      <c r="A4" s="3" t="inlineStr">
        <is>
          <t>Total Actual (kg)</t>
        </is>
      </c>
      <c r="B4" s="3">
        <f>SUM(Production_Data!G5:G364)</f>
        <v/>
      </c>
    </row>
    <row r="5">
      <c r="A5" s="3" t="inlineStr">
        <is>
          <t>Good Product (kg)</t>
        </is>
      </c>
      <c r="B5" s="3">
        <f>SUM(Production_Data!H5:H364)</f>
        <v/>
      </c>
    </row>
    <row r="6">
      <c r="A6" s="3" t="inlineStr">
        <is>
          <t>Reject (kg)</t>
        </is>
      </c>
      <c r="B6" s="3">
        <f>SUM(Production_Data!I5:I364)</f>
        <v/>
      </c>
    </row>
    <row r="7">
      <c r="A7" s="3" t="inlineStr">
        <is>
          <t>Achievement %</t>
        </is>
      </c>
      <c r="B7" s="7">
        <f>B4/B3</f>
        <v/>
      </c>
    </row>
    <row r="8">
      <c r="A8" s="3" t="inlineStr">
        <is>
          <t>Average OEE %</t>
        </is>
      </c>
      <c r="B8" s="7">
        <f>AVERAGE(Production_Data!W5:W364)</f>
        <v/>
      </c>
    </row>
    <row r="9">
      <c r="A9" s="3" t="inlineStr">
        <is>
          <t>Average Availability %</t>
        </is>
      </c>
      <c r="B9" s="7">
        <f>AVERAGE(Production_Data!T5:T364)</f>
        <v/>
      </c>
    </row>
    <row r="10">
      <c r="A10" s="3" t="inlineStr">
        <is>
          <t>Average Performance %</t>
        </is>
      </c>
      <c r="B10" s="7">
        <f>AVERAGE(Production_Data!U5:U364)</f>
        <v/>
      </c>
    </row>
    <row r="11">
      <c r="A11" s="3" t="inlineStr">
        <is>
          <t>Average Quality %</t>
        </is>
      </c>
      <c r="B11" s="7">
        <f>AVERAGE(Production_Data!V5:V364)</f>
        <v/>
      </c>
    </row>
    <row r="12">
      <c r="A12" s="3" t="inlineStr">
        <is>
          <t>Total Downtime (hr)</t>
        </is>
      </c>
      <c r="B12" s="3">
        <f>SUM(Production_Data!J5:J364)</f>
        <v/>
      </c>
    </row>
    <row r="13">
      <c r="A13" s="3" t="inlineStr">
        <is>
          <t>Maintenance Cost</t>
        </is>
      </c>
      <c r="B13" s="3">
        <f>SUM(Production_Data!R5:R364)</f>
        <v/>
      </c>
    </row>
    <row r="14">
      <c r="A14" s="3" t="inlineStr">
        <is>
          <t>Reject Rate %</t>
        </is>
      </c>
      <c r="B14" s="7">
        <f>B6/B5</f>
        <v/>
      </c>
    </row>
    <row r="15">
      <c r="A15" s="3" t="inlineStr">
        <is>
          <t>Energy / kg</t>
        </is>
      </c>
      <c r="B15" s="3">
        <f>SUM(Production_Data!O5:O364)/B4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Shift</t>
        </is>
      </c>
      <c r="B1" s="3" t="inlineStr">
        <is>
          <t>Actual kg</t>
        </is>
      </c>
      <c r="C1" s="3" t="inlineStr">
        <is>
          <t>Achievement %</t>
        </is>
      </c>
      <c r="D1" s="3" t="inlineStr">
        <is>
          <t>OEE %</t>
        </is>
      </c>
      <c r="E1" s="3" t="inlineStr">
        <is>
          <t>Downtime hr</t>
        </is>
      </c>
      <c r="F1" s="3" t="inlineStr">
        <is>
          <t>Reject Rate %</t>
        </is>
      </c>
      <c r="G1" s="3" t="inlineStr">
        <is>
          <t>Energy/kg</t>
        </is>
      </c>
    </row>
    <row r="2">
      <c r="A2" s="2" t="inlineStr">
        <is>
          <t>Day</t>
        </is>
      </c>
      <c r="B2" s="2">
        <f>SUMIF(Production_Data!C:C,A2,Production_Data!G:G)</f>
        <v/>
      </c>
      <c r="C2" s="5">
        <f>SUMIF(Production_Data!C:C,A2,Production_Data!G:G)/SUMIF(Production_Data!C:C,A2,Production_Data!F:F)</f>
        <v/>
      </c>
      <c r="D2" s="5">
        <f>AVERAGEIF(Production_Data!C:C,A2,Production_Data!W:W)</f>
        <v/>
      </c>
      <c r="E2" s="2">
        <f>SUMIF(Production_Data!C:C,A2,Production_Data!J:J)</f>
        <v/>
      </c>
      <c r="F2" s="5">
        <f>SUMIF(Production_Data!C:C,A2,Production_Data!I:I)/SUMIF(Production_Data!C:C,A2,Production_Data!G:G)</f>
        <v/>
      </c>
      <c r="G2" s="2">
        <f>SUMIF(Production_Data!C:C,A2,Production_Data!O:O)/SUMIF(Production_Data!C:C,A2,Production_Data!G:G)</f>
        <v/>
      </c>
    </row>
    <row r="3">
      <c r="A3" s="2" t="inlineStr">
        <is>
          <t>Evening</t>
        </is>
      </c>
      <c r="B3" s="2">
        <f>SUMIF(Production_Data!C:C,A3,Production_Data!G:G)</f>
        <v/>
      </c>
      <c r="C3" s="5">
        <f>SUMIF(Production_Data!C:C,A3,Production_Data!G:G)/SUMIF(Production_Data!C:C,A3,Production_Data!F:F)</f>
        <v/>
      </c>
      <c r="D3" s="5">
        <f>AVERAGEIF(Production_Data!C:C,A3,Production_Data!W:W)</f>
        <v/>
      </c>
      <c r="E3" s="2">
        <f>SUMIF(Production_Data!C:C,A3,Production_Data!J:J)</f>
        <v/>
      </c>
      <c r="F3" s="5">
        <f>SUMIF(Production_Data!C:C,A3,Production_Data!I:I)/SUMIF(Production_Data!C:C,A3,Production_Data!G:G)</f>
        <v/>
      </c>
      <c r="G3" s="2">
        <f>SUMIF(Production_Data!C:C,A3,Production_Data!O:O)/SUMIF(Production_Data!C:C,A3,Production_Data!G:G)</f>
        <v/>
      </c>
    </row>
    <row r="4">
      <c r="A4" s="2" t="inlineStr">
        <is>
          <t>Night</t>
        </is>
      </c>
      <c r="B4" s="2">
        <f>SUMIF(Production_Data!C:C,A4,Production_Data!G:G)</f>
        <v/>
      </c>
      <c r="C4" s="5">
        <f>SUMIF(Production_Data!C:C,A4,Production_Data!G:G)/SUMIF(Production_Data!C:C,A4,Production_Data!F:F)</f>
        <v/>
      </c>
      <c r="D4" s="5">
        <f>AVERAGEIF(Production_Data!C:C,A4,Production_Data!W:W)</f>
        <v/>
      </c>
      <c r="E4" s="2">
        <f>SUMIF(Production_Data!C:C,A4,Production_Data!J:J)</f>
        <v/>
      </c>
      <c r="F4" s="5">
        <f>SUMIF(Production_Data!C:C,A4,Production_Data!I:I)/SUMIF(Production_Data!C:C,A4,Production_Data!G:G)</f>
        <v/>
      </c>
      <c r="G4" s="2">
        <f>SUMIF(Production_Data!C:C,A4,Production_Data!O:O)/SUMIF(Production_Data!C:C,A4,Production_Data!G:G)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Line</t>
        </is>
      </c>
      <c r="B1" s="3" t="inlineStr">
        <is>
          <t>Actual kg</t>
        </is>
      </c>
      <c r="C1" s="3" t="inlineStr">
        <is>
          <t>Achievement %</t>
        </is>
      </c>
      <c r="D1" s="3" t="inlineStr">
        <is>
          <t>OEE %</t>
        </is>
      </c>
      <c r="E1" s="3" t="inlineStr">
        <is>
          <t>Downtime hr</t>
        </is>
      </c>
      <c r="F1" s="3" t="inlineStr">
        <is>
          <t>Maintenance Cost</t>
        </is>
      </c>
      <c r="G1" s="3" t="inlineStr">
        <is>
          <t>Reject Rate %</t>
        </is>
      </c>
    </row>
    <row r="2">
      <c r="A2" s="2" t="inlineStr">
        <is>
          <t>Line 1</t>
        </is>
      </c>
      <c r="B2" s="2">
        <f>SUMIF(Production_Data!D:D,A2,Production_Data!G:G)</f>
        <v/>
      </c>
      <c r="C2" s="5">
        <f>SUMIF(Production_Data!D:D,A2,Production_Data!G:G)/SUMIF(Production_Data!D:D,A2,Production_Data!F:F)</f>
        <v/>
      </c>
      <c r="D2" s="5">
        <f>AVERAGEIF(Production_Data!D:D,A2,Production_Data!W:W)</f>
        <v/>
      </c>
      <c r="E2" s="2">
        <f>SUMIF(Production_Data!D:D,A2,Production_Data!J:J)</f>
        <v/>
      </c>
      <c r="F2" s="2">
        <f>SUMIF(Production_Data!D:D,A2,Production_Data!R:R)</f>
        <v/>
      </c>
      <c r="G2" s="5">
        <f>SUMIF(Production_Data!D:D,A2,Production_Data!I:I)/SUMIF(Production_Data!D:D,A2,Production_Data!G:G)</f>
        <v/>
      </c>
    </row>
    <row r="3">
      <c r="A3" s="2" t="inlineStr">
        <is>
          <t>Line 2</t>
        </is>
      </c>
      <c r="B3" s="2">
        <f>SUMIF(Production_Data!D:D,A3,Production_Data!G:G)</f>
        <v/>
      </c>
      <c r="C3" s="5">
        <f>SUMIF(Production_Data!D:D,A3,Production_Data!G:G)/SUMIF(Production_Data!D:D,A3,Production_Data!F:F)</f>
        <v/>
      </c>
      <c r="D3" s="5">
        <f>AVERAGEIF(Production_Data!D:D,A3,Production_Data!W:W)</f>
        <v/>
      </c>
      <c r="E3" s="2">
        <f>SUMIF(Production_Data!D:D,A3,Production_Data!J:J)</f>
        <v/>
      </c>
      <c r="F3" s="2">
        <f>SUMIF(Production_Data!D:D,A3,Production_Data!R:R)</f>
        <v/>
      </c>
      <c r="G3" s="5">
        <f>SUMIF(Production_Data!D:D,A3,Production_Data!I:I)/SUMIF(Production_Data!D:D,A3,Production_Data!G:G)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Product</t>
        </is>
      </c>
      <c r="B1" s="3" t="inlineStr">
        <is>
          <t>Actual kg</t>
        </is>
      </c>
      <c r="C1" s="3" t="inlineStr">
        <is>
          <t>Achievement %</t>
        </is>
      </c>
      <c r="D1" s="3" t="inlineStr">
        <is>
          <t>OEE %</t>
        </is>
      </c>
      <c r="E1" s="3" t="inlineStr">
        <is>
          <t>Reject Rate %</t>
        </is>
      </c>
      <c r="F1" s="3" t="inlineStr">
        <is>
          <t>Material Yield %</t>
        </is>
      </c>
      <c r="G1" s="3" t="inlineStr">
        <is>
          <t>Energy/kg</t>
        </is>
      </c>
    </row>
    <row r="2">
      <c r="A2" s="2" t="inlineStr">
        <is>
          <t>Classic Chips</t>
        </is>
      </c>
      <c r="B2" s="2">
        <f>SUMIF(Production_Data!E:E,A2,Production_Data!G:G)</f>
        <v/>
      </c>
      <c r="C2" s="5">
        <f>SUMIF(Production_Data!E:E,A2,Production_Data!G:G)/SUMIF(Production_Data!E:E,A2,Production_Data!F:F)</f>
        <v/>
      </c>
      <c r="D2" s="5">
        <f>AVERAGEIF(Production_Data!E:E,A2,Production_Data!W:W)</f>
        <v/>
      </c>
      <c r="E2" s="5">
        <f>SUMIF(Production_Data!E:E,A2,Production_Data!I:I)/SUMIF(Production_Data!E:E,A2,Production_Data!G:G)</f>
        <v/>
      </c>
      <c r="F2" s="5">
        <f>SUMIF(Production_Data!E:E,A2,Production_Data!G:G)/SUMIF(Production_Data!E:E,A2,Production_Data!M:M)</f>
        <v/>
      </c>
      <c r="G2" s="2">
        <f>SUMIF(Production_Data!E:E,A2,Production_Data!O:O)/SUMIF(Production_Data!E:E,A2,Production_Data!G:G)</f>
        <v/>
      </c>
    </row>
    <row r="3">
      <c r="A3" s="2" t="inlineStr">
        <is>
          <t>Paprika Chips</t>
        </is>
      </c>
      <c r="B3" s="2">
        <f>SUMIF(Production_Data!E:E,A3,Production_Data!G:G)</f>
        <v/>
      </c>
      <c r="C3" s="5">
        <f>SUMIF(Production_Data!E:E,A3,Production_Data!G:G)/SUMIF(Production_Data!E:E,A3,Production_Data!F:F)</f>
        <v/>
      </c>
      <c r="D3" s="5">
        <f>AVERAGEIF(Production_Data!E:E,A3,Production_Data!W:W)</f>
        <v/>
      </c>
      <c r="E3" s="5">
        <f>SUMIF(Production_Data!E:E,A3,Production_Data!I:I)/SUMIF(Production_Data!E:E,A3,Production_Data!G:G)</f>
        <v/>
      </c>
      <c r="F3" s="5">
        <f>SUMIF(Production_Data!E:E,A3,Production_Data!G:G)/SUMIF(Production_Data!E:E,A3,Production_Data!M:M)</f>
        <v/>
      </c>
      <c r="G3" s="2">
        <f>SUMIF(Production_Data!E:E,A3,Production_Data!O:O)/SUMIF(Production_Data!E:E,A3,Production_Data!G:G)</f>
        <v/>
      </c>
    </row>
    <row r="4">
      <c r="A4" s="2" t="inlineStr">
        <is>
          <t>Salt &amp; Vinegar</t>
        </is>
      </c>
      <c r="B4" s="2">
        <f>SUMIF(Production_Data!E:E,A4,Production_Data!G:G)</f>
        <v/>
      </c>
      <c r="C4" s="5">
        <f>SUMIF(Production_Data!E:E,A4,Production_Data!G:G)/SUMIF(Production_Data!E:E,A4,Production_Data!F:F)</f>
        <v/>
      </c>
      <c r="D4" s="5">
        <f>AVERAGEIF(Production_Data!E:E,A4,Production_Data!W:W)</f>
        <v/>
      </c>
      <c r="E4" s="5">
        <f>SUMIF(Production_Data!E:E,A4,Production_Data!I:I)/SUMIF(Production_Data!E:E,A4,Production_Data!G:G)</f>
        <v/>
      </c>
      <c r="F4" s="5">
        <f>SUMIF(Production_Data!E:E,A4,Production_Data!G:G)/SUMIF(Production_Data!E:E,A4,Production_Data!M:M)</f>
        <v/>
      </c>
      <c r="G4" s="2">
        <f>SUMIF(Production_Data!E:E,A4,Production_Data!O:O)/SUMIF(Production_Data!E:E,A4,Production_Data!G:G)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Type</t>
        </is>
      </c>
      <c r="B1" s="3" t="inlineStr">
        <is>
          <t>Events</t>
        </is>
      </c>
      <c r="C1" s="3" t="inlineStr">
        <is>
          <t>Downtime hr</t>
        </is>
      </c>
      <c r="D1" s="3" t="inlineStr">
        <is>
          <t>Cost</t>
        </is>
      </c>
      <c r="E1" s="3" t="inlineStr">
        <is>
          <t>Avg Technician Hours</t>
        </is>
      </c>
      <c r="F1" s="3" t="inlineStr">
        <is>
          <t>Avg Downtime/Event</t>
        </is>
      </c>
    </row>
    <row r="2">
      <c r="A2" s="2" t="inlineStr">
        <is>
          <t>Preventive</t>
        </is>
      </c>
      <c r="B2" s="2">
        <f>COUNTIF(Maintenance_Log!F:F,A2)</f>
        <v/>
      </c>
      <c r="C2" s="2">
        <f>SUMIF(Maintenance_Log!F:F,A2,Maintenance_Log!H:H)</f>
        <v/>
      </c>
      <c r="D2" s="2">
        <f>SUMIF(Maintenance_Log!F:F,A2,Maintenance_Log!J:J)</f>
        <v/>
      </c>
      <c r="E2" s="2">
        <f>AVERAGEIF(Maintenance_Log!F:F,A2,Maintenance_Log!I:I)</f>
        <v/>
      </c>
      <c r="F2" s="2">
        <f>C2/B2</f>
        <v/>
      </c>
    </row>
    <row r="3">
      <c r="A3" s="2" t="inlineStr">
        <is>
          <t>Corrective</t>
        </is>
      </c>
      <c r="B3" s="2">
        <f>COUNTIF(Maintenance_Log!F:F,A3)</f>
        <v/>
      </c>
      <c r="C3" s="2">
        <f>SUMIF(Maintenance_Log!F:F,A3,Maintenance_Log!H:H)</f>
        <v/>
      </c>
      <c r="D3" s="2">
        <f>SUMIF(Maintenance_Log!F:F,A3,Maintenance_Log!J:J)</f>
        <v/>
      </c>
      <c r="E3" s="2">
        <f>AVERAGEIF(Maintenance_Log!F:F,A3,Maintenance_Log!I:I)</f>
        <v/>
      </c>
      <c r="F3" s="2">
        <f>C3/B3</f>
        <v/>
      </c>
    </row>
    <row r="4">
      <c r="A4" s="2" t="inlineStr">
        <is>
          <t>Emergency</t>
        </is>
      </c>
      <c r="B4" s="2">
        <f>COUNTIF(Maintenance_Log!F:F,A4)</f>
        <v/>
      </c>
      <c r="C4" s="2">
        <f>SUMIF(Maintenance_Log!F:F,A4,Maintenance_Log!H:H)</f>
        <v/>
      </c>
      <c r="D4" s="2">
        <f>SUMIF(Maintenance_Log!F:F,A4,Maintenance_Log!J:J)</f>
        <v/>
      </c>
      <c r="E4" s="2">
        <f>AVERAGEIF(Maintenance_Log!F:F,A4,Maintenance_Log!I:I)</f>
        <v/>
      </c>
      <c r="F4" s="2">
        <f>C4/B4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Reason</t>
        </is>
      </c>
      <c r="B1" s="3" t="inlineStr">
        <is>
          <t>Events</t>
        </is>
      </c>
      <c r="C1" s="3" t="inlineStr">
        <is>
          <t>Downtime hr</t>
        </is>
      </c>
      <c r="D1" s="3" t="inlineStr">
        <is>
          <t>% of Downtime</t>
        </is>
      </c>
    </row>
    <row r="2">
      <c r="A2" s="2" t="inlineStr">
        <is>
          <t>Fryer Temperature</t>
        </is>
      </c>
      <c r="B2" s="2">
        <f>COUNTIF(Production_Data!K:K,A2)</f>
        <v/>
      </c>
      <c r="C2" s="2">
        <f>SUMIF(Production_Data!K:K,A2,Production_Data!J:J)</f>
        <v/>
      </c>
      <c r="D2" s="5">
        <f>C2/SUM(Production_Data!J:J)</f>
        <v/>
      </c>
    </row>
    <row r="3">
      <c r="A3" s="2" t="inlineStr">
        <is>
          <t>Conveyor Jam</t>
        </is>
      </c>
      <c r="B3" s="2">
        <f>COUNTIF(Production_Data!K:K,A3)</f>
        <v/>
      </c>
      <c r="C3" s="2">
        <f>SUMIF(Production_Data!K:K,A3,Production_Data!J:J)</f>
        <v/>
      </c>
      <c r="D3" s="5">
        <f>C3/SUM(Production_Data!J:J)</f>
        <v/>
      </c>
    </row>
    <row r="4">
      <c r="A4" s="2" t="inlineStr">
        <is>
          <t>Packaging Machine</t>
        </is>
      </c>
      <c r="B4" s="2">
        <f>COUNTIF(Production_Data!K:K,A4)</f>
        <v/>
      </c>
      <c r="C4" s="2">
        <f>SUMIF(Production_Data!K:K,A4,Production_Data!J:J)</f>
        <v/>
      </c>
      <c r="D4" s="5">
        <f>C4/SUM(Production_Data!J:J)</f>
        <v/>
      </c>
    </row>
    <row r="5">
      <c r="A5" s="2" t="inlineStr">
        <is>
          <t>Electrical Fault</t>
        </is>
      </c>
      <c r="B5" s="2">
        <f>COUNTIF(Production_Data!K:K,A5)</f>
        <v/>
      </c>
      <c r="C5" s="2">
        <f>SUMIF(Production_Data!K:K,A5,Production_Data!J:J)</f>
        <v/>
      </c>
      <c r="D5" s="5">
        <f>C5/SUM(Production_Data!J:J)</f>
        <v/>
      </c>
    </row>
    <row r="6">
      <c r="A6" s="2" t="inlineStr">
        <is>
          <t>Planned Maintenance</t>
        </is>
      </c>
      <c r="B6" s="2">
        <f>COUNTIF(Production_Data!K:K,A6)</f>
        <v/>
      </c>
      <c r="C6" s="2">
        <f>SUMIF(Production_Data!K:K,A6,Production_Data!J:J)</f>
        <v/>
      </c>
      <c r="D6" s="5">
        <f>C6/SUM(Production_Data!J:J)</f>
        <v/>
      </c>
    </row>
    <row r="7">
      <c r="A7" s="2" t="inlineStr">
        <is>
          <t>Raw Material Shortage</t>
        </is>
      </c>
      <c r="B7" s="2">
        <f>COUNTIF(Production_Data!K:K,A7)</f>
        <v/>
      </c>
      <c r="C7" s="2">
        <f>SUMIF(Production_Data!K:K,A7,Production_Data!J:J)</f>
        <v/>
      </c>
      <c r="D7" s="5">
        <f>C7/SUM(Production_Data!J:J)</f>
        <v/>
      </c>
    </row>
    <row r="8">
      <c r="A8" s="2" t="inlineStr">
        <is>
          <t>Quality Hold</t>
        </is>
      </c>
      <c r="B8" s="2">
        <f>COUNTIF(Production_Data!K:K,A8)</f>
        <v/>
      </c>
      <c r="C8" s="2">
        <f>SUMIF(Production_Data!K:K,A8,Production_Data!J:J)</f>
        <v/>
      </c>
      <c r="D8" s="5">
        <f>C8/SUM(Production_Data!J:J)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FOOD MANUFACTURING — PRODUCTION &amp; MAINTENANCE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9" t="inlineStr">
        <is>
          <t>Actual Production (kg)</t>
        </is>
      </c>
      <c r="B3" s="2" t="n"/>
      <c r="C3" s="9" t="inlineStr">
        <is>
          <t>OEE</t>
        </is>
      </c>
      <c r="D3" s="2" t="n"/>
      <c r="E3" s="9" t="inlineStr">
        <is>
          <t>Downtime (hr)</t>
        </is>
      </c>
      <c r="F3" s="2" t="n"/>
      <c r="G3" s="9" t="inlineStr">
        <is>
          <t>Maintenance Cost</t>
        </is>
      </c>
      <c r="H3" s="2" t="n"/>
    </row>
    <row r="4">
      <c r="A4" s="10">
        <f>KPI_Calculations!B4</f>
        <v/>
      </c>
      <c r="B4" s="2" t="n"/>
      <c r="C4" s="11">
        <f>KPI_Calculations!B8</f>
        <v/>
      </c>
      <c r="D4" s="2" t="n"/>
      <c r="E4" s="10">
        <f>KPI_Calculations!B12</f>
        <v/>
      </c>
      <c r="F4" s="2" t="n"/>
      <c r="G4" s="10">
        <f>KPI_Calculations!B13</f>
        <v/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12" t="inlineStr">
        <is>
          <t>Management Questions</t>
        </is>
      </c>
      <c r="B39" s="2" t="n"/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1. Which line has the weakest OEE and what operational/maintenance factors explain it?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2. Which downtime reason contributes most to lost production time?</t>
        </is>
      </c>
      <c r="B41" s="2" t="n"/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3. How does preventive maintenance compare with corrective/emergency work?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4. Which shift needs the most attention?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5. Which product has the highest reject or energy burden?</t>
        </is>
      </c>
      <c r="B44" s="2" t="n"/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6. What 3 actions would you prioritize based on the evidence?</t>
        </is>
      </c>
      <c r="B45" s="2" t="n"/>
      <c r="C45" s="2" t="n"/>
      <c r="D45" s="2" t="n"/>
      <c r="E45" s="2" t="n"/>
      <c r="F45" s="2" t="n"/>
      <c r="G45" s="2" t="n"/>
      <c r="H4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2026-09-27T09:52:39Z</dcterms:created>
  <dcterms:modified xmlns:dcterms="http://purl.org/dc/terms/" xmlns:xsi="http://www.w3.org/2001/XMLSchema-instance" xsi:type="dcterms:W3CDTF">2026-09-27T09:52:39Z</dcterms:modified>
</cp:coreProperties>
</file>